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ongQuan" sheetId="1" state="visible" r:id="rId3"/>
    <sheet name="ĐH-2610-003" sheetId="2" state="visible" r:id="rId4"/>
    <sheet name="MAU_DON" sheetId="3" state="visible" r:id="rId5"/>
    <sheet name="HuongD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<sst xmlns="http://schemas.openxmlformats.org/spreadsheetml/2006/main" count="116" uniqueCount="70">
  <si>
    <t xml:space="preserve">THEO DÕI ĐƠN HÀNG &amp; CÔNG NỢ KHÁCH HÀNG</t>
  </si>
  <si>
    <t xml:space="preserve">Khách hàng</t>
  </si>
  <si>
    <t xml:space="preserve">Công ty TNHH vật tư thiết bị Thu Liên</t>
  </si>
  <si>
    <t xml:space="preserve">Địa chỉ</t>
  </si>
  <si>
    <t xml:space="preserve">Hà Nội</t>
  </si>
  <si>
    <t xml:space="preserve">Mã số thuế</t>
  </si>
  <si>
    <t xml:space="preserve">Liên hệ / ĐT</t>
  </si>
  <si>
    <t xml:space="preserve">TỔNG GIÁ TRỊ ĐƠN</t>
  </si>
  <si>
    <t xml:space="preserve">ĐÃ THU</t>
  </si>
  <si>
    <t xml:space="preserve">CÒN NỢ</t>
  </si>
  <si>
    <t xml:space="preserve">NỢ QUÁ HẠN</t>
  </si>
  <si>
    <t xml:space="preserve">SỐ ĐƠN</t>
  </si>
  <si>
    <t xml:space="preserve">DANH SÁCH ĐƠN HÀNG  (cột Mã đơn = đúng tên sheet của đơn)</t>
  </si>
  <si>
    <t xml:space="preserve">STT</t>
  </si>
  <si>
    <t xml:space="preserve">Mã đơn</t>
  </si>
  <si>
    <t xml:space="preserve">Ngày đơn</t>
  </si>
  <si>
    <t xml:space="preserve">Nội dung đơn</t>
  </si>
  <si>
    <t xml:space="preserve">Số mã hàng</t>
  </si>
  <si>
    <t xml:space="preserve">Tổng tiền</t>
  </si>
  <si>
    <t xml:space="preserve">Đã thu</t>
  </si>
  <si>
    <t xml:space="preserve">Còn nợ</t>
  </si>
  <si>
    <t xml:space="preserve">Giao hàng</t>
  </si>
  <si>
    <t xml:space="preserve">Xuất HĐ</t>
  </si>
  <si>
    <t xml:space="preserve">Hạn TT</t>
  </si>
  <si>
    <t xml:space="preserve">Cần làm</t>
  </si>
  <si>
    <t xml:space="preserve">Quá hạn (ngày)</t>
  </si>
  <si>
    <t xml:space="preserve">ĐH-2610-003</t>
  </si>
  <si>
    <t xml:space="preserve">Bên bán: Công ty TNHH Thương mại và Công nghiệp Trung Kiên  ·  ô trắng là ô nhập, ô xanh nhạt là ô tự tính</t>
  </si>
  <si>
    <t xml:space="preserve">THÔNG TIN ĐƠN HÀNG</t>
  </si>
  <si>
    <t xml:space="preserve">TIỀN &amp; CÔNG NỢ</t>
  </si>
  <si>
    <t xml:space="preserve">Tiền hàng (chưa VAT)</t>
  </si>
  <si>
    <t xml:space="preserve">Ngày giao</t>
  </si>
  <si>
    <t xml:space="preserve">Thuế VAT</t>
  </si>
  <si>
    <t xml:space="preserve">Nội dung</t>
  </si>
  <si>
    <t xml:space="preserve">Đơn hàng Dương Kính</t>
  </si>
  <si>
    <t xml:space="preserve">Xuất hóa đơn</t>
  </si>
  <si>
    <t xml:space="preserve">TỔNG CỘNG</t>
  </si>
  <si>
    <t xml:space="preserve">Số báo giá / HĐ</t>
  </si>
  <si>
    <t xml:space="preserve">Số HĐ / ngày</t>
  </si>
  <si>
    <t xml:space="preserve">Ghi chú</t>
  </si>
  <si>
    <t xml:space="preserve">VÍ DỤ thật từ phiếu xuất kho: chưa có đơn giá, ngày</t>
  </si>
  <si>
    <t xml:space="preserve">Hạn thanh toán</t>
  </si>
  <si>
    <t xml:space="preserve">Tình trạng thu tiền</t>
  </si>
  <si>
    <t xml:space="preserve">HÀNG HÓA TRONG ĐƠN</t>
  </si>
  <si>
    <t xml:space="preserve">CÁC LẦN KHÁCH THANH TOÁN</t>
  </si>
  <si>
    <t xml:space="preserve">Mã kho</t>
  </si>
  <si>
    <t xml:space="preserve">Mã hàng / Tên hàng, model</t>
  </si>
  <si>
    <t xml:space="preserve">ĐVT</t>
  </si>
  <si>
    <t xml:space="preserve">Số lượng</t>
  </si>
  <si>
    <t xml:space="preserve">Đơn giá (chưa VAT)</t>
  </si>
  <si>
    <t xml:space="preserve">Thành tiền</t>
  </si>
  <si>
    <t xml:space="preserve">Ngày thu</t>
  </si>
  <si>
    <t xml:space="preserve">Số tiền</t>
  </si>
  <si>
    <t xml:space="preserve">Hình thức</t>
  </si>
  <si>
    <t xml:space="preserve">Ghi chú / chứng từ</t>
  </si>
  <si>
    <t xml:space="preserve">KHH</t>
  </si>
  <si>
    <t xml:space="preserve">Máy bơm hỏa tiễn 6SA35/6</t>
  </si>
  <si>
    <t xml:space="preserve">Cái</t>
  </si>
  <si>
    <t xml:space="preserve">Máy bơm chìm 200WQ600-12-37</t>
  </si>
  <si>
    <t xml:space="preserve">Cộng tiền hàng (chưa VAT)</t>
  </si>
  <si>
    <t xml:space="preserve">CÁCH DÙNG</t>
  </si>
  <si>
    <t xml:space="preserve">1. Mỗi đơn hàng là MỘT sheet. Thêm đơn mới: chuột phải vào sheet MAU_DON &gt; Di chuyển hoặc Sao chép &gt; tích 'Tạo bản sao' &gt; OK,</t>
  </si>
  <si>
    <t xml:space="preserve">    rồi đổi tên sheet mới thành mã đơn, ví dụ ĐH-2611-001 (không dùng dấu / \ ? * [ ] :).</t>
  </si>
  <si>
    <t xml:space="preserve">2. Sang sheet TongQuan, gõ đúng tên sheet đó vào ô trống đầu tiên của cột 'Mã đơn'. Mọi số liệu tự chạy lên tổng quan.</t>
  </si>
  <si>
    <t xml:space="preserve">3. Trong sheet đơn: gõ mã đơn, ngày, nội dung; từng mã hàng một dòng (mã kho, tên/model, ĐVT, số lượng, đơn giá CHƯA VAT).</t>
  </si>
  <si>
    <t xml:space="preserve">    Chọn Giao hàng / Xuất hóa đơn ở ô có danh sách, gõ số hóa đơn, hạn thanh toán. VAT mặc định 8% (ô J5).</t>
  </si>
  <si>
    <t xml:space="preserve">4. Mỗi lần khách trả tiền: ghi một dòng ở bảng 'Các lần khách thanh toán' (ngày, số tiền, hình thức). Còn nợ tự trừ.</t>
  </si>
  <si>
    <t xml:space="preserve">5. Ô trắng là ô nhập. Ô xanh nhạt là công thức, không gõ vào. Thiếu dòng hàng: chèn dòng ở giữa bảng (không chèn dưới dòng Cộng).</t>
  </si>
  <si>
    <t xml:space="preserve">Màu cảnh báo: cam = đã giao chưa xuất HĐ · đỏ = quá hạn · vàng = thiếu giá / chưa giao · xanh lá = hoàn tất.</t>
  </si>
  <si>
    <t xml:space="preserve">Quá hạn tính theo ngày máy tính so với 'Hạn thanh toán'. Để trống hạn thì không tính quá hạn.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</si>
</sst>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[RED]\-#,##0;\-"/>
    <numFmt numFmtId="166" formatCode="0"/>
    <numFmt numFmtId="167" formatCode="General"/>
    <numFmt numFmtId="168" formatCode="dd/mm/yyyy"/>
    <numFmt numFmtId="169" formatCode="#,##0"/>
    <numFmt numFmtId="170" formatCode="0%"/>
    <numFmt numFmtId="171" formatCode="#,##0.##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375623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8"/>
      <color rgb="FF7F000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DEBF7"/>
        <bgColor rgb="FFE2EFDA"/>
      </patternFill>
    </fill>
    <fill>
      <patternFill patternType="solid">
        <fgColor rgb="FF375623"/>
        <bgColor rgb="FF404040"/>
      </patternFill>
    </fill>
    <fill>
      <patternFill patternType="solid">
        <fgColor rgb="FFC00000"/>
        <bgColor rgb="FF800000"/>
      </patternFill>
    </fill>
    <fill>
      <patternFill patternType="solid">
        <fgColor rgb="FF7F0000"/>
        <bgColor rgb="FF800000"/>
      </patternFill>
    </fill>
    <fill>
      <patternFill patternType="solid">
        <fgColor rgb="FFF3F8FC"/>
        <bgColor rgb="FFF9F9F9"/>
      </patternFill>
    </fill>
    <fill>
      <patternFill patternType="solid">
        <fgColor rgb="FFF2F2F2"/>
        <bgColor rgb="FFF3F8FC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AFCFE"/>
      </patternFill>
    </fill>
    <fill>
      <patternFill patternType="solid">
        <fgColor rgb="FFFAFCFE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b val="1"/>
        <color rgb="FF833C0B"/>
      </font>
      <fill>
        <patternFill>
          <bgColor rgb="FFF8CBAD"/>
        </patternFill>
      </fill>
    </dxf>
    <dxf>
      <font>
        <b val="1"/>
        <color rgb="FF7F0000"/>
      </font>
      <fill>
        <patternFill>
          <bgColor rgb="FFFF9999"/>
        </patternFill>
      </fill>
    </dxf>
    <dxf>
      <font>
        <b val="1"/>
        <color rgb="FF7F6000"/>
      </font>
      <fill>
        <patternFill>
          <bgColor rgb="FFFFE699"/>
        </patternFill>
      </fill>
    </dxf>
    <dxf>
      <font>
        <b val="1"/>
        <color rgb="FFC00000"/>
      </font>
      <fill>
        <patternFill>
          <bgColor rgb="FFD9D9D9"/>
        </patternFill>
      </fill>
    </dxf>
    <dxf>
      <font>
        <b val="1"/>
        <color rgb="FF375623"/>
      </font>
      <fill>
        <patternFill>
          <bgColor rgb="FFC6E0B4"/>
        </patternFill>
      </fill>
    </dxf>
    <dxf>
      <font>
        <color rgb="FF000000"/>
      </font>
      <fill>
        <patternFill>
          <bgColor rgb="FFC6E0B4"/>
        </patternFill>
      </fill>
    </dxf>
    <dxf>
      <font>
        <color rgb="FF000000"/>
      </font>
      <fill>
        <patternFill>
          <bgColor rgb="FFFFE699"/>
        </patternFill>
      </fill>
    </dxf>
    <dxf>
      <font>
        <b val="1"/>
        <color rgb="FFC00000"/>
      </font>
      <fill>
        <patternFill>
          <bgColor rgb="FFFCE4E4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b val="1"/>
        <color rgb="FF1F3864"/>
      </font>
      <fill>
        <patternFill>
          <bgColor rgb="FFDDEB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7F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C0504D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AFCFE"/>
      <rgbColor rgb="FF00FFFF"/>
      <rgbColor rgb="FF800080"/>
      <rgbColor rgb="FF800000"/>
      <rgbColor rgb="FF008080"/>
      <rgbColor rgb="FF0000FF"/>
      <rgbColor rgb="FF00CCFF"/>
      <rgbColor rgb="FFF3F8FC"/>
      <rgbColor rgb="FFE2EFDA"/>
      <rgbColor rgb="FFFFE699"/>
      <rgbColor rgb="FFC6E0B4"/>
      <rgbColor rgb="FFFF9999"/>
      <rgbColor rgb="FFFCE4E4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4F81BD"/>
      <rgbColor rgb="FF003300"/>
      <rgbColor rgb="FF375623"/>
      <rgbColor rgb="FF833C0B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Tổng tiền và còn nợ theo đơn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TongQuan!F12</c:f>
              <c:strCache>
                <c:ptCount val="1"/>
                <c:pt idx="0">
                  <c:v>Tổng tiền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TongQuan!$B$13:$B$32</c:f>
              <c:strCache>
                <c:ptCount val="20"/>
                <c:pt idx="0">
                  <c:v>ĐH-2610-003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TongQuan!$F$13:$F$32</c:f>
              <c:numCache>
                <c:formatCode>#,##0;[RED]\-#,##0;\-</c:formatCode>
                <c:ptCount val="20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TongQuan!H12</c:f>
              <c:strCache>
                <c:ptCount val="1"/>
                <c:pt idx="0">
                  <c:v>Còn nợ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TongQuan!$B$13:$B$32</c:f>
              <c:strCache>
                <c:ptCount val="20"/>
                <c:pt idx="0">
                  <c:v>ĐH-2610-003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TongQuan!$H$13:$H$32</c:f>
              <c:numCache>
                <c:formatCode>#,##0;[RED]\-#,##0;\-</c:formatCode>
                <c:ptCount val="20"/>
                <c:pt idx="0">
                  <c:v>0</c:v>
                </c:pt>
              </c:numCache>
            </c:numRef>
          </c:val>
        </c:ser>
        <c:gapWidth val="150"/>
        <c:overlap val="0"/>
        <c:axId val="61708892"/>
        <c:axId val="87963338"/>
      </c:barChart>
      <c:catAx>
        <c:axId val="617088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63338"/>
        <c:crosses val="autoZero"/>
        <c:auto val="1"/>
        <c:lblAlgn val="ctr"/>
        <c:lblOffset val="100"/>
        <c:noMultiLvlLbl val="0"/>
      </c:catAx>
      <c:valAx>
        <c:axId val="879633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đồng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088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63</xdr:row>
      <xdr:rowOff>78120</xdr:rowOff>
    </xdr:from>
    <xdr:to>
      <xdr:col>7</xdr:col>
      <xdr:colOff>518760</xdr:colOff>
      <xdr:row>78</xdr:row>
      <xdr:rowOff>100080</xdr:rowOff>
    </xdr:to>
    <xdr:graphicFrame>
      <xdr:nvGraphicFramePr>
        <xdr:cNvPr id="0" name="Chart 1"/>
        <xdr:cNvGraphicFramePr/>
      </xdr:nvGraphicFramePr>
      <xdr:xfrm>
        <a:off x="0" y="1278252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M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9"/>
    <col collapsed="false" customWidth="true" hidden="false" outlineLevel="0" max="8" min="6" style="0" width="16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34"/>
    <col collapsed="false" customWidth="true" hidden="false" outlineLevel="0" max="13" min="13" style="0" width="1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tr">
        <f aca="true">"Công ty TNHH Thương mại và Công nghiệp Trung Kiên  ·  cập nhật "&amp;TEXT(TODAY(),"dd/mm/yyyy")</f>
        <v>Công ty TNHH Thương mại và Công nghiệp Trung Kiên  ·  cập nhật 29/10/2026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1.75" hidden="false" customHeight="true" outlineLevel="0" collapsed="false">
      <c r="A3" s="3" t="s">
        <v>1</v>
      </c>
      <c r="B3" s="3"/>
      <c r="C3" s="4" t="s">
        <v>2</v>
      </c>
      <c r="D3" s="4"/>
      <c r="E3" s="4"/>
      <c r="F3" s="4"/>
      <c r="G3" s="4"/>
      <c r="H3" s="4"/>
    </row>
    <row r="4" customFormat="false" ht="15" hidden="false" customHeight="true" outlineLevel="0" collapsed="false">
      <c r="A4" s="3" t="s">
        <v>3</v>
      </c>
      <c r="B4" s="3"/>
      <c r="C4" s="5" t="s">
        <v>4</v>
      </c>
      <c r="D4" s="5"/>
      <c r="E4" s="5"/>
      <c r="F4" s="5"/>
      <c r="G4" s="5"/>
      <c r="H4" s="5"/>
    </row>
    <row r="5" customFormat="false" ht="15" hidden="false" customHeight="true" outlineLevel="0" collapsed="false">
      <c r="A5" s="3" t="s">
        <v>5</v>
      </c>
      <c r="B5" s="3"/>
      <c r="C5" s="5"/>
      <c r="D5" s="5"/>
      <c r="E5" s="5"/>
      <c r="F5" s="5"/>
      <c r="G5" s="5"/>
      <c r="H5" s="5"/>
    </row>
    <row r="6" customFormat="false" ht="15" hidden="false" customHeight="true" outlineLevel="0" collapsed="false">
      <c r="A6" s="3" t="s">
        <v>6</v>
      </c>
      <c r="B6" s="3"/>
      <c r="C6" s="5"/>
      <c r="D6" s="5"/>
      <c r="E6" s="5"/>
      <c r="F6" s="5"/>
      <c r="G6" s="5"/>
      <c r="H6" s="5"/>
    </row>
    <row r="8" customFormat="false" ht="15" hidden="false" customHeight="true" outlineLevel="0" collapsed="false">
      <c r="A8" s="6" t="s">
        <v>7</v>
      </c>
      <c r="B8" s="6"/>
      <c r="C8" s="6"/>
      <c r="D8" s="7" t="s">
        <v>8</v>
      </c>
      <c r="E8" s="8" t="s">
        <v>9</v>
      </c>
      <c r="F8" s="8"/>
      <c r="G8" s="8"/>
      <c r="H8" s="9" t="s">
        <v>10</v>
      </c>
      <c r="I8" s="9"/>
      <c r="J8" s="9"/>
      <c r="K8" s="6" t="s">
        <v>11</v>
      </c>
      <c r="L8" s="6"/>
      <c r="M8" s="6"/>
    </row>
    <row r="9" customFormat="false" ht="36" hidden="false" customHeight="true" outlineLevel="0" collapsed="false">
      <c r="A9" s="10" t="n">
        <f aca="false">SUM(F13:F62)</f>
        <v>0</v>
      </c>
      <c r="B9" s="10"/>
      <c r="C9" s="10"/>
      <c r="D9" s="11" t="n">
        <f aca="false">SUM(G13:G62)</f>
        <v>0</v>
      </c>
      <c r="E9" s="12" t="n">
        <f aca="false">SUM(H13:H62)</f>
        <v>0</v>
      </c>
      <c r="F9" s="12"/>
      <c r="G9" s="12"/>
      <c r="H9" s="13" t="n">
        <f aca="false">SUMIF(M13:M62,"&gt;0",H13:H62)</f>
        <v>0</v>
      </c>
      <c r="I9" s="13"/>
      <c r="J9" s="13"/>
      <c r="K9" s="14" t="n">
        <f aca="false">COUNTIF(B13:B62,"?*")</f>
        <v>1</v>
      </c>
      <c r="L9" s="14"/>
      <c r="M9" s="14"/>
    </row>
    <row r="10" customFormat="false" ht="15" hidden="false" customHeight="false" outlineLevel="0" collapsed="false">
      <c r="A10" s="15" t="str">
        <f aca="false">"Chưa giao: "&amp;COUNTIF(I13:I62,"Chưa giao")&amp;"  ·  Giao một phần: "&amp;COUNTIF(I13:I62,"Giao một phần")</f>
        <v>Chưa giao: 0  ·  Giao một phần: 0</v>
      </c>
      <c r="B10" s="15"/>
      <c r="C10" s="15"/>
      <c r="D10" s="15" t="str">
        <f aca="false">"Đã giao chưa xuất HĐ: "&amp;COUNTIFS(I13:I62,"Đã giao",J13:J62,"&lt;&gt;Đã xuất")</f>
        <v>Đã giao chưa xuất HĐ: 0</v>
      </c>
      <c r="E10" s="15"/>
      <c r="F10" s="15"/>
      <c r="G10" s="15"/>
      <c r="H10" s="15" t="str">
        <f aca="false">"Chưa thu đủ: "&amp;COUNTIF(H13:H62,"&gt;0")&amp;" đơn"</f>
        <v>Chưa thu đủ: 0 đơn</v>
      </c>
      <c r="I10" s="15"/>
      <c r="J10" s="15"/>
      <c r="K10" s="15" t="str">
        <f aca="false">"Thiếu giá: "&amp;COUNTIF(L13:L62,"*CHƯA CÓ GIÁ*")&amp;" đơn"</f>
        <v>Thiếu giá: 1 đơn</v>
      </c>
      <c r="L10" s="15"/>
      <c r="M10" s="15"/>
    </row>
    <row r="11" customFormat="false" ht="15" hidden="false" customHeight="true" outlineLevel="0" collapsed="false">
      <c r="A11" s="16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customFormat="false" ht="23.85" hidden="false" customHeight="false" outlineLevel="0" collapsed="false">
      <c r="A12" s="17" t="s">
        <v>13</v>
      </c>
      <c r="B12" s="17" t="s">
        <v>14</v>
      </c>
      <c r="C12" s="17" t="s">
        <v>15</v>
      </c>
      <c r="D12" s="17" t="s">
        <v>16</v>
      </c>
      <c r="E12" s="17" t="s">
        <v>17</v>
      </c>
      <c r="F12" s="17" t="s">
        <v>18</v>
      </c>
      <c r="G12" s="17" t="s">
        <v>19</v>
      </c>
      <c r="H12" s="17" t="s">
        <v>20</v>
      </c>
      <c r="I12" s="17" t="s">
        <v>21</v>
      </c>
      <c r="J12" s="17" t="s">
        <v>22</v>
      </c>
      <c r="K12" s="17" t="s">
        <v>23</v>
      </c>
      <c r="L12" s="17" t="s">
        <v>24</v>
      </c>
      <c r="M12" s="17" t="s">
        <v>25</v>
      </c>
    </row>
    <row r="13" customFormat="false" ht="15" hidden="false" customHeight="false" outlineLevel="0" collapsed="false">
      <c r="A13" s="18" t="n">
        <f aca="false">IF(B13="","",ROW()-12)</f>
        <v>1</v>
      </c>
      <c r="B13" s="19" t="s">
        <v>26</v>
      </c>
      <c r="C13" s="20" t="str">
        <f aca="true">IF($B13="","",IFERROR(IF(INDIRECT("'"&amp;$B13&amp;"'!C5")="","",INDIRECT("'"&amp;$B13&amp;"'!C5")),"Không thấy sheet"))</f>
        <v/>
      </c>
      <c r="D13" s="21" t="str">
        <f aca="true">IF($B13="","",IFERROR(IF(INDIRECT("'"&amp;$B13&amp;"'!C6")="","",INDIRECT("'"&amp;$B13&amp;"'!C6")),"Không thấy sheet"))</f>
        <v>Đơn hàng Dương Kính</v>
      </c>
      <c r="E13" s="18" t="n">
        <f aca="true">IF($B13="","",IFERROR(IF(INDIRECT("'"&amp;$B13&amp;"'!C9")="",0,INDIRECT("'"&amp;$B13&amp;"'!C9")),"Không thấy sheet"))</f>
        <v>2</v>
      </c>
      <c r="F13" s="22" t="n">
        <f aca="true">IF($B13="","",IFERROR(IF(INDIRECT("'"&amp;$B13&amp;"'!K6")="",0,INDIRECT("'"&amp;$B13&amp;"'!K6")),"Không thấy sheet"))</f>
        <v>0</v>
      </c>
      <c r="G13" s="22" t="n">
        <f aca="true">IF($B13="","",IFERROR(IF(INDIRECT("'"&amp;$B13&amp;"'!K7")="",0,INDIRECT("'"&amp;$B13&amp;"'!K7")),"Không thấy sheet"))</f>
        <v>0</v>
      </c>
      <c r="H13" s="22" t="n">
        <f aca="true">IF($B13="","",IFERROR(IF(INDIRECT("'"&amp;$B13&amp;"'!K8")="",0,INDIRECT("'"&amp;$B13&amp;"'!K8")),"Không thấy sheet"))</f>
        <v>0</v>
      </c>
      <c r="I13" s="23" t="str">
        <f aca="true">IF($B13="","",IFERROR(IF(INDIRECT("'"&amp;$B13&amp;"'!F4")="","",INDIRECT("'"&amp;$B13&amp;"'!F4")),"Không thấy sheet"))</f>
        <v/>
      </c>
      <c r="J13" s="23" t="str">
        <f aca="true">IF($B13="","",IFERROR(IF(INDIRECT("'"&amp;$B13&amp;"'!F6")="","",INDIRECT("'"&amp;$B13&amp;"'!F6")),"Không thấy sheet"))</f>
        <v/>
      </c>
      <c r="K13" s="20" t="str">
        <f aca="true">IF($B13="","",IFERROR(IF(INDIRECT("'"&amp;$B13&amp;"'!F8")="","",INDIRECT("'"&amp;$B13&amp;"'!F8")),"Không thấy sheet"))</f>
        <v/>
      </c>
      <c r="L13" s="21" t="str">
        <f aca="true">IF(B13="","",IFERROR(SUBSTITUTE(INDIRECT("'"&amp;$B13&amp;"'!A10"),"CẦN LÀM:  ",""),"Không thấy sheet"))</f>
        <v>Có mã hàng CHƯA CÓ GIÁ</v>
      </c>
      <c r="M13" s="23" t="str">
        <f aca="true">IF(AND(ISNUMBER(K13),ISNUMBER(H13)),IF(AND(H13&gt;0,TODAY()&gt;K13),TODAY()-K13,""),"")</f>
        <v/>
      </c>
    </row>
    <row r="14" customFormat="false" ht="15" hidden="false" customHeight="false" outlineLevel="0" collapsed="false">
      <c r="A14" s="24" t="str">
        <f aca="false">IF(B14="","",ROW()-12)</f>
        <v/>
      </c>
      <c r="B14" s="25"/>
      <c r="C14" s="26" t="str">
        <f aca="true">IF($B14="","",IFERROR(IF(INDIRECT("'"&amp;$B14&amp;"'!C5")="","",INDIRECT("'"&amp;$B14&amp;"'!C5")),"Không thấy sheet"))</f>
        <v/>
      </c>
      <c r="D14" s="27" t="str">
        <f aca="true">IF($B14="","",IFERROR(IF(INDIRECT("'"&amp;$B14&amp;"'!C6")="","",INDIRECT("'"&amp;$B14&amp;"'!C6")),"Không thấy sheet"))</f>
        <v/>
      </c>
      <c r="E14" s="24" t="str">
        <f aca="true">IF($B14="","",IFERROR(IF(INDIRECT("'"&amp;$B14&amp;"'!C9")="",0,INDIRECT("'"&amp;$B14&amp;"'!C9")),"Không thấy sheet"))</f>
        <v/>
      </c>
      <c r="F14" s="28" t="str">
        <f aca="true">IF($B14="","",IFERROR(IF(INDIRECT("'"&amp;$B14&amp;"'!K6")="",0,INDIRECT("'"&amp;$B14&amp;"'!K6")),"Không thấy sheet"))</f>
        <v/>
      </c>
      <c r="G14" s="28" t="str">
        <f aca="true">IF($B14="","",IFERROR(IF(INDIRECT("'"&amp;$B14&amp;"'!K7")="",0,INDIRECT("'"&amp;$B14&amp;"'!K7")),"Không thấy sheet"))</f>
        <v/>
      </c>
      <c r="H14" s="28" t="str">
        <f aca="true">IF($B14="","",IFERROR(IF(INDIRECT("'"&amp;$B14&amp;"'!K8")="",0,INDIRECT("'"&amp;$B14&amp;"'!K8")),"Không thấy sheet"))</f>
        <v/>
      </c>
      <c r="I14" s="24" t="str">
        <f aca="true">IF($B14="","",IFERROR(IF(INDIRECT("'"&amp;$B14&amp;"'!F4")="","",INDIRECT("'"&amp;$B14&amp;"'!F4")),"Không thấy sheet"))</f>
        <v/>
      </c>
      <c r="J14" s="24" t="str">
        <f aca="true">IF($B14="","",IFERROR(IF(INDIRECT("'"&amp;$B14&amp;"'!F6")="","",INDIRECT("'"&amp;$B14&amp;"'!F6")),"Không thấy sheet"))</f>
        <v/>
      </c>
      <c r="K14" s="26" t="str">
        <f aca="true">IF($B14="","",IFERROR(IF(INDIRECT("'"&amp;$B14&amp;"'!F8")="","",INDIRECT("'"&amp;$B14&amp;"'!F8")),"Không thấy sheet"))</f>
        <v/>
      </c>
      <c r="L14" s="27" t="str">
        <f aca="true">IF(B14="","",IFERROR(SUBSTITUTE(INDIRECT("'"&amp;$B14&amp;"'!A10"),"CẦN LÀM:  ",""),"Không thấy sheet"))</f>
        <v/>
      </c>
      <c r="M14" s="24" t="str">
        <f aca="true">IF(AND(ISNUMBER(K14),ISNUMBER(H14)),IF(AND(H14&gt;0,TODAY()&gt;K14),TODAY()-K14,""),"")</f>
        <v/>
      </c>
    </row>
    <row r="15" customFormat="false" ht="15" hidden="false" customHeight="false" outlineLevel="0" collapsed="false">
      <c r="A15" s="18" t="str">
        <f aca="false">IF(B15="","",ROW()-12)</f>
        <v/>
      </c>
      <c r="B15" s="19"/>
      <c r="C15" s="20" t="str">
        <f aca="true">IF($B15="","",IFERROR(IF(INDIRECT("'"&amp;$B15&amp;"'!C5")="","",INDIRECT("'"&amp;$B15&amp;"'!C5")),"Không thấy sheet"))</f>
        <v/>
      </c>
      <c r="D15" s="21" t="str">
        <f aca="true">IF($B15="","",IFERROR(IF(INDIRECT("'"&amp;$B15&amp;"'!C6")="","",INDIRECT("'"&amp;$B15&amp;"'!C6")),"Không thấy sheet"))</f>
        <v/>
      </c>
      <c r="E15" s="18" t="str">
        <f aca="true">IF($B15="","",IFERROR(IF(INDIRECT("'"&amp;$B15&amp;"'!C9")="",0,INDIRECT("'"&amp;$B15&amp;"'!C9")),"Không thấy sheet"))</f>
        <v/>
      </c>
      <c r="F15" s="22" t="str">
        <f aca="true">IF($B15="","",IFERROR(IF(INDIRECT("'"&amp;$B15&amp;"'!K6")="",0,INDIRECT("'"&amp;$B15&amp;"'!K6")),"Không thấy sheet"))</f>
        <v/>
      </c>
      <c r="G15" s="22" t="str">
        <f aca="true">IF($B15="","",IFERROR(IF(INDIRECT("'"&amp;$B15&amp;"'!K7")="",0,INDIRECT("'"&amp;$B15&amp;"'!K7")),"Không thấy sheet"))</f>
        <v/>
      </c>
      <c r="H15" s="22" t="str">
        <f aca="true">IF($B15="","",IFERROR(IF(INDIRECT("'"&amp;$B15&amp;"'!K8")="",0,INDIRECT("'"&amp;$B15&amp;"'!K8")),"Không thấy sheet"))</f>
        <v/>
      </c>
      <c r="I15" s="23" t="str">
        <f aca="true">IF($B15="","",IFERROR(IF(INDIRECT("'"&amp;$B15&amp;"'!F4")="","",INDIRECT("'"&amp;$B15&amp;"'!F4")),"Không thấy sheet"))</f>
        <v/>
      </c>
      <c r="J15" s="23" t="str">
        <f aca="true">IF($B15="","",IFERROR(IF(INDIRECT("'"&amp;$B15&amp;"'!F6")="","",INDIRECT("'"&amp;$B15&amp;"'!F6")),"Không thấy sheet"))</f>
        <v/>
      </c>
      <c r="K15" s="20" t="str">
        <f aca="true">IF($B15="","",IFERROR(IF(INDIRECT("'"&amp;$B15&amp;"'!F8")="","",INDIRECT("'"&amp;$B15&amp;"'!F8")),"Không thấy sheet"))</f>
        <v/>
      </c>
      <c r="L15" s="21" t="str">
        <f aca="true">IF(B15="","",IFERROR(SUBSTITUTE(INDIRECT("'"&amp;$B15&amp;"'!A10"),"CẦN LÀM:  ",""),"Không thấy sheet"))</f>
        <v/>
      </c>
      <c r="M15" s="23" t="str">
        <f aca="true">IF(AND(ISNUMBER(K15),ISNUMBER(H15)),IF(AND(H15&gt;0,TODAY()&gt;K15),TODAY()-K15,""),"")</f>
        <v/>
      </c>
    </row>
    <row r="16" customFormat="false" ht="15" hidden="false" customHeight="false" outlineLevel="0" collapsed="false">
      <c r="A16" s="24" t="str">
        <f aca="false">IF(B16="","",ROW()-12)</f>
        <v/>
      </c>
      <c r="B16" s="25"/>
      <c r="C16" s="26" t="str">
        <f aca="true">IF($B16="","",IFERROR(IF(INDIRECT("'"&amp;$B16&amp;"'!C5")="","",INDIRECT("'"&amp;$B16&amp;"'!C5")),"Không thấy sheet"))</f>
        <v/>
      </c>
      <c r="D16" s="27" t="str">
        <f aca="true">IF($B16="","",IFERROR(IF(INDIRECT("'"&amp;$B16&amp;"'!C6")="","",INDIRECT("'"&amp;$B16&amp;"'!C6")),"Không thấy sheet"))</f>
        <v/>
      </c>
      <c r="E16" s="24" t="str">
        <f aca="true">IF($B16="","",IFERROR(IF(INDIRECT("'"&amp;$B16&amp;"'!C9")="",0,INDIRECT("'"&amp;$B16&amp;"'!C9")),"Không thấy sheet"))</f>
        <v/>
      </c>
      <c r="F16" s="28" t="str">
        <f aca="true">IF($B16="","",IFERROR(IF(INDIRECT("'"&amp;$B16&amp;"'!K6")="",0,INDIRECT("'"&amp;$B16&amp;"'!K6")),"Không thấy sheet"))</f>
        <v/>
      </c>
      <c r="G16" s="28" t="str">
        <f aca="true">IF($B16="","",IFERROR(IF(INDIRECT("'"&amp;$B16&amp;"'!K7")="",0,INDIRECT("'"&amp;$B16&amp;"'!K7")),"Không thấy sheet"))</f>
        <v/>
      </c>
      <c r="H16" s="28" t="str">
        <f aca="true">IF($B16="","",IFERROR(IF(INDIRECT("'"&amp;$B16&amp;"'!K8")="",0,INDIRECT("'"&amp;$B16&amp;"'!K8")),"Không thấy sheet"))</f>
        <v/>
      </c>
      <c r="I16" s="24" t="str">
        <f aca="true">IF($B16="","",IFERROR(IF(INDIRECT("'"&amp;$B16&amp;"'!F4")="","",INDIRECT("'"&amp;$B16&amp;"'!F4")),"Không thấy sheet"))</f>
        <v/>
      </c>
      <c r="J16" s="24" t="str">
        <f aca="true">IF($B16="","",IFERROR(IF(INDIRECT("'"&amp;$B16&amp;"'!F6")="","",INDIRECT("'"&amp;$B16&amp;"'!F6")),"Không thấy sheet"))</f>
        <v/>
      </c>
      <c r="K16" s="26" t="str">
        <f aca="true">IF($B16="","",IFERROR(IF(INDIRECT("'"&amp;$B16&amp;"'!F8")="","",INDIRECT("'"&amp;$B16&amp;"'!F8")),"Không thấy sheet"))</f>
        <v/>
      </c>
      <c r="L16" s="27" t="str">
        <f aca="true">IF(B16="","",IFERROR(SUBSTITUTE(INDIRECT("'"&amp;$B16&amp;"'!A10"),"CẦN LÀM:  ",""),"Không thấy sheet"))</f>
        <v/>
      </c>
      <c r="M16" s="24" t="str">
        <f aca="true">IF(AND(ISNUMBER(K16),ISNUMBER(H16)),IF(AND(H16&gt;0,TODAY()&gt;K16),TODAY()-K16,""),"")</f>
        <v/>
      </c>
    </row>
    <row r="17" customFormat="false" ht="15" hidden="false" customHeight="false" outlineLevel="0" collapsed="false">
      <c r="A17" s="18" t="str">
        <f aca="false">IF(B17="","",ROW()-12)</f>
        <v/>
      </c>
      <c r="B17" s="19"/>
      <c r="C17" s="20" t="str">
        <f aca="true">IF($B17="","",IFERROR(IF(INDIRECT("'"&amp;$B17&amp;"'!C5")="","",INDIRECT("'"&amp;$B17&amp;"'!C5")),"Không thấy sheet"))</f>
        <v/>
      </c>
      <c r="D17" s="21" t="str">
        <f aca="true">IF($B17="","",IFERROR(IF(INDIRECT("'"&amp;$B17&amp;"'!C6")="","",INDIRECT("'"&amp;$B17&amp;"'!C6")),"Không thấy sheet"))</f>
        <v/>
      </c>
      <c r="E17" s="18" t="str">
        <f aca="true">IF($B17="","",IFERROR(IF(INDIRECT("'"&amp;$B17&amp;"'!C9")="",0,INDIRECT("'"&amp;$B17&amp;"'!C9")),"Không thấy sheet"))</f>
        <v/>
      </c>
      <c r="F17" s="22" t="str">
        <f aca="true">IF($B17="","",IFERROR(IF(INDIRECT("'"&amp;$B17&amp;"'!K6")="",0,INDIRECT("'"&amp;$B17&amp;"'!K6")),"Không thấy sheet"))</f>
        <v/>
      </c>
      <c r="G17" s="22" t="str">
        <f aca="true">IF($B17="","",IFERROR(IF(INDIRECT("'"&amp;$B17&amp;"'!K7")="",0,INDIRECT("'"&amp;$B17&amp;"'!K7")),"Không thấy sheet"))</f>
        <v/>
      </c>
      <c r="H17" s="22" t="str">
        <f aca="true">IF($B17="","",IFERROR(IF(INDIRECT("'"&amp;$B17&amp;"'!K8")="",0,INDIRECT("'"&amp;$B17&amp;"'!K8")),"Không thấy sheet"))</f>
        <v/>
      </c>
      <c r="I17" s="23" t="str">
        <f aca="true">IF($B17="","",IFERROR(IF(INDIRECT("'"&amp;$B17&amp;"'!F4")="","",INDIRECT("'"&amp;$B17&amp;"'!F4")),"Không thấy sheet"))</f>
        <v/>
      </c>
      <c r="J17" s="23" t="str">
        <f aca="true">IF($B17="","",IFERROR(IF(INDIRECT("'"&amp;$B17&amp;"'!F6")="","",INDIRECT("'"&amp;$B17&amp;"'!F6")),"Không thấy sheet"))</f>
        <v/>
      </c>
      <c r="K17" s="20" t="str">
        <f aca="true">IF($B17="","",IFERROR(IF(INDIRECT("'"&amp;$B17&amp;"'!F8")="","",INDIRECT("'"&amp;$B17&amp;"'!F8")),"Không thấy sheet"))</f>
        <v/>
      </c>
      <c r="L17" s="21" t="str">
        <f aca="true">IF(B17="","",IFERROR(SUBSTITUTE(INDIRECT("'"&amp;$B17&amp;"'!A10"),"CẦN LÀM:  ",""),"Không thấy sheet"))</f>
        <v/>
      </c>
      <c r="M17" s="23" t="str">
        <f aca="true">IF(AND(ISNUMBER(K17),ISNUMBER(H17)),IF(AND(H17&gt;0,TODAY()&gt;K17),TODAY()-K17,""),"")</f>
        <v/>
      </c>
    </row>
    <row r="18" customFormat="false" ht="15" hidden="false" customHeight="false" outlineLevel="0" collapsed="false">
      <c r="A18" s="24" t="str">
        <f aca="false">IF(B18="","",ROW()-12)</f>
        <v/>
      </c>
      <c r="B18" s="25"/>
      <c r="C18" s="26" t="str">
        <f aca="true">IF($B18="","",IFERROR(IF(INDIRECT("'"&amp;$B18&amp;"'!C5")="","",INDIRECT("'"&amp;$B18&amp;"'!C5")),"Không thấy sheet"))</f>
        <v/>
      </c>
      <c r="D18" s="27" t="str">
        <f aca="true">IF($B18="","",IFERROR(IF(INDIRECT("'"&amp;$B18&amp;"'!C6")="","",INDIRECT("'"&amp;$B18&amp;"'!C6")),"Không thấy sheet"))</f>
        <v/>
      </c>
      <c r="E18" s="24" t="str">
        <f aca="true">IF($B18="","",IFERROR(IF(INDIRECT("'"&amp;$B18&amp;"'!C9")="",0,INDIRECT("'"&amp;$B18&amp;"'!C9")),"Không thấy sheet"))</f>
        <v/>
      </c>
      <c r="F18" s="28" t="str">
        <f aca="true">IF($B18="","",IFERROR(IF(INDIRECT("'"&amp;$B18&amp;"'!K6")="",0,INDIRECT("'"&amp;$B18&amp;"'!K6")),"Không thấy sheet"))</f>
        <v/>
      </c>
      <c r="G18" s="28" t="str">
        <f aca="true">IF($B18="","",IFERROR(IF(INDIRECT("'"&amp;$B18&amp;"'!K7")="",0,INDIRECT("'"&amp;$B18&amp;"'!K7")),"Không thấy sheet"))</f>
        <v/>
      </c>
      <c r="H18" s="28" t="str">
        <f aca="true">IF($B18="","",IFERROR(IF(INDIRECT("'"&amp;$B18&amp;"'!K8")="",0,INDIRECT("'"&amp;$B18&amp;"'!K8")),"Không thấy sheet"))</f>
        <v/>
      </c>
      <c r="I18" s="24" t="str">
        <f aca="true">IF($B18="","",IFERROR(IF(INDIRECT("'"&amp;$B18&amp;"'!F4")="","",INDIRECT("'"&amp;$B18&amp;"'!F4")),"Không thấy sheet"))</f>
        <v/>
      </c>
      <c r="J18" s="24" t="str">
        <f aca="true">IF($B18="","",IFERROR(IF(INDIRECT("'"&amp;$B18&amp;"'!F6")="","",INDIRECT("'"&amp;$B18&amp;"'!F6")),"Không thấy sheet"))</f>
        <v/>
      </c>
      <c r="K18" s="26" t="str">
        <f aca="true">IF($B18="","",IFERROR(IF(INDIRECT("'"&amp;$B18&amp;"'!F8")="","",INDIRECT("'"&amp;$B18&amp;"'!F8")),"Không thấy sheet"))</f>
        <v/>
      </c>
      <c r="L18" s="27" t="str">
        <f aca="true">IF(B18="","",IFERROR(SUBSTITUTE(INDIRECT("'"&amp;$B18&amp;"'!A10"),"CẦN LÀM:  ",""),"Không thấy sheet"))</f>
        <v/>
      </c>
      <c r="M18" s="24" t="str">
        <f aca="true">IF(AND(ISNUMBER(K18),ISNUMBER(H18)),IF(AND(H18&gt;0,TODAY()&gt;K18),TODAY()-K18,""),"")</f>
        <v/>
      </c>
    </row>
    <row r="19" customFormat="false" ht="15" hidden="false" customHeight="false" outlineLevel="0" collapsed="false">
      <c r="A19" s="18" t="str">
        <f aca="false">IF(B19="","",ROW()-12)</f>
        <v/>
      </c>
      <c r="B19" s="19"/>
      <c r="C19" s="20" t="str">
        <f aca="true">IF($B19="","",IFERROR(IF(INDIRECT("'"&amp;$B19&amp;"'!C5")="","",INDIRECT("'"&amp;$B19&amp;"'!C5")),"Không thấy sheet"))</f>
        <v/>
      </c>
      <c r="D19" s="21" t="str">
        <f aca="true">IF($B19="","",IFERROR(IF(INDIRECT("'"&amp;$B19&amp;"'!C6")="","",INDIRECT("'"&amp;$B19&amp;"'!C6")),"Không thấy sheet"))</f>
        <v/>
      </c>
      <c r="E19" s="18" t="str">
        <f aca="true">IF($B19="","",IFERROR(IF(INDIRECT("'"&amp;$B19&amp;"'!C9")="",0,INDIRECT("'"&amp;$B19&amp;"'!C9")),"Không thấy sheet"))</f>
        <v/>
      </c>
      <c r="F19" s="22" t="str">
        <f aca="true">IF($B19="","",IFERROR(IF(INDIRECT("'"&amp;$B19&amp;"'!K6")="",0,INDIRECT("'"&amp;$B19&amp;"'!K6")),"Không thấy sheet"))</f>
        <v/>
      </c>
      <c r="G19" s="22" t="str">
        <f aca="true">IF($B19="","",IFERROR(IF(INDIRECT("'"&amp;$B19&amp;"'!K7")="",0,INDIRECT("'"&amp;$B19&amp;"'!K7")),"Không thấy sheet"))</f>
        <v/>
      </c>
      <c r="H19" s="22" t="str">
        <f aca="true">IF($B19="","",IFERROR(IF(INDIRECT("'"&amp;$B19&amp;"'!K8")="",0,INDIRECT("'"&amp;$B19&amp;"'!K8")),"Không thấy sheet"))</f>
        <v/>
      </c>
      <c r="I19" s="23" t="str">
        <f aca="true">IF($B19="","",IFERROR(IF(INDIRECT("'"&amp;$B19&amp;"'!F4")="","",INDIRECT("'"&amp;$B19&amp;"'!F4")),"Không thấy sheet"))</f>
        <v/>
      </c>
      <c r="J19" s="23" t="str">
        <f aca="true">IF($B19="","",IFERROR(IF(INDIRECT("'"&amp;$B19&amp;"'!F6")="","",INDIRECT("'"&amp;$B19&amp;"'!F6")),"Không thấy sheet"))</f>
        <v/>
      </c>
      <c r="K19" s="20" t="str">
        <f aca="true">IF($B19="","",IFERROR(IF(INDIRECT("'"&amp;$B19&amp;"'!F8")="","",INDIRECT("'"&amp;$B19&amp;"'!F8")),"Không thấy sheet"))</f>
        <v/>
      </c>
      <c r="L19" s="21" t="str">
        <f aca="true">IF(B19="","",IFERROR(SUBSTITUTE(INDIRECT("'"&amp;$B19&amp;"'!A10"),"CẦN LÀM:  ",""),"Không thấy sheet"))</f>
        <v/>
      </c>
      <c r="M19" s="23" t="str">
        <f aca="true">IF(AND(ISNUMBER(K19),ISNUMBER(H19)),IF(AND(H19&gt;0,TODAY()&gt;K19),TODAY()-K19,""),"")</f>
        <v/>
      </c>
    </row>
    <row r="20" customFormat="false" ht="15" hidden="false" customHeight="false" outlineLevel="0" collapsed="false">
      <c r="A20" s="24" t="str">
        <f aca="false">IF(B20="","",ROW()-12)</f>
        <v/>
      </c>
      <c r="B20" s="25"/>
      <c r="C20" s="26" t="str">
        <f aca="true">IF($B20="","",IFERROR(IF(INDIRECT("'"&amp;$B20&amp;"'!C5")="","",INDIRECT("'"&amp;$B20&amp;"'!C5")),"Không thấy sheet"))</f>
        <v/>
      </c>
      <c r="D20" s="27" t="str">
        <f aca="true">IF($B20="","",IFERROR(IF(INDIRECT("'"&amp;$B20&amp;"'!C6")="","",INDIRECT("'"&amp;$B20&amp;"'!C6")),"Không thấy sheet"))</f>
        <v/>
      </c>
      <c r="E20" s="24" t="str">
        <f aca="true">IF($B20="","",IFERROR(IF(INDIRECT("'"&amp;$B20&amp;"'!C9")="",0,INDIRECT("'"&amp;$B20&amp;"'!C9")),"Không thấy sheet"))</f>
        <v/>
      </c>
      <c r="F20" s="28" t="str">
        <f aca="true">IF($B20="","",IFERROR(IF(INDIRECT("'"&amp;$B20&amp;"'!K6")="",0,INDIRECT("'"&amp;$B20&amp;"'!K6")),"Không thấy sheet"))</f>
        <v/>
      </c>
      <c r="G20" s="28" t="str">
        <f aca="true">IF($B20="","",IFERROR(IF(INDIRECT("'"&amp;$B20&amp;"'!K7")="",0,INDIRECT("'"&amp;$B20&amp;"'!K7")),"Không thấy sheet"))</f>
        <v/>
      </c>
      <c r="H20" s="28" t="str">
        <f aca="true">IF($B20="","",IFERROR(IF(INDIRECT("'"&amp;$B20&amp;"'!K8")="",0,INDIRECT("'"&amp;$B20&amp;"'!K8")),"Không thấy sheet"))</f>
        <v/>
      </c>
      <c r="I20" s="24" t="str">
        <f aca="true">IF($B20="","",IFERROR(IF(INDIRECT("'"&amp;$B20&amp;"'!F4")="","",INDIRECT("'"&amp;$B20&amp;"'!F4")),"Không thấy sheet"))</f>
        <v/>
      </c>
      <c r="J20" s="24" t="str">
        <f aca="true">IF($B20="","",IFERROR(IF(INDIRECT("'"&amp;$B20&amp;"'!F6")="","",INDIRECT("'"&amp;$B20&amp;"'!F6")),"Không thấy sheet"))</f>
        <v/>
      </c>
      <c r="K20" s="26" t="str">
        <f aca="true">IF($B20="","",IFERROR(IF(INDIRECT("'"&amp;$B20&amp;"'!F8")="","",INDIRECT("'"&amp;$B20&amp;"'!F8")),"Không thấy sheet"))</f>
        <v/>
      </c>
      <c r="L20" s="27" t="str">
        <f aca="true">IF(B20="","",IFERROR(SUBSTITUTE(INDIRECT("'"&amp;$B20&amp;"'!A10"),"CẦN LÀM:  ",""),"Không thấy sheet"))</f>
        <v/>
      </c>
      <c r="M20" s="24" t="str">
        <f aca="true">IF(AND(ISNUMBER(K20),ISNUMBER(H20)),IF(AND(H20&gt;0,TODAY()&gt;K20),TODAY()-K20,""),"")</f>
        <v/>
      </c>
    </row>
    <row r="21" customFormat="false" ht="15" hidden="false" customHeight="false" outlineLevel="0" collapsed="false">
      <c r="A21" s="18" t="str">
        <f aca="false">IF(B21="","",ROW()-12)</f>
        <v/>
      </c>
      <c r="B21" s="19"/>
      <c r="C21" s="20" t="str">
        <f aca="true">IF($B21="","",IFERROR(IF(INDIRECT("'"&amp;$B21&amp;"'!C5")="","",INDIRECT("'"&amp;$B21&amp;"'!C5")),"Không thấy sheet"))</f>
        <v/>
      </c>
      <c r="D21" s="21" t="str">
        <f aca="true">IF($B21="","",IFERROR(IF(INDIRECT("'"&amp;$B21&amp;"'!C6")="","",INDIRECT("'"&amp;$B21&amp;"'!C6")),"Không thấy sheet"))</f>
        <v/>
      </c>
      <c r="E21" s="18" t="str">
        <f aca="true">IF($B21="","",IFERROR(IF(INDIRECT("'"&amp;$B21&amp;"'!C9")="",0,INDIRECT("'"&amp;$B21&amp;"'!C9")),"Không thấy sheet"))</f>
        <v/>
      </c>
      <c r="F21" s="22" t="str">
        <f aca="true">IF($B21="","",IFERROR(IF(INDIRECT("'"&amp;$B21&amp;"'!K6")="",0,INDIRECT("'"&amp;$B21&amp;"'!K6")),"Không thấy sheet"))</f>
        <v/>
      </c>
      <c r="G21" s="22" t="str">
        <f aca="true">IF($B21="","",IFERROR(IF(INDIRECT("'"&amp;$B21&amp;"'!K7")="",0,INDIRECT("'"&amp;$B21&amp;"'!K7")),"Không thấy sheet"))</f>
        <v/>
      </c>
      <c r="H21" s="22" t="str">
        <f aca="true">IF($B21="","",IFERROR(IF(INDIRECT("'"&amp;$B21&amp;"'!K8")="",0,INDIRECT("'"&amp;$B21&amp;"'!K8")),"Không thấy sheet"))</f>
        <v/>
      </c>
      <c r="I21" s="23" t="str">
        <f aca="true">IF($B21="","",IFERROR(IF(INDIRECT("'"&amp;$B21&amp;"'!F4")="","",INDIRECT("'"&amp;$B21&amp;"'!F4")),"Không thấy sheet"))</f>
        <v/>
      </c>
      <c r="J21" s="23" t="str">
        <f aca="true">IF($B21="","",IFERROR(IF(INDIRECT("'"&amp;$B21&amp;"'!F6")="","",INDIRECT("'"&amp;$B21&amp;"'!F6")),"Không thấy sheet"))</f>
        <v/>
      </c>
      <c r="K21" s="20" t="str">
        <f aca="true">IF($B21="","",IFERROR(IF(INDIRECT("'"&amp;$B21&amp;"'!F8")="","",INDIRECT("'"&amp;$B21&amp;"'!F8")),"Không thấy sheet"))</f>
        <v/>
      </c>
      <c r="L21" s="21" t="str">
        <f aca="true">IF(B21="","",IFERROR(SUBSTITUTE(INDIRECT("'"&amp;$B21&amp;"'!A10"),"CẦN LÀM:  ",""),"Không thấy sheet"))</f>
        <v/>
      </c>
      <c r="M21" s="23" t="str">
        <f aca="true">IF(AND(ISNUMBER(K21),ISNUMBER(H21)),IF(AND(H21&gt;0,TODAY()&gt;K21),TODAY()-K21,""),"")</f>
        <v/>
      </c>
    </row>
    <row r="22" customFormat="false" ht="15" hidden="false" customHeight="false" outlineLevel="0" collapsed="false">
      <c r="A22" s="24" t="str">
        <f aca="false">IF(B22="","",ROW()-12)</f>
        <v/>
      </c>
      <c r="B22" s="25"/>
      <c r="C22" s="26" t="str">
        <f aca="true">IF($B22="","",IFERROR(IF(INDIRECT("'"&amp;$B22&amp;"'!C5")="","",INDIRECT("'"&amp;$B22&amp;"'!C5")),"Không thấy sheet"))</f>
        <v/>
      </c>
      <c r="D22" s="27" t="str">
        <f aca="true">IF($B22="","",IFERROR(IF(INDIRECT("'"&amp;$B22&amp;"'!C6")="","",INDIRECT("'"&amp;$B22&amp;"'!C6")),"Không thấy sheet"))</f>
        <v/>
      </c>
      <c r="E22" s="24" t="str">
        <f aca="true">IF($B22="","",IFERROR(IF(INDIRECT("'"&amp;$B22&amp;"'!C9")="",0,INDIRECT("'"&amp;$B22&amp;"'!C9")),"Không thấy sheet"))</f>
        <v/>
      </c>
      <c r="F22" s="28" t="str">
        <f aca="true">IF($B22="","",IFERROR(IF(INDIRECT("'"&amp;$B22&amp;"'!K6")="",0,INDIRECT("'"&amp;$B22&amp;"'!K6")),"Không thấy sheet"))</f>
        <v/>
      </c>
      <c r="G22" s="28" t="str">
        <f aca="true">IF($B22="","",IFERROR(IF(INDIRECT("'"&amp;$B22&amp;"'!K7")="",0,INDIRECT("'"&amp;$B22&amp;"'!K7")),"Không thấy sheet"))</f>
        <v/>
      </c>
      <c r="H22" s="28" t="str">
        <f aca="true">IF($B22="","",IFERROR(IF(INDIRECT("'"&amp;$B22&amp;"'!K8")="",0,INDIRECT("'"&amp;$B22&amp;"'!K8")),"Không thấy sheet"))</f>
        <v/>
      </c>
      <c r="I22" s="24" t="str">
        <f aca="true">IF($B22="","",IFERROR(IF(INDIRECT("'"&amp;$B22&amp;"'!F4")="","",INDIRECT("'"&amp;$B22&amp;"'!F4")),"Không thấy sheet"))</f>
        <v/>
      </c>
      <c r="J22" s="24" t="str">
        <f aca="true">IF($B22="","",IFERROR(IF(INDIRECT("'"&amp;$B22&amp;"'!F6")="","",INDIRECT("'"&amp;$B22&amp;"'!F6")),"Không thấy sheet"))</f>
        <v/>
      </c>
      <c r="K22" s="26" t="str">
        <f aca="true">IF($B22="","",IFERROR(IF(INDIRECT("'"&amp;$B22&amp;"'!F8")="","",INDIRECT("'"&amp;$B22&amp;"'!F8")),"Không thấy sheet"))</f>
        <v/>
      </c>
      <c r="L22" s="27" t="str">
        <f aca="true">IF(B22="","",IFERROR(SUBSTITUTE(INDIRECT("'"&amp;$B22&amp;"'!A10"),"CẦN LÀM:  ",""),"Không thấy sheet"))</f>
        <v/>
      </c>
      <c r="M22" s="24" t="str">
        <f aca="true">IF(AND(ISNUMBER(K22),ISNUMBER(H22)),IF(AND(H22&gt;0,TODAY()&gt;K22),TODAY()-K22,""),"")</f>
        <v/>
      </c>
    </row>
    <row r="23" customFormat="false" ht="15" hidden="false" customHeight="false" outlineLevel="0" collapsed="false">
      <c r="A23" s="18" t="str">
        <f aca="false">IF(B23="","",ROW()-12)</f>
        <v/>
      </c>
      <c r="B23" s="19"/>
      <c r="C23" s="20" t="str">
        <f aca="true">IF($B23="","",IFERROR(IF(INDIRECT("'"&amp;$B23&amp;"'!C5")="","",INDIRECT("'"&amp;$B23&amp;"'!C5")),"Không thấy sheet"))</f>
        <v/>
      </c>
      <c r="D23" s="21" t="str">
        <f aca="true">IF($B23="","",IFERROR(IF(INDIRECT("'"&amp;$B23&amp;"'!C6")="","",INDIRECT("'"&amp;$B23&amp;"'!C6")),"Không thấy sheet"))</f>
        <v/>
      </c>
      <c r="E23" s="18" t="str">
        <f aca="true">IF($B23="","",IFERROR(IF(INDIRECT("'"&amp;$B23&amp;"'!C9")="",0,INDIRECT("'"&amp;$B23&amp;"'!C9")),"Không thấy sheet"))</f>
        <v/>
      </c>
      <c r="F23" s="22" t="str">
        <f aca="true">IF($B23="","",IFERROR(IF(INDIRECT("'"&amp;$B23&amp;"'!K6")="",0,INDIRECT("'"&amp;$B23&amp;"'!K6")),"Không thấy sheet"))</f>
        <v/>
      </c>
      <c r="G23" s="22" t="str">
        <f aca="true">IF($B23="","",IFERROR(IF(INDIRECT("'"&amp;$B23&amp;"'!K7")="",0,INDIRECT("'"&amp;$B23&amp;"'!K7")),"Không thấy sheet"))</f>
        <v/>
      </c>
      <c r="H23" s="22" t="str">
        <f aca="true">IF($B23="","",IFERROR(IF(INDIRECT("'"&amp;$B23&amp;"'!K8")="",0,INDIRECT("'"&amp;$B23&amp;"'!K8")),"Không thấy sheet"))</f>
        <v/>
      </c>
      <c r="I23" s="23" t="str">
        <f aca="true">IF($B23="","",IFERROR(IF(INDIRECT("'"&amp;$B23&amp;"'!F4")="","",INDIRECT("'"&amp;$B23&amp;"'!F4")),"Không thấy sheet"))</f>
        <v/>
      </c>
      <c r="J23" s="23" t="str">
        <f aca="true">IF($B23="","",IFERROR(IF(INDIRECT("'"&amp;$B23&amp;"'!F6")="","",INDIRECT("'"&amp;$B23&amp;"'!F6")),"Không thấy sheet"))</f>
        <v/>
      </c>
      <c r="K23" s="20" t="str">
        <f aca="true">IF($B23="","",IFERROR(IF(INDIRECT("'"&amp;$B23&amp;"'!F8")="","",INDIRECT("'"&amp;$B23&amp;"'!F8")),"Không thấy sheet"))</f>
        <v/>
      </c>
      <c r="L23" s="21" t="str">
        <f aca="true">IF(B23="","",IFERROR(SUBSTITUTE(INDIRECT("'"&amp;$B23&amp;"'!A10"),"CẦN LÀM:  ",""),"Không thấy sheet"))</f>
        <v/>
      </c>
      <c r="M23" s="23" t="str">
        <f aca="true">IF(AND(ISNUMBER(K23),ISNUMBER(H23)),IF(AND(H23&gt;0,TODAY()&gt;K23),TODAY()-K23,""),"")</f>
        <v/>
      </c>
    </row>
    <row r="24" customFormat="false" ht="15" hidden="false" customHeight="false" outlineLevel="0" collapsed="false">
      <c r="A24" s="24" t="str">
        <f aca="false">IF(B24="","",ROW()-12)</f>
        <v/>
      </c>
      <c r="B24" s="25"/>
      <c r="C24" s="26" t="str">
        <f aca="true">IF($B24="","",IFERROR(IF(INDIRECT("'"&amp;$B24&amp;"'!C5")="","",INDIRECT("'"&amp;$B24&amp;"'!C5")),"Không thấy sheet"))</f>
        <v/>
      </c>
      <c r="D24" s="27" t="str">
        <f aca="true">IF($B24="","",IFERROR(IF(INDIRECT("'"&amp;$B24&amp;"'!C6")="","",INDIRECT("'"&amp;$B24&amp;"'!C6")),"Không thấy sheet"))</f>
        <v/>
      </c>
      <c r="E24" s="24" t="str">
        <f aca="true">IF($B24="","",IFERROR(IF(INDIRECT("'"&amp;$B24&amp;"'!C9")="",0,INDIRECT("'"&amp;$B24&amp;"'!C9")),"Không thấy sheet"))</f>
        <v/>
      </c>
      <c r="F24" s="28" t="str">
        <f aca="true">IF($B24="","",IFERROR(IF(INDIRECT("'"&amp;$B24&amp;"'!K6")="",0,INDIRECT("'"&amp;$B24&amp;"'!K6")),"Không thấy sheet"))</f>
        <v/>
      </c>
      <c r="G24" s="28" t="str">
        <f aca="true">IF($B24="","",IFERROR(IF(INDIRECT("'"&amp;$B24&amp;"'!K7")="",0,INDIRECT("'"&amp;$B24&amp;"'!K7")),"Không thấy sheet"))</f>
        <v/>
      </c>
      <c r="H24" s="28" t="str">
        <f aca="true">IF($B24="","",IFERROR(IF(INDIRECT("'"&amp;$B24&amp;"'!K8")="",0,INDIRECT("'"&amp;$B24&amp;"'!K8")),"Không thấy sheet"))</f>
        <v/>
      </c>
      <c r="I24" s="24" t="str">
        <f aca="true">IF($B24="","",IFERROR(IF(INDIRECT("'"&amp;$B24&amp;"'!F4")="","",INDIRECT("'"&amp;$B24&amp;"'!F4")),"Không thấy sheet"))</f>
        <v/>
      </c>
      <c r="J24" s="24" t="str">
        <f aca="true">IF($B24="","",IFERROR(IF(INDIRECT("'"&amp;$B24&amp;"'!F6")="","",INDIRECT("'"&amp;$B24&amp;"'!F6")),"Không thấy sheet"))</f>
        <v/>
      </c>
      <c r="K24" s="26" t="str">
        <f aca="true">IF($B24="","",IFERROR(IF(INDIRECT("'"&amp;$B24&amp;"'!F8")="","",INDIRECT("'"&amp;$B24&amp;"'!F8")),"Không thấy sheet"))</f>
        <v/>
      </c>
      <c r="L24" s="27" t="str">
        <f aca="true">IF(B24="","",IFERROR(SUBSTITUTE(INDIRECT("'"&amp;$B24&amp;"'!A10"),"CẦN LÀM:  ",""),"Không thấy sheet"))</f>
        <v/>
      </c>
      <c r="M24" s="24" t="str">
        <f aca="true">IF(AND(ISNUMBER(K24),ISNUMBER(H24)),IF(AND(H24&gt;0,TODAY()&gt;K24),TODAY()-K24,""),"")</f>
        <v/>
      </c>
    </row>
    <row r="25" customFormat="false" ht="15" hidden="false" customHeight="false" outlineLevel="0" collapsed="false">
      <c r="A25" s="18" t="str">
        <f aca="false">IF(B25="","",ROW()-12)</f>
        <v/>
      </c>
      <c r="B25" s="19"/>
      <c r="C25" s="20" t="str">
        <f aca="true">IF($B25="","",IFERROR(IF(INDIRECT("'"&amp;$B25&amp;"'!C5")="","",INDIRECT("'"&amp;$B25&amp;"'!C5")),"Không thấy sheet"))</f>
        <v/>
      </c>
      <c r="D25" s="21" t="str">
        <f aca="true">IF($B25="","",IFERROR(IF(INDIRECT("'"&amp;$B25&amp;"'!C6")="","",INDIRECT("'"&amp;$B25&amp;"'!C6")),"Không thấy sheet"))</f>
        <v/>
      </c>
      <c r="E25" s="18" t="str">
        <f aca="true">IF($B25="","",IFERROR(IF(INDIRECT("'"&amp;$B25&amp;"'!C9")="",0,INDIRECT("'"&amp;$B25&amp;"'!C9")),"Không thấy sheet"))</f>
        <v/>
      </c>
      <c r="F25" s="22" t="str">
        <f aca="true">IF($B25="","",IFERROR(IF(INDIRECT("'"&amp;$B25&amp;"'!K6")="",0,INDIRECT("'"&amp;$B25&amp;"'!K6")),"Không thấy sheet"))</f>
        <v/>
      </c>
      <c r="G25" s="22" t="str">
        <f aca="true">IF($B25="","",IFERROR(IF(INDIRECT("'"&amp;$B25&amp;"'!K7")="",0,INDIRECT("'"&amp;$B25&amp;"'!K7")),"Không thấy sheet"))</f>
        <v/>
      </c>
      <c r="H25" s="22" t="str">
        <f aca="true">IF($B25="","",IFERROR(IF(INDIRECT("'"&amp;$B25&amp;"'!K8")="",0,INDIRECT("'"&amp;$B25&amp;"'!K8")),"Không thấy sheet"))</f>
        <v/>
      </c>
      <c r="I25" s="23" t="str">
        <f aca="true">IF($B25="","",IFERROR(IF(INDIRECT("'"&amp;$B25&amp;"'!F4")="","",INDIRECT("'"&amp;$B25&amp;"'!F4")),"Không thấy sheet"))</f>
        <v/>
      </c>
      <c r="J25" s="23" t="str">
        <f aca="true">IF($B25="","",IFERROR(IF(INDIRECT("'"&amp;$B25&amp;"'!F6")="","",INDIRECT("'"&amp;$B25&amp;"'!F6")),"Không thấy sheet"))</f>
        <v/>
      </c>
      <c r="K25" s="20" t="str">
        <f aca="true">IF($B25="","",IFERROR(IF(INDIRECT("'"&amp;$B25&amp;"'!F8")="","",INDIRECT("'"&amp;$B25&amp;"'!F8")),"Không thấy sheet"))</f>
        <v/>
      </c>
      <c r="L25" s="21" t="str">
        <f aca="true">IF(B25="","",IFERROR(SUBSTITUTE(INDIRECT("'"&amp;$B25&amp;"'!A10"),"CẦN LÀM:  ",""),"Không thấy sheet"))</f>
        <v/>
      </c>
      <c r="M25" s="23" t="str">
        <f aca="true">IF(AND(ISNUMBER(K25),ISNUMBER(H25)),IF(AND(H25&gt;0,TODAY()&gt;K25),TODAY()-K25,""),"")</f>
        <v/>
      </c>
    </row>
    <row r="26" customFormat="false" ht="15" hidden="false" customHeight="false" outlineLevel="0" collapsed="false">
      <c r="A26" s="24" t="str">
        <f aca="false">IF(B26="","",ROW()-12)</f>
        <v/>
      </c>
      <c r="B26" s="25"/>
      <c r="C26" s="26" t="str">
        <f aca="true">IF($B26="","",IFERROR(IF(INDIRECT("'"&amp;$B26&amp;"'!C5")="","",INDIRECT("'"&amp;$B26&amp;"'!C5")),"Không thấy sheet"))</f>
        <v/>
      </c>
      <c r="D26" s="27" t="str">
        <f aca="true">IF($B26="","",IFERROR(IF(INDIRECT("'"&amp;$B26&amp;"'!C6")="","",INDIRECT("'"&amp;$B26&amp;"'!C6")),"Không thấy sheet"))</f>
        <v/>
      </c>
      <c r="E26" s="24" t="str">
        <f aca="true">IF($B26="","",IFERROR(IF(INDIRECT("'"&amp;$B26&amp;"'!C9")="",0,INDIRECT("'"&amp;$B26&amp;"'!C9")),"Không thấy sheet"))</f>
        <v/>
      </c>
      <c r="F26" s="28" t="str">
        <f aca="true">IF($B26="","",IFERROR(IF(INDIRECT("'"&amp;$B26&amp;"'!K6")="",0,INDIRECT("'"&amp;$B26&amp;"'!K6")),"Không thấy sheet"))</f>
        <v/>
      </c>
      <c r="G26" s="28" t="str">
        <f aca="true">IF($B26="","",IFERROR(IF(INDIRECT("'"&amp;$B26&amp;"'!K7")="",0,INDIRECT("'"&amp;$B26&amp;"'!K7")),"Không thấy sheet"))</f>
        <v/>
      </c>
      <c r="H26" s="28" t="str">
        <f aca="true">IF($B26="","",IFERROR(IF(INDIRECT("'"&amp;$B26&amp;"'!K8")="",0,INDIRECT("'"&amp;$B26&amp;"'!K8")),"Không thấy sheet"))</f>
        <v/>
      </c>
      <c r="I26" s="24" t="str">
        <f aca="true">IF($B26="","",IFERROR(IF(INDIRECT("'"&amp;$B26&amp;"'!F4")="","",INDIRECT("'"&amp;$B26&amp;"'!F4")),"Không thấy sheet"))</f>
        <v/>
      </c>
      <c r="J26" s="24" t="str">
        <f aca="true">IF($B26="","",IFERROR(IF(INDIRECT("'"&amp;$B26&amp;"'!F6")="","",INDIRECT("'"&amp;$B26&amp;"'!F6")),"Không thấy sheet"))</f>
        <v/>
      </c>
      <c r="K26" s="26" t="str">
        <f aca="true">IF($B26="","",IFERROR(IF(INDIRECT("'"&amp;$B26&amp;"'!F8")="","",INDIRECT("'"&amp;$B26&amp;"'!F8")),"Không thấy sheet"))</f>
        <v/>
      </c>
      <c r="L26" s="27" t="str">
        <f aca="true">IF(B26="","",IFERROR(SUBSTITUTE(INDIRECT("'"&amp;$B26&amp;"'!A10"),"CẦN LÀM:  ",""),"Không thấy sheet"))</f>
        <v/>
      </c>
      <c r="M26" s="24" t="str">
        <f aca="true">IF(AND(ISNUMBER(K26),ISNUMBER(H26)),IF(AND(H26&gt;0,TODAY()&gt;K26),TODAY()-K26,""),"")</f>
        <v/>
      </c>
    </row>
    <row r="27" customFormat="false" ht="15" hidden="false" customHeight="false" outlineLevel="0" collapsed="false">
      <c r="A27" s="18" t="str">
        <f aca="false">IF(B27="","",ROW()-12)</f>
        <v/>
      </c>
      <c r="B27" s="19"/>
      <c r="C27" s="20" t="str">
        <f aca="true">IF($B27="","",IFERROR(IF(INDIRECT("'"&amp;$B27&amp;"'!C5")="","",INDIRECT("'"&amp;$B27&amp;"'!C5")),"Không thấy sheet"))</f>
        <v/>
      </c>
      <c r="D27" s="21" t="str">
        <f aca="true">IF($B27="","",IFERROR(IF(INDIRECT("'"&amp;$B27&amp;"'!C6")="","",INDIRECT("'"&amp;$B27&amp;"'!C6")),"Không thấy sheet"))</f>
        <v/>
      </c>
      <c r="E27" s="18" t="str">
        <f aca="true">IF($B27="","",IFERROR(IF(INDIRECT("'"&amp;$B27&amp;"'!C9")="",0,INDIRECT("'"&amp;$B27&amp;"'!C9")),"Không thấy sheet"))</f>
        <v/>
      </c>
      <c r="F27" s="22" t="str">
        <f aca="true">IF($B27="","",IFERROR(IF(INDIRECT("'"&amp;$B27&amp;"'!K6")="",0,INDIRECT("'"&amp;$B27&amp;"'!K6")),"Không thấy sheet"))</f>
        <v/>
      </c>
      <c r="G27" s="22" t="str">
        <f aca="true">IF($B27="","",IFERROR(IF(INDIRECT("'"&amp;$B27&amp;"'!K7")="",0,INDIRECT("'"&amp;$B27&amp;"'!K7")),"Không thấy sheet"))</f>
        <v/>
      </c>
      <c r="H27" s="22" t="str">
        <f aca="true">IF($B27="","",IFERROR(IF(INDIRECT("'"&amp;$B27&amp;"'!K8")="",0,INDIRECT("'"&amp;$B27&amp;"'!K8")),"Không thấy sheet"))</f>
        <v/>
      </c>
      <c r="I27" s="23" t="str">
        <f aca="true">IF($B27="","",IFERROR(IF(INDIRECT("'"&amp;$B27&amp;"'!F4")="","",INDIRECT("'"&amp;$B27&amp;"'!F4")),"Không thấy sheet"))</f>
        <v/>
      </c>
      <c r="J27" s="23" t="str">
        <f aca="true">IF($B27="","",IFERROR(IF(INDIRECT("'"&amp;$B27&amp;"'!F6")="","",INDIRECT("'"&amp;$B27&amp;"'!F6")),"Không thấy sheet"))</f>
        <v/>
      </c>
      <c r="K27" s="20" t="str">
        <f aca="true">IF($B27="","",IFERROR(IF(INDIRECT("'"&amp;$B27&amp;"'!F8")="","",INDIRECT("'"&amp;$B27&amp;"'!F8")),"Không thấy sheet"))</f>
        <v/>
      </c>
      <c r="L27" s="21" t="str">
        <f aca="true">IF(B27="","",IFERROR(SUBSTITUTE(INDIRECT("'"&amp;$B27&amp;"'!A10"),"CẦN LÀM:  ",""),"Không thấy sheet"))</f>
        <v/>
      </c>
      <c r="M27" s="23" t="str">
        <f aca="true">IF(AND(ISNUMBER(K27),ISNUMBER(H27)),IF(AND(H27&gt;0,TODAY()&gt;K27),TODAY()-K27,""),"")</f>
        <v/>
      </c>
    </row>
    <row r="28" customFormat="false" ht="15" hidden="false" customHeight="false" outlineLevel="0" collapsed="false">
      <c r="A28" s="24" t="str">
        <f aca="false">IF(B28="","",ROW()-12)</f>
        <v/>
      </c>
      <c r="B28" s="25"/>
      <c r="C28" s="26" t="str">
        <f aca="true">IF($B28="","",IFERROR(IF(INDIRECT("'"&amp;$B28&amp;"'!C5")="","",INDIRECT("'"&amp;$B28&amp;"'!C5")),"Không thấy sheet"))</f>
        <v/>
      </c>
      <c r="D28" s="27" t="str">
        <f aca="true">IF($B28="","",IFERROR(IF(INDIRECT("'"&amp;$B28&amp;"'!C6")="","",INDIRECT("'"&amp;$B28&amp;"'!C6")),"Không thấy sheet"))</f>
        <v/>
      </c>
      <c r="E28" s="24" t="str">
        <f aca="true">IF($B28="","",IFERROR(IF(INDIRECT("'"&amp;$B28&amp;"'!C9")="",0,INDIRECT("'"&amp;$B28&amp;"'!C9")),"Không thấy sheet"))</f>
        <v/>
      </c>
      <c r="F28" s="28" t="str">
        <f aca="true">IF($B28="","",IFERROR(IF(INDIRECT("'"&amp;$B28&amp;"'!K6")="",0,INDIRECT("'"&amp;$B28&amp;"'!K6")),"Không thấy sheet"))</f>
        <v/>
      </c>
      <c r="G28" s="28" t="str">
        <f aca="true">IF($B28="","",IFERROR(IF(INDIRECT("'"&amp;$B28&amp;"'!K7")="",0,INDIRECT("'"&amp;$B28&amp;"'!K7")),"Không thấy sheet"))</f>
        <v/>
      </c>
      <c r="H28" s="28" t="str">
        <f aca="true">IF($B28="","",IFERROR(IF(INDIRECT("'"&amp;$B28&amp;"'!K8")="",0,INDIRECT("'"&amp;$B28&amp;"'!K8")),"Không thấy sheet"))</f>
        <v/>
      </c>
      <c r="I28" s="24" t="str">
        <f aca="true">IF($B28="","",IFERROR(IF(INDIRECT("'"&amp;$B28&amp;"'!F4")="","",INDIRECT("'"&amp;$B28&amp;"'!F4")),"Không thấy sheet"))</f>
        <v/>
      </c>
      <c r="J28" s="24" t="str">
        <f aca="true">IF($B28="","",IFERROR(IF(INDIRECT("'"&amp;$B28&amp;"'!F6")="","",INDIRECT("'"&amp;$B28&amp;"'!F6")),"Không thấy sheet"))</f>
        <v/>
      </c>
      <c r="K28" s="26" t="str">
        <f aca="true">IF($B28="","",IFERROR(IF(INDIRECT("'"&amp;$B28&amp;"'!F8")="","",INDIRECT("'"&amp;$B28&amp;"'!F8")),"Không thấy sheet"))</f>
        <v/>
      </c>
      <c r="L28" s="27" t="str">
        <f aca="true">IF(B28="","",IFERROR(SUBSTITUTE(INDIRECT("'"&amp;$B28&amp;"'!A10"),"CẦN LÀM:  ",""),"Không thấy sheet"))</f>
        <v/>
      </c>
      <c r="M28" s="24" t="str">
        <f aca="true">IF(AND(ISNUMBER(K28),ISNUMBER(H28)),IF(AND(H28&gt;0,TODAY()&gt;K28),TODAY()-K28,""),"")</f>
        <v/>
      </c>
    </row>
    <row r="29" customFormat="false" ht="15" hidden="false" customHeight="false" outlineLevel="0" collapsed="false">
      <c r="A29" s="18" t="str">
        <f aca="false">IF(B29="","",ROW()-12)</f>
        <v/>
      </c>
      <c r="B29" s="19"/>
      <c r="C29" s="20" t="str">
        <f aca="true">IF($B29="","",IFERROR(IF(INDIRECT("'"&amp;$B29&amp;"'!C5")="","",INDIRECT("'"&amp;$B29&amp;"'!C5")),"Không thấy sheet"))</f>
        <v/>
      </c>
      <c r="D29" s="21" t="str">
        <f aca="true">IF($B29="","",IFERROR(IF(INDIRECT("'"&amp;$B29&amp;"'!C6")="","",INDIRECT("'"&amp;$B29&amp;"'!C6")),"Không thấy sheet"))</f>
        <v/>
      </c>
      <c r="E29" s="18" t="str">
        <f aca="true">IF($B29="","",IFERROR(IF(INDIRECT("'"&amp;$B29&amp;"'!C9")="",0,INDIRECT("'"&amp;$B29&amp;"'!C9")),"Không thấy sheet"))</f>
        <v/>
      </c>
      <c r="F29" s="22" t="str">
        <f aca="true">IF($B29="","",IFERROR(IF(INDIRECT("'"&amp;$B29&amp;"'!K6")="",0,INDIRECT("'"&amp;$B29&amp;"'!K6")),"Không thấy sheet"))</f>
        <v/>
      </c>
      <c r="G29" s="22" t="str">
        <f aca="true">IF($B29="","",IFERROR(IF(INDIRECT("'"&amp;$B29&amp;"'!K7")="",0,INDIRECT("'"&amp;$B29&amp;"'!K7")),"Không thấy sheet"))</f>
        <v/>
      </c>
      <c r="H29" s="22" t="str">
        <f aca="true">IF($B29="","",IFERROR(IF(INDIRECT("'"&amp;$B29&amp;"'!K8")="",0,INDIRECT("'"&amp;$B29&amp;"'!K8")),"Không thấy sheet"))</f>
        <v/>
      </c>
      <c r="I29" s="23" t="str">
        <f aca="true">IF($B29="","",IFERROR(IF(INDIRECT("'"&amp;$B29&amp;"'!F4")="","",INDIRECT("'"&amp;$B29&amp;"'!F4")),"Không thấy sheet"))</f>
        <v/>
      </c>
      <c r="J29" s="23" t="str">
        <f aca="true">IF($B29="","",IFERROR(IF(INDIRECT("'"&amp;$B29&amp;"'!F6")="","",INDIRECT("'"&amp;$B29&amp;"'!F6")),"Không thấy sheet"))</f>
        <v/>
      </c>
      <c r="K29" s="20" t="str">
        <f aca="true">IF($B29="","",IFERROR(IF(INDIRECT("'"&amp;$B29&amp;"'!F8")="","",INDIRECT("'"&amp;$B29&amp;"'!F8")),"Không thấy sheet"))</f>
        <v/>
      </c>
      <c r="L29" s="21" t="str">
        <f aca="true">IF(B29="","",IFERROR(SUBSTITUTE(INDIRECT("'"&amp;$B29&amp;"'!A10"),"CẦN LÀM:  ",""),"Không thấy sheet"))</f>
        <v/>
      </c>
      <c r="M29" s="23" t="str">
        <f aca="true">IF(AND(ISNUMBER(K29),ISNUMBER(H29)),IF(AND(H29&gt;0,TODAY()&gt;K29),TODAY()-K29,""),"")</f>
        <v/>
      </c>
    </row>
    <row r="30" customFormat="false" ht="15" hidden="false" customHeight="false" outlineLevel="0" collapsed="false">
      <c r="A30" s="24" t="str">
        <f aca="false">IF(B30="","",ROW()-12)</f>
        <v/>
      </c>
      <c r="B30" s="25"/>
      <c r="C30" s="26" t="str">
        <f aca="true">IF($B30="","",IFERROR(IF(INDIRECT("'"&amp;$B30&amp;"'!C5")="","",INDIRECT("'"&amp;$B30&amp;"'!C5")),"Không thấy sheet"))</f>
        <v/>
      </c>
      <c r="D30" s="27" t="str">
        <f aca="true">IF($B30="","",IFERROR(IF(INDIRECT("'"&amp;$B30&amp;"'!C6")="","",INDIRECT("'"&amp;$B30&amp;"'!C6")),"Không thấy sheet"))</f>
        <v/>
      </c>
      <c r="E30" s="24" t="str">
        <f aca="true">IF($B30="","",IFERROR(IF(INDIRECT("'"&amp;$B30&amp;"'!C9")="",0,INDIRECT("'"&amp;$B30&amp;"'!C9")),"Không thấy sheet"))</f>
        <v/>
      </c>
      <c r="F30" s="28" t="str">
        <f aca="true">IF($B30="","",IFERROR(IF(INDIRECT("'"&amp;$B30&amp;"'!K6")="",0,INDIRECT("'"&amp;$B30&amp;"'!K6")),"Không thấy sheet"))</f>
        <v/>
      </c>
      <c r="G30" s="28" t="str">
        <f aca="true">IF($B30="","",IFERROR(IF(INDIRECT("'"&amp;$B30&amp;"'!K7")="",0,INDIRECT("'"&amp;$B30&amp;"'!K7")),"Không thấy sheet"))</f>
        <v/>
      </c>
      <c r="H30" s="28" t="str">
        <f aca="true">IF($B30="","",IFERROR(IF(INDIRECT("'"&amp;$B30&amp;"'!K8")="",0,INDIRECT("'"&amp;$B30&amp;"'!K8")),"Không thấy sheet"))</f>
        <v/>
      </c>
      <c r="I30" s="24" t="str">
        <f aca="true">IF($B30="","",IFERROR(IF(INDIRECT("'"&amp;$B30&amp;"'!F4")="","",INDIRECT("'"&amp;$B30&amp;"'!F4")),"Không thấy sheet"))</f>
        <v/>
      </c>
      <c r="J30" s="24" t="str">
        <f aca="true">IF($B30="","",IFERROR(IF(INDIRECT("'"&amp;$B30&amp;"'!F6")="","",INDIRECT("'"&amp;$B30&amp;"'!F6")),"Không thấy sheet"))</f>
        <v/>
      </c>
      <c r="K30" s="26" t="str">
        <f aca="true">IF($B30="","",IFERROR(IF(INDIRECT("'"&amp;$B30&amp;"'!F8")="","",INDIRECT("'"&amp;$B30&amp;"'!F8")),"Không thấy sheet"))</f>
        <v/>
      </c>
      <c r="L30" s="27" t="str">
        <f aca="true">IF(B30="","",IFERROR(SUBSTITUTE(INDIRECT("'"&amp;$B30&amp;"'!A10"),"CẦN LÀM:  ",""),"Không thấy sheet"))</f>
        <v/>
      </c>
      <c r="M30" s="24" t="str">
        <f aca="true">IF(AND(ISNUMBER(K30),ISNUMBER(H30)),IF(AND(H30&gt;0,TODAY()&gt;K30),TODAY()-K30,""),"")</f>
        <v/>
      </c>
    </row>
    <row r="31" customFormat="false" ht="15" hidden="false" customHeight="false" outlineLevel="0" collapsed="false">
      <c r="A31" s="18" t="str">
        <f aca="false">IF(B31="","",ROW()-12)</f>
        <v/>
      </c>
      <c r="B31" s="19"/>
      <c r="C31" s="20" t="str">
        <f aca="true">IF($B31="","",IFERROR(IF(INDIRECT("'"&amp;$B31&amp;"'!C5")="","",INDIRECT("'"&amp;$B31&amp;"'!C5")),"Không thấy sheet"))</f>
        <v/>
      </c>
      <c r="D31" s="21" t="str">
        <f aca="true">IF($B31="","",IFERROR(IF(INDIRECT("'"&amp;$B31&amp;"'!C6")="","",INDIRECT("'"&amp;$B31&amp;"'!C6")),"Không thấy sheet"))</f>
        <v/>
      </c>
      <c r="E31" s="18" t="str">
        <f aca="true">IF($B31="","",IFERROR(IF(INDIRECT("'"&amp;$B31&amp;"'!C9")="",0,INDIRECT("'"&amp;$B31&amp;"'!C9")),"Không thấy sheet"))</f>
        <v/>
      </c>
      <c r="F31" s="22" t="str">
        <f aca="true">IF($B31="","",IFERROR(IF(INDIRECT("'"&amp;$B31&amp;"'!K6")="",0,INDIRECT("'"&amp;$B31&amp;"'!K6")),"Không thấy sheet"))</f>
        <v/>
      </c>
      <c r="G31" s="22" t="str">
        <f aca="true">IF($B31="","",IFERROR(IF(INDIRECT("'"&amp;$B31&amp;"'!K7")="",0,INDIRECT("'"&amp;$B31&amp;"'!K7")),"Không thấy sheet"))</f>
        <v/>
      </c>
      <c r="H31" s="22" t="str">
        <f aca="true">IF($B31="","",IFERROR(IF(INDIRECT("'"&amp;$B31&amp;"'!K8")="",0,INDIRECT("'"&amp;$B31&amp;"'!K8")),"Không thấy sheet"))</f>
        <v/>
      </c>
      <c r="I31" s="23" t="str">
        <f aca="true">IF($B31="","",IFERROR(IF(INDIRECT("'"&amp;$B31&amp;"'!F4")="","",INDIRECT("'"&amp;$B31&amp;"'!F4")),"Không thấy sheet"))</f>
        <v/>
      </c>
      <c r="J31" s="23" t="str">
        <f aca="true">IF($B31="","",IFERROR(IF(INDIRECT("'"&amp;$B31&amp;"'!F6")="","",INDIRECT("'"&amp;$B31&amp;"'!F6")),"Không thấy sheet"))</f>
        <v/>
      </c>
      <c r="K31" s="20" t="str">
        <f aca="true">IF($B31="","",IFERROR(IF(INDIRECT("'"&amp;$B31&amp;"'!F8")="","",INDIRECT("'"&amp;$B31&amp;"'!F8")),"Không thấy sheet"))</f>
        <v/>
      </c>
      <c r="L31" s="21" t="str">
        <f aca="true">IF(B31="","",IFERROR(SUBSTITUTE(INDIRECT("'"&amp;$B31&amp;"'!A10"),"CẦN LÀM:  ",""),"Không thấy sheet"))</f>
        <v/>
      </c>
      <c r="M31" s="23" t="str">
        <f aca="true">IF(AND(ISNUMBER(K31),ISNUMBER(H31)),IF(AND(H31&gt;0,TODAY()&gt;K31),TODAY()-K31,""),"")</f>
        <v/>
      </c>
    </row>
    <row r="32" customFormat="false" ht="15" hidden="false" customHeight="false" outlineLevel="0" collapsed="false">
      <c r="A32" s="24" t="str">
        <f aca="false">IF(B32="","",ROW()-12)</f>
        <v/>
      </c>
      <c r="B32" s="25"/>
      <c r="C32" s="26" t="str">
        <f aca="true">IF($B32="","",IFERROR(IF(INDIRECT("'"&amp;$B32&amp;"'!C5")="","",INDIRECT("'"&amp;$B32&amp;"'!C5")),"Không thấy sheet"))</f>
        <v/>
      </c>
      <c r="D32" s="27" t="str">
        <f aca="true">IF($B32="","",IFERROR(IF(INDIRECT("'"&amp;$B32&amp;"'!C6")="","",INDIRECT("'"&amp;$B32&amp;"'!C6")),"Không thấy sheet"))</f>
        <v/>
      </c>
      <c r="E32" s="24" t="str">
        <f aca="true">IF($B32="","",IFERROR(IF(INDIRECT("'"&amp;$B32&amp;"'!C9")="",0,INDIRECT("'"&amp;$B32&amp;"'!C9")),"Không thấy sheet"))</f>
        <v/>
      </c>
      <c r="F32" s="28" t="str">
        <f aca="true">IF($B32="","",IFERROR(IF(INDIRECT("'"&amp;$B32&amp;"'!K6")="",0,INDIRECT("'"&amp;$B32&amp;"'!K6")),"Không thấy sheet"))</f>
        <v/>
      </c>
      <c r="G32" s="28" t="str">
        <f aca="true">IF($B32="","",IFERROR(IF(INDIRECT("'"&amp;$B32&amp;"'!K7")="",0,INDIRECT("'"&amp;$B32&amp;"'!K7")),"Không thấy sheet"))</f>
        <v/>
      </c>
      <c r="H32" s="28" t="str">
        <f aca="true">IF($B32="","",IFERROR(IF(INDIRECT("'"&amp;$B32&amp;"'!K8")="",0,INDIRECT("'"&amp;$B32&amp;"'!K8")),"Không thấy sheet"))</f>
        <v/>
      </c>
      <c r="I32" s="24" t="str">
        <f aca="true">IF($B32="","",IFERROR(IF(INDIRECT("'"&amp;$B32&amp;"'!F4")="","",INDIRECT("'"&amp;$B32&amp;"'!F4")),"Không thấy sheet"))</f>
        <v/>
      </c>
      <c r="J32" s="24" t="str">
        <f aca="true">IF($B32="","",IFERROR(IF(INDIRECT("'"&amp;$B32&amp;"'!F6")="","",INDIRECT("'"&amp;$B32&amp;"'!F6")),"Không thấy sheet"))</f>
        <v/>
      </c>
      <c r="K32" s="26" t="str">
        <f aca="true">IF($B32="","",IFERROR(IF(INDIRECT("'"&amp;$B32&amp;"'!F8")="","",INDIRECT("'"&amp;$B32&amp;"'!F8")),"Không thấy sheet"))</f>
        <v/>
      </c>
      <c r="L32" s="27" t="str">
        <f aca="true">IF(B32="","",IFERROR(SUBSTITUTE(INDIRECT("'"&amp;$B32&amp;"'!A10"),"CẦN LÀM:  ",""),"Không thấy sheet"))</f>
        <v/>
      </c>
      <c r="M32" s="24" t="str">
        <f aca="true">IF(AND(ISNUMBER(K32),ISNUMBER(H32)),IF(AND(H32&gt;0,TODAY()&gt;K32),TODAY()-K32,""),"")</f>
        <v/>
      </c>
    </row>
    <row r="33" customFormat="false" ht="15" hidden="false" customHeight="false" outlineLevel="0" collapsed="false">
      <c r="A33" s="18" t="str">
        <f aca="false">IF(B33="","",ROW()-12)</f>
        <v/>
      </c>
      <c r="B33" s="19"/>
      <c r="C33" s="20" t="str">
        <f aca="true">IF($B33="","",IFERROR(IF(INDIRECT("'"&amp;$B33&amp;"'!C5")="","",INDIRECT("'"&amp;$B33&amp;"'!C5")),"Không thấy sheet"))</f>
        <v/>
      </c>
      <c r="D33" s="21" t="str">
        <f aca="true">IF($B33="","",IFERROR(IF(INDIRECT("'"&amp;$B33&amp;"'!C6")="","",INDIRECT("'"&amp;$B33&amp;"'!C6")),"Không thấy sheet"))</f>
        <v/>
      </c>
      <c r="E33" s="18" t="str">
        <f aca="true">IF($B33="","",IFERROR(IF(INDIRECT("'"&amp;$B33&amp;"'!C9")="",0,INDIRECT("'"&amp;$B33&amp;"'!C9")),"Không thấy sheet"))</f>
        <v/>
      </c>
      <c r="F33" s="22" t="str">
        <f aca="true">IF($B33="","",IFERROR(IF(INDIRECT("'"&amp;$B33&amp;"'!K6")="",0,INDIRECT("'"&amp;$B33&amp;"'!K6")),"Không thấy sheet"))</f>
        <v/>
      </c>
      <c r="G33" s="22" t="str">
        <f aca="true">IF($B33="","",IFERROR(IF(INDIRECT("'"&amp;$B33&amp;"'!K7")="",0,INDIRECT("'"&amp;$B33&amp;"'!K7")),"Không thấy sheet"))</f>
        <v/>
      </c>
      <c r="H33" s="22" t="str">
        <f aca="true">IF($B33="","",IFERROR(IF(INDIRECT("'"&amp;$B33&amp;"'!K8")="",0,INDIRECT("'"&amp;$B33&amp;"'!K8")),"Không thấy sheet"))</f>
        <v/>
      </c>
      <c r="I33" s="23" t="str">
        <f aca="true">IF($B33="","",IFERROR(IF(INDIRECT("'"&amp;$B33&amp;"'!F4")="","",INDIRECT("'"&amp;$B33&amp;"'!F4")),"Không thấy sheet"))</f>
        <v/>
      </c>
      <c r="J33" s="23" t="str">
        <f aca="true">IF($B33="","",IFERROR(IF(INDIRECT("'"&amp;$B33&amp;"'!F6")="","",INDIRECT("'"&amp;$B33&amp;"'!F6")),"Không thấy sheet"))</f>
        <v/>
      </c>
      <c r="K33" s="20" t="str">
        <f aca="true">IF($B33="","",IFERROR(IF(INDIRECT("'"&amp;$B33&amp;"'!F8")="","",INDIRECT("'"&amp;$B33&amp;"'!F8")),"Không thấy sheet"))</f>
        <v/>
      </c>
      <c r="L33" s="21" t="str">
        <f aca="true">IF(B33="","",IFERROR(SUBSTITUTE(INDIRECT("'"&amp;$B33&amp;"'!A10"),"CẦN LÀM:  ",""),"Không thấy sheet"))</f>
        <v/>
      </c>
      <c r="M33" s="23" t="str">
        <f aca="true">IF(AND(ISNUMBER(K33),ISNUMBER(H33)),IF(AND(H33&gt;0,TODAY()&gt;K33),TODAY()-K33,""),"")</f>
        <v/>
      </c>
    </row>
    <row r="34" customFormat="false" ht="15" hidden="false" customHeight="false" outlineLevel="0" collapsed="false">
      <c r="A34" s="24" t="str">
        <f aca="false">IF(B34="","",ROW()-12)</f>
        <v/>
      </c>
      <c r="B34" s="25"/>
      <c r="C34" s="26" t="str">
        <f aca="true">IF($B34="","",IFERROR(IF(INDIRECT("'"&amp;$B34&amp;"'!C5")="","",INDIRECT("'"&amp;$B34&amp;"'!C5")),"Không thấy sheet"))</f>
        <v/>
      </c>
      <c r="D34" s="27" t="str">
        <f aca="true">IF($B34="","",IFERROR(IF(INDIRECT("'"&amp;$B34&amp;"'!C6")="","",INDIRECT("'"&amp;$B34&amp;"'!C6")),"Không thấy sheet"))</f>
        <v/>
      </c>
      <c r="E34" s="24" t="str">
        <f aca="true">IF($B34="","",IFERROR(IF(INDIRECT("'"&amp;$B34&amp;"'!C9")="",0,INDIRECT("'"&amp;$B34&amp;"'!C9")),"Không thấy sheet"))</f>
        <v/>
      </c>
      <c r="F34" s="28" t="str">
        <f aca="true">IF($B34="","",IFERROR(IF(INDIRECT("'"&amp;$B34&amp;"'!K6")="",0,INDIRECT("'"&amp;$B34&amp;"'!K6")),"Không thấy sheet"))</f>
        <v/>
      </c>
      <c r="G34" s="28" t="str">
        <f aca="true">IF($B34="","",IFERROR(IF(INDIRECT("'"&amp;$B34&amp;"'!K7")="",0,INDIRECT("'"&amp;$B34&amp;"'!K7")),"Không thấy sheet"))</f>
        <v/>
      </c>
      <c r="H34" s="28" t="str">
        <f aca="true">IF($B34="","",IFERROR(IF(INDIRECT("'"&amp;$B34&amp;"'!K8")="",0,INDIRECT("'"&amp;$B34&amp;"'!K8")),"Không thấy sheet"))</f>
        <v/>
      </c>
      <c r="I34" s="24" t="str">
        <f aca="true">IF($B34="","",IFERROR(IF(INDIRECT("'"&amp;$B34&amp;"'!F4")="","",INDIRECT("'"&amp;$B34&amp;"'!F4")),"Không thấy sheet"))</f>
        <v/>
      </c>
      <c r="J34" s="24" t="str">
        <f aca="true">IF($B34="","",IFERROR(IF(INDIRECT("'"&amp;$B34&amp;"'!F6")="","",INDIRECT("'"&amp;$B34&amp;"'!F6")),"Không thấy sheet"))</f>
        <v/>
      </c>
      <c r="K34" s="26" t="str">
        <f aca="true">IF($B34="","",IFERROR(IF(INDIRECT("'"&amp;$B34&amp;"'!F8")="","",INDIRECT("'"&amp;$B34&amp;"'!F8")),"Không thấy sheet"))</f>
        <v/>
      </c>
      <c r="L34" s="27" t="str">
        <f aca="true">IF(B34="","",IFERROR(SUBSTITUTE(INDIRECT("'"&amp;$B34&amp;"'!A10"),"CẦN LÀM:  ",""),"Không thấy sheet"))</f>
        <v/>
      </c>
      <c r="M34" s="24" t="str">
        <f aca="true">IF(AND(ISNUMBER(K34),ISNUMBER(H34)),IF(AND(H34&gt;0,TODAY()&gt;K34),TODAY()-K34,""),"")</f>
        <v/>
      </c>
    </row>
    <row r="35" customFormat="false" ht="15" hidden="false" customHeight="false" outlineLevel="0" collapsed="false">
      <c r="A35" s="18" t="str">
        <f aca="false">IF(B35="","",ROW()-12)</f>
        <v/>
      </c>
      <c r="B35" s="19"/>
      <c r="C35" s="20" t="str">
        <f aca="true">IF($B35="","",IFERROR(IF(INDIRECT("'"&amp;$B35&amp;"'!C5")="","",INDIRECT("'"&amp;$B35&amp;"'!C5")),"Không thấy sheet"))</f>
        <v/>
      </c>
      <c r="D35" s="21" t="str">
        <f aca="true">IF($B35="","",IFERROR(IF(INDIRECT("'"&amp;$B35&amp;"'!C6")="","",INDIRECT("'"&amp;$B35&amp;"'!C6")),"Không thấy sheet"))</f>
        <v/>
      </c>
      <c r="E35" s="18" t="str">
        <f aca="true">IF($B35="","",IFERROR(IF(INDIRECT("'"&amp;$B35&amp;"'!C9")="",0,INDIRECT("'"&amp;$B35&amp;"'!C9")),"Không thấy sheet"))</f>
        <v/>
      </c>
      <c r="F35" s="22" t="str">
        <f aca="true">IF($B35="","",IFERROR(IF(INDIRECT("'"&amp;$B35&amp;"'!K6")="",0,INDIRECT("'"&amp;$B35&amp;"'!K6")),"Không thấy sheet"))</f>
        <v/>
      </c>
      <c r="G35" s="22" t="str">
        <f aca="true">IF($B35="","",IFERROR(IF(INDIRECT("'"&amp;$B35&amp;"'!K7")="",0,INDIRECT("'"&amp;$B35&amp;"'!K7")),"Không thấy sheet"))</f>
        <v/>
      </c>
      <c r="H35" s="22" t="str">
        <f aca="true">IF($B35="","",IFERROR(IF(INDIRECT("'"&amp;$B35&amp;"'!K8")="",0,INDIRECT("'"&amp;$B35&amp;"'!K8")),"Không thấy sheet"))</f>
        <v/>
      </c>
      <c r="I35" s="23" t="str">
        <f aca="true">IF($B35="","",IFERROR(IF(INDIRECT("'"&amp;$B35&amp;"'!F4")="","",INDIRECT("'"&amp;$B35&amp;"'!F4")),"Không thấy sheet"))</f>
        <v/>
      </c>
      <c r="J35" s="23" t="str">
        <f aca="true">IF($B35="","",IFERROR(IF(INDIRECT("'"&amp;$B35&amp;"'!F6")="","",INDIRECT("'"&amp;$B35&amp;"'!F6")),"Không thấy sheet"))</f>
        <v/>
      </c>
      <c r="K35" s="20" t="str">
        <f aca="true">IF($B35="","",IFERROR(IF(INDIRECT("'"&amp;$B35&amp;"'!F8")="","",INDIRECT("'"&amp;$B35&amp;"'!F8")),"Không thấy sheet"))</f>
        <v/>
      </c>
      <c r="L35" s="21" t="str">
        <f aca="true">IF(B35="","",IFERROR(SUBSTITUTE(INDIRECT("'"&amp;$B35&amp;"'!A10"),"CẦN LÀM:  ",""),"Không thấy sheet"))</f>
        <v/>
      </c>
      <c r="M35" s="23" t="str">
        <f aca="true">IF(AND(ISNUMBER(K35),ISNUMBER(H35)),IF(AND(H35&gt;0,TODAY()&gt;K35),TODAY()-K35,""),"")</f>
        <v/>
      </c>
    </row>
    <row r="36" customFormat="false" ht="15" hidden="false" customHeight="false" outlineLevel="0" collapsed="false">
      <c r="A36" s="24" t="str">
        <f aca="false">IF(B36="","",ROW()-12)</f>
        <v/>
      </c>
      <c r="B36" s="25"/>
      <c r="C36" s="26" t="str">
        <f aca="true">IF($B36="","",IFERROR(IF(INDIRECT("'"&amp;$B36&amp;"'!C5")="","",INDIRECT("'"&amp;$B36&amp;"'!C5")),"Không thấy sheet"))</f>
        <v/>
      </c>
      <c r="D36" s="27" t="str">
        <f aca="true">IF($B36="","",IFERROR(IF(INDIRECT("'"&amp;$B36&amp;"'!C6")="","",INDIRECT("'"&amp;$B36&amp;"'!C6")),"Không thấy sheet"))</f>
        <v/>
      </c>
      <c r="E36" s="24" t="str">
        <f aca="true">IF($B36="","",IFERROR(IF(INDIRECT("'"&amp;$B36&amp;"'!C9")="",0,INDIRECT("'"&amp;$B36&amp;"'!C9")),"Không thấy sheet"))</f>
        <v/>
      </c>
      <c r="F36" s="28" t="str">
        <f aca="true">IF($B36="","",IFERROR(IF(INDIRECT("'"&amp;$B36&amp;"'!K6")="",0,INDIRECT("'"&amp;$B36&amp;"'!K6")),"Không thấy sheet"))</f>
        <v/>
      </c>
      <c r="G36" s="28" t="str">
        <f aca="true">IF($B36="","",IFERROR(IF(INDIRECT("'"&amp;$B36&amp;"'!K7")="",0,INDIRECT("'"&amp;$B36&amp;"'!K7")),"Không thấy sheet"))</f>
        <v/>
      </c>
      <c r="H36" s="28" t="str">
        <f aca="true">IF($B36="","",IFERROR(IF(INDIRECT("'"&amp;$B36&amp;"'!K8")="",0,INDIRECT("'"&amp;$B36&amp;"'!K8")),"Không thấy sheet"))</f>
        <v/>
      </c>
      <c r="I36" s="24" t="str">
        <f aca="true">IF($B36="","",IFERROR(IF(INDIRECT("'"&amp;$B36&amp;"'!F4")="","",INDIRECT("'"&amp;$B36&amp;"'!F4")),"Không thấy sheet"))</f>
        <v/>
      </c>
      <c r="J36" s="24" t="str">
        <f aca="true">IF($B36="","",IFERROR(IF(INDIRECT("'"&amp;$B36&amp;"'!F6")="","",INDIRECT("'"&amp;$B36&amp;"'!F6")),"Không thấy sheet"))</f>
        <v/>
      </c>
      <c r="K36" s="26" t="str">
        <f aca="true">IF($B36="","",IFERROR(IF(INDIRECT("'"&amp;$B36&amp;"'!F8")="","",INDIRECT("'"&amp;$B36&amp;"'!F8")),"Không thấy sheet"))</f>
        <v/>
      </c>
      <c r="L36" s="27" t="str">
        <f aca="true">IF(B36="","",IFERROR(SUBSTITUTE(INDIRECT("'"&amp;$B36&amp;"'!A10"),"CẦN LÀM:  ",""),"Không thấy sheet"))</f>
        <v/>
      </c>
      <c r="M36" s="24" t="str">
        <f aca="true">IF(AND(ISNUMBER(K36),ISNUMBER(H36)),IF(AND(H36&gt;0,TODAY()&gt;K36),TODAY()-K36,""),"")</f>
        <v/>
      </c>
    </row>
    <row r="37" customFormat="false" ht="15" hidden="false" customHeight="false" outlineLevel="0" collapsed="false">
      <c r="A37" s="18" t="str">
        <f aca="false">IF(B37="","",ROW()-12)</f>
        <v/>
      </c>
      <c r="B37" s="19"/>
      <c r="C37" s="20" t="str">
        <f aca="true">IF($B37="","",IFERROR(IF(INDIRECT("'"&amp;$B37&amp;"'!C5")="","",INDIRECT("'"&amp;$B37&amp;"'!C5")),"Không thấy sheet"))</f>
        <v/>
      </c>
      <c r="D37" s="21" t="str">
        <f aca="true">IF($B37="","",IFERROR(IF(INDIRECT("'"&amp;$B37&amp;"'!C6")="","",INDIRECT("'"&amp;$B37&amp;"'!C6")),"Không thấy sheet"))</f>
        <v/>
      </c>
      <c r="E37" s="18" t="str">
        <f aca="true">IF($B37="","",IFERROR(IF(INDIRECT("'"&amp;$B37&amp;"'!C9")="",0,INDIRECT("'"&amp;$B37&amp;"'!C9")),"Không thấy sheet"))</f>
        <v/>
      </c>
      <c r="F37" s="22" t="str">
        <f aca="true">IF($B37="","",IFERROR(IF(INDIRECT("'"&amp;$B37&amp;"'!K6")="",0,INDIRECT("'"&amp;$B37&amp;"'!K6")),"Không thấy sheet"))</f>
        <v/>
      </c>
      <c r="G37" s="22" t="str">
        <f aca="true">IF($B37="","",IFERROR(IF(INDIRECT("'"&amp;$B37&amp;"'!K7")="",0,INDIRECT("'"&amp;$B37&amp;"'!K7")),"Không thấy sheet"))</f>
        <v/>
      </c>
      <c r="H37" s="22" t="str">
        <f aca="true">IF($B37="","",IFERROR(IF(INDIRECT("'"&amp;$B37&amp;"'!K8")="",0,INDIRECT("'"&amp;$B37&amp;"'!K8")),"Không thấy sheet"))</f>
        <v/>
      </c>
      <c r="I37" s="23" t="str">
        <f aca="true">IF($B37="","",IFERROR(IF(INDIRECT("'"&amp;$B37&amp;"'!F4")="","",INDIRECT("'"&amp;$B37&amp;"'!F4")),"Không thấy sheet"))</f>
        <v/>
      </c>
      <c r="J37" s="23" t="str">
        <f aca="true">IF($B37="","",IFERROR(IF(INDIRECT("'"&amp;$B37&amp;"'!F6")="","",INDIRECT("'"&amp;$B37&amp;"'!F6")),"Không thấy sheet"))</f>
        <v/>
      </c>
      <c r="K37" s="20" t="str">
        <f aca="true">IF($B37="","",IFERROR(IF(INDIRECT("'"&amp;$B37&amp;"'!F8")="","",INDIRECT("'"&amp;$B37&amp;"'!F8")),"Không thấy sheet"))</f>
        <v/>
      </c>
      <c r="L37" s="21" t="str">
        <f aca="true">IF(B37="","",IFERROR(SUBSTITUTE(INDIRECT("'"&amp;$B37&amp;"'!A10"),"CẦN LÀM:  ",""),"Không thấy sheet"))</f>
        <v/>
      </c>
      <c r="M37" s="23" t="str">
        <f aca="true">IF(AND(ISNUMBER(K37),ISNUMBER(H37)),IF(AND(H37&gt;0,TODAY()&gt;K37),TODAY()-K37,""),"")</f>
        <v/>
      </c>
    </row>
    <row r="38" customFormat="false" ht="15" hidden="false" customHeight="false" outlineLevel="0" collapsed="false">
      <c r="A38" s="24" t="str">
        <f aca="false">IF(B38="","",ROW()-12)</f>
        <v/>
      </c>
      <c r="B38" s="25"/>
      <c r="C38" s="26" t="str">
        <f aca="true">IF($B38="","",IFERROR(IF(INDIRECT("'"&amp;$B38&amp;"'!C5")="","",INDIRECT("'"&amp;$B38&amp;"'!C5")),"Không thấy sheet"))</f>
        <v/>
      </c>
      <c r="D38" s="27" t="str">
        <f aca="true">IF($B38="","",IFERROR(IF(INDIRECT("'"&amp;$B38&amp;"'!C6")="","",INDIRECT("'"&amp;$B38&amp;"'!C6")),"Không thấy sheet"))</f>
        <v/>
      </c>
      <c r="E38" s="24" t="str">
        <f aca="true">IF($B38="","",IFERROR(IF(INDIRECT("'"&amp;$B38&amp;"'!C9")="",0,INDIRECT("'"&amp;$B38&amp;"'!C9")),"Không thấy sheet"))</f>
        <v/>
      </c>
      <c r="F38" s="28" t="str">
        <f aca="true">IF($B38="","",IFERROR(IF(INDIRECT("'"&amp;$B38&amp;"'!K6")="",0,INDIRECT("'"&amp;$B38&amp;"'!K6")),"Không thấy sheet"))</f>
        <v/>
      </c>
      <c r="G38" s="28" t="str">
        <f aca="true">IF($B38="","",IFERROR(IF(INDIRECT("'"&amp;$B38&amp;"'!K7")="",0,INDIRECT("'"&amp;$B38&amp;"'!K7")),"Không thấy sheet"))</f>
        <v/>
      </c>
      <c r="H38" s="28" t="str">
        <f aca="true">IF($B38="","",IFERROR(IF(INDIRECT("'"&amp;$B38&amp;"'!K8")="",0,INDIRECT("'"&amp;$B38&amp;"'!K8")),"Không thấy sheet"))</f>
        <v/>
      </c>
      <c r="I38" s="24" t="str">
        <f aca="true">IF($B38="","",IFERROR(IF(INDIRECT("'"&amp;$B38&amp;"'!F4")="","",INDIRECT("'"&amp;$B38&amp;"'!F4")),"Không thấy sheet"))</f>
        <v/>
      </c>
      <c r="J38" s="24" t="str">
        <f aca="true">IF($B38="","",IFERROR(IF(INDIRECT("'"&amp;$B38&amp;"'!F6")="","",INDIRECT("'"&amp;$B38&amp;"'!F6")),"Không thấy sheet"))</f>
        <v/>
      </c>
      <c r="K38" s="26" t="str">
        <f aca="true">IF($B38="","",IFERROR(IF(INDIRECT("'"&amp;$B38&amp;"'!F8")="","",INDIRECT("'"&amp;$B38&amp;"'!F8")),"Không thấy sheet"))</f>
        <v/>
      </c>
      <c r="L38" s="27" t="str">
        <f aca="true">IF(B38="","",IFERROR(SUBSTITUTE(INDIRECT("'"&amp;$B38&amp;"'!A10"),"CẦN LÀM:  ",""),"Không thấy sheet"))</f>
        <v/>
      </c>
      <c r="M38" s="24" t="str">
        <f aca="true">IF(AND(ISNUMBER(K38),ISNUMBER(H38)),IF(AND(H38&gt;0,TODAY()&gt;K38),TODAY()-K38,""),"")</f>
        <v/>
      </c>
    </row>
    <row r="39" customFormat="false" ht="15" hidden="false" customHeight="false" outlineLevel="0" collapsed="false">
      <c r="A39" s="18" t="str">
        <f aca="false">IF(B39="","",ROW()-12)</f>
        <v/>
      </c>
      <c r="B39" s="19"/>
      <c r="C39" s="20" t="str">
        <f aca="true">IF($B39="","",IFERROR(IF(INDIRECT("'"&amp;$B39&amp;"'!C5")="","",INDIRECT("'"&amp;$B39&amp;"'!C5")),"Không thấy sheet"))</f>
        <v/>
      </c>
      <c r="D39" s="21" t="str">
        <f aca="true">IF($B39="","",IFERROR(IF(INDIRECT("'"&amp;$B39&amp;"'!C6")="","",INDIRECT("'"&amp;$B39&amp;"'!C6")),"Không thấy sheet"))</f>
        <v/>
      </c>
      <c r="E39" s="18" t="str">
        <f aca="true">IF($B39="","",IFERROR(IF(INDIRECT("'"&amp;$B39&amp;"'!C9")="",0,INDIRECT("'"&amp;$B39&amp;"'!C9")),"Không thấy sheet"))</f>
        <v/>
      </c>
      <c r="F39" s="22" t="str">
        <f aca="true">IF($B39="","",IFERROR(IF(INDIRECT("'"&amp;$B39&amp;"'!K6")="",0,INDIRECT("'"&amp;$B39&amp;"'!K6")),"Không thấy sheet"))</f>
        <v/>
      </c>
      <c r="G39" s="22" t="str">
        <f aca="true">IF($B39="","",IFERROR(IF(INDIRECT("'"&amp;$B39&amp;"'!K7")="",0,INDIRECT("'"&amp;$B39&amp;"'!K7")),"Không thấy sheet"))</f>
        <v/>
      </c>
      <c r="H39" s="22" t="str">
        <f aca="true">IF($B39="","",IFERROR(IF(INDIRECT("'"&amp;$B39&amp;"'!K8")="",0,INDIRECT("'"&amp;$B39&amp;"'!K8")),"Không thấy sheet"))</f>
        <v/>
      </c>
      <c r="I39" s="23" t="str">
        <f aca="true">IF($B39="","",IFERROR(IF(INDIRECT("'"&amp;$B39&amp;"'!F4")="","",INDIRECT("'"&amp;$B39&amp;"'!F4")),"Không thấy sheet"))</f>
        <v/>
      </c>
      <c r="J39" s="23" t="str">
        <f aca="true">IF($B39="","",IFERROR(IF(INDIRECT("'"&amp;$B39&amp;"'!F6")="","",INDIRECT("'"&amp;$B39&amp;"'!F6")),"Không thấy sheet"))</f>
        <v/>
      </c>
      <c r="K39" s="20" t="str">
        <f aca="true">IF($B39="","",IFERROR(IF(INDIRECT("'"&amp;$B39&amp;"'!F8")="","",INDIRECT("'"&amp;$B39&amp;"'!F8")),"Không thấy sheet"))</f>
        <v/>
      </c>
      <c r="L39" s="21" t="str">
        <f aca="true">IF(B39="","",IFERROR(SUBSTITUTE(INDIRECT("'"&amp;$B39&amp;"'!A10"),"CẦN LÀM:  ",""),"Không thấy sheet"))</f>
        <v/>
      </c>
      <c r="M39" s="23" t="str">
        <f aca="true">IF(AND(ISNUMBER(K39),ISNUMBER(H39)),IF(AND(H39&gt;0,TODAY()&gt;K39),TODAY()-K39,""),"")</f>
        <v/>
      </c>
    </row>
    <row r="40" customFormat="false" ht="15" hidden="false" customHeight="false" outlineLevel="0" collapsed="false">
      <c r="A40" s="24" t="str">
        <f aca="false">IF(B40="","",ROW()-12)</f>
        <v/>
      </c>
      <c r="B40" s="25"/>
      <c r="C40" s="26" t="str">
        <f aca="true">IF($B40="","",IFERROR(IF(INDIRECT("'"&amp;$B40&amp;"'!C5")="","",INDIRECT("'"&amp;$B40&amp;"'!C5")),"Không thấy sheet"))</f>
        <v/>
      </c>
      <c r="D40" s="27" t="str">
        <f aca="true">IF($B40="","",IFERROR(IF(INDIRECT("'"&amp;$B40&amp;"'!C6")="","",INDIRECT("'"&amp;$B40&amp;"'!C6")),"Không thấy sheet"))</f>
        <v/>
      </c>
      <c r="E40" s="24" t="str">
        <f aca="true">IF($B40="","",IFERROR(IF(INDIRECT("'"&amp;$B40&amp;"'!C9")="",0,INDIRECT("'"&amp;$B40&amp;"'!C9")),"Không thấy sheet"))</f>
        <v/>
      </c>
      <c r="F40" s="28" t="str">
        <f aca="true">IF($B40="","",IFERROR(IF(INDIRECT("'"&amp;$B40&amp;"'!K6")="",0,INDIRECT("'"&amp;$B40&amp;"'!K6")),"Không thấy sheet"))</f>
        <v/>
      </c>
      <c r="G40" s="28" t="str">
        <f aca="true">IF($B40="","",IFERROR(IF(INDIRECT("'"&amp;$B40&amp;"'!K7")="",0,INDIRECT("'"&amp;$B40&amp;"'!K7")),"Không thấy sheet"))</f>
        <v/>
      </c>
      <c r="H40" s="28" t="str">
        <f aca="true">IF($B40="","",IFERROR(IF(INDIRECT("'"&amp;$B40&amp;"'!K8")="",0,INDIRECT("'"&amp;$B40&amp;"'!K8")),"Không thấy sheet"))</f>
        <v/>
      </c>
      <c r="I40" s="24" t="str">
        <f aca="true">IF($B40="","",IFERROR(IF(INDIRECT("'"&amp;$B40&amp;"'!F4")="","",INDIRECT("'"&amp;$B40&amp;"'!F4")),"Không thấy sheet"))</f>
        <v/>
      </c>
      <c r="J40" s="24" t="str">
        <f aca="true">IF($B40="","",IFERROR(IF(INDIRECT("'"&amp;$B40&amp;"'!F6")="","",INDIRECT("'"&amp;$B40&amp;"'!F6")),"Không thấy sheet"))</f>
        <v/>
      </c>
      <c r="K40" s="26" t="str">
        <f aca="true">IF($B40="","",IFERROR(IF(INDIRECT("'"&amp;$B40&amp;"'!F8")="","",INDIRECT("'"&amp;$B40&amp;"'!F8")),"Không thấy sheet"))</f>
        <v/>
      </c>
      <c r="L40" s="27" t="str">
        <f aca="true">IF(B40="","",IFERROR(SUBSTITUTE(INDIRECT("'"&amp;$B40&amp;"'!A10"),"CẦN LÀM:  ",""),"Không thấy sheet"))</f>
        <v/>
      </c>
      <c r="M40" s="24" t="str">
        <f aca="true">IF(AND(ISNUMBER(K40),ISNUMBER(H40)),IF(AND(H40&gt;0,TODAY()&gt;K40),TODAY()-K40,""),"")</f>
        <v/>
      </c>
    </row>
    <row r="41" customFormat="false" ht="15" hidden="false" customHeight="false" outlineLevel="0" collapsed="false">
      <c r="A41" s="18" t="str">
        <f aca="false">IF(B41="","",ROW()-12)</f>
        <v/>
      </c>
      <c r="B41" s="19"/>
      <c r="C41" s="20" t="str">
        <f aca="true">IF($B41="","",IFERROR(IF(INDIRECT("'"&amp;$B41&amp;"'!C5")="","",INDIRECT("'"&amp;$B41&amp;"'!C5")),"Không thấy sheet"))</f>
        <v/>
      </c>
      <c r="D41" s="21" t="str">
        <f aca="true">IF($B41="","",IFERROR(IF(INDIRECT("'"&amp;$B41&amp;"'!C6")="","",INDIRECT("'"&amp;$B41&amp;"'!C6")),"Không thấy sheet"))</f>
        <v/>
      </c>
      <c r="E41" s="18" t="str">
        <f aca="true">IF($B41="","",IFERROR(IF(INDIRECT("'"&amp;$B41&amp;"'!C9")="",0,INDIRECT("'"&amp;$B41&amp;"'!C9")),"Không thấy sheet"))</f>
        <v/>
      </c>
      <c r="F41" s="22" t="str">
        <f aca="true">IF($B41="","",IFERROR(IF(INDIRECT("'"&amp;$B41&amp;"'!K6")="",0,INDIRECT("'"&amp;$B41&amp;"'!K6")),"Không thấy sheet"))</f>
        <v/>
      </c>
      <c r="G41" s="22" t="str">
        <f aca="true">IF($B41="","",IFERROR(IF(INDIRECT("'"&amp;$B41&amp;"'!K7")="",0,INDIRECT("'"&amp;$B41&amp;"'!K7")),"Không thấy sheet"))</f>
        <v/>
      </c>
      <c r="H41" s="22" t="str">
        <f aca="true">IF($B41="","",IFERROR(IF(INDIRECT("'"&amp;$B41&amp;"'!K8")="",0,INDIRECT("'"&amp;$B41&amp;"'!K8")),"Không thấy sheet"))</f>
        <v/>
      </c>
      <c r="I41" s="23" t="str">
        <f aca="true">IF($B41="","",IFERROR(IF(INDIRECT("'"&amp;$B41&amp;"'!F4")="","",INDIRECT("'"&amp;$B41&amp;"'!F4")),"Không thấy sheet"))</f>
        <v/>
      </c>
      <c r="J41" s="23" t="str">
        <f aca="true">IF($B41="","",IFERROR(IF(INDIRECT("'"&amp;$B41&amp;"'!F6")="","",INDIRECT("'"&amp;$B41&amp;"'!F6")),"Không thấy sheet"))</f>
        <v/>
      </c>
      <c r="K41" s="20" t="str">
        <f aca="true">IF($B41="","",IFERROR(IF(INDIRECT("'"&amp;$B41&amp;"'!F8")="","",INDIRECT("'"&amp;$B41&amp;"'!F8")),"Không thấy sheet"))</f>
        <v/>
      </c>
      <c r="L41" s="21" t="str">
        <f aca="true">IF(B41="","",IFERROR(SUBSTITUTE(INDIRECT("'"&amp;$B41&amp;"'!A10"),"CẦN LÀM:  ",""),"Không thấy sheet"))</f>
        <v/>
      </c>
      <c r="M41" s="23" t="str">
        <f aca="true">IF(AND(ISNUMBER(K41),ISNUMBER(H41)),IF(AND(H41&gt;0,TODAY()&gt;K41),TODAY()-K41,""),"")</f>
        <v/>
      </c>
    </row>
    <row r="42" customFormat="false" ht="15" hidden="false" customHeight="false" outlineLevel="0" collapsed="false">
      <c r="A42" s="24" t="str">
        <f aca="false">IF(B42="","",ROW()-12)</f>
        <v/>
      </c>
      <c r="B42" s="25"/>
      <c r="C42" s="26" t="str">
        <f aca="true">IF($B42="","",IFERROR(IF(INDIRECT("'"&amp;$B42&amp;"'!C5")="","",INDIRECT("'"&amp;$B42&amp;"'!C5")),"Không thấy sheet"))</f>
        <v/>
      </c>
      <c r="D42" s="27" t="str">
        <f aca="true">IF($B42="","",IFERROR(IF(INDIRECT("'"&amp;$B42&amp;"'!C6")="","",INDIRECT("'"&amp;$B42&amp;"'!C6")),"Không thấy sheet"))</f>
        <v/>
      </c>
      <c r="E42" s="24" t="str">
        <f aca="true">IF($B42="","",IFERROR(IF(INDIRECT("'"&amp;$B42&amp;"'!C9")="",0,INDIRECT("'"&amp;$B42&amp;"'!C9")),"Không thấy sheet"))</f>
        <v/>
      </c>
      <c r="F42" s="28" t="str">
        <f aca="true">IF($B42="","",IFERROR(IF(INDIRECT("'"&amp;$B42&amp;"'!K6")="",0,INDIRECT("'"&amp;$B42&amp;"'!K6")),"Không thấy sheet"))</f>
        <v/>
      </c>
      <c r="G42" s="28" t="str">
        <f aca="true">IF($B42="","",IFERROR(IF(INDIRECT("'"&amp;$B42&amp;"'!K7")="",0,INDIRECT("'"&amp;$B42&amp;"'!K7")),"Không thấy sheet"))</f>
        <v/>
      </c>
      <c r="H42" s="28" t="str">
        <f aca="true">IF($B42="","",IFERROR(IF(INDIRECT("'"&amp;$B42&amp;"'!K8")="",0,INDIRECT("'"&amp;$B42&amp;"'!K8")),"Không thấy sheet"))</f>
        <v/>
      </c>
      <c r="I42" s="24" t="str">
        <f aca="true">IF($B42="","",IFERROR(IF(INDIRECT("'"&amp;$B42&amp;"'!F4")="","",INDIRECT("'"&amp;$B42&amp;"'!F4")),"Không thấy sheet"))</f>
        <v/>
      </c>
      <c r="J42" s="24" t="str">
        <f aca="true">IF($B42="","",IFERROR(IF(INDIRECT("'"&amp;$B42&amp;"'!F6")="","",INDIRECT("'"&amp;$B42&amp;"'!F6")),"Không thấy sheet"))</f>
        <v/>
      </c>
      <c r="K42" s="26" t="str">
        <f aca="true">IF($B42="","",IFERROR(IF(INDIRECT("'"&amp;$B42&amp;"'!F8")="","",INDIRECT("'"&amp;$B42&amp;"'!F8")),"Không thấy sheet"))</f>
        <v/>
      </c>
      <c r="L42" s="27" t="str">
        <f aca="true">IF(B42="","",IFERROR(SUBSTITUTE(INDIRECT("'"&amp;$B42&amp;"'!A10"),"CẦN LÀM:  ",""),"Không thấy sheet"))</f>
        <v/>
      </c>
      <c r="M42" s="24" t="str">
        <f aca="true">IF(AND(ISNUMBER(K42),ISNUMBER(H42)),IF(AND(H42&gt;0,TODAY()&gt;K42),TODAY()-K42,""),"")</f>
        <v/>
      </c>
    </row>
    <row r="43" customFormat="false" ht="15" hidden="false" customHeight="false" outlineLevel="0" collapsed="false">
      <c r="A43" s="18" t="str">
        <f aca="false">IF(B43="","",ROW()-12)</f>
        <v/>
      </c>
      <c r="B43" s="19"/>
      <c r="C43" s="20" t="str">
        <f aca="true">IF($B43="","",IFERROR(IF(INDIRECT("'"&amp;$B43&amp;"'!C5")="","",INDIRECT("'"&amp;$B43&amp;"'!C5")),"Không thấy sheet"))</f>
        <v/>
      </c>
      <c r="D43" s="21" t="str">
        <f aca="true">IF($B43="","",IFERROR(IF(INDIRECT("'"&amp;$B43&amp;"'!C6")="","",INDIRECT("'"&amp;$B43&amp;"'!C6")),"Không thấy sheet"))</f>
        <v/>
      </c>
      <c r="E43" s="18" t="str">
        <f aca="true">IF($B43="","",IFERROR(IF(INDIRECT("'"&amp;$B43&amp;"'!C9")="",0,INDIRECT("'"&amp;$B43&amp;"'!C9")),"Không thấy sheet"))</f>
        <v/>
      </c>
      <c r="F43" s="22" t="str">
        <f aca="true">IF($B43="","",IFERROR(IF(INDIRECT("'"&amp;$B43&amp;"'!K6")="",0,INDIRECT("'"&amp;$B43&amp;"'!K6")),"Không thấy sheet"))</f>
        <v/>
      </c>
      <c r="G43" s="22" t="str">
        <f aca="true">IF($B43="","",IFERROR(IF(INDIRECT("'"&amp;$B43&amp;"'!K7")="",0,INDIRECT("'"&amp;$B43&amp;"'!K7")),"Không thấy sheet"))</f>
        <v/>
      </c>
      <c r="H43" s="22" t="str">
        <f aca="true">IF($B43="","",IFERROR(IF(INDIRECT("'"&amp;$B43&amp;"'!K8")="",0,INDIRECT("'"&amp;$B43&amp;"'!K8")),"Không thấy sheet"))</f>
        <v/>
      </c>
      <c r="I43" s="23" t="str">
        <f aca="true">IF($B43="","",IFERROR(IF(INDIRECT("'"&amp;$B43&amp;"'!F4")="","",INDIRECT("'"&amp;$B43&amp;"'!F4")),"Không thấy sheet"))</f>
        <v/>
      </c>
      <c r="J43" s="23" t="str">
        <f aca="true">IF($B43="","",IFERROR(IF(INDIRECT("'"&amp;$B43&amp;"'!F6")="","",INDIRECT("'"&amp;$B43&amp;"'!F6")),"Không thấy sheet"))</f>
        <v/>
      </c>
      <c r="K43" s="20" t="str">
        <f aca="true">IF($B43="","",IFERROR(IF(INDIRECT("'"&amp;$B43&amp;"'!F8")="","",INDIRECT("'"&amp;$B43&amp;"'!F8")),"Không thấy sheet"))</f>
        <v/>
      </c>
      <c r="L43" s="21" t="str">
        <f aca="true">IF(B43="","",IFERROR(SUBSTITUTE(INDIRECT("'"&amp;$B43&amp;"'!A10"),"CẦN LÀM:  ",""),"Không thấy sheet"))</f>
        <v/>
      </c>
      <c r="M43" s="23" t="str">
        <f aca="true">IF(AND(ISNUMBER(K43),ISNUMBER(H43)),IF(AND(H43&gt;0,TODAY()&gt;K43),TODAY()-K43,""),"")</f>
        <v/>
      </c>
    </row>
    <row r="44" customFormat="false" ht="15" hidden="false" customHeight="false" outlineLevel="0" collapsed="false">
      <c r="A44" s="24" t="str">
        <f aca="false">IF(B44="","",ROW()-12)</f>
        <v/>
      </c>
      <c r="B44" s="25"/>
      <c r="C44" s="26" t="str">
        <f aca="true">IF($B44="","",IFERROR(IF(INDIRECT("'"&amp;$B44&amp;"'!C5")="","",INDIRECT("'"&amp;$B44&amp;"'!C5")),"Không thấy sheet"))</f>
        <v/>
      </c>
      <c r="D44" s="27" t="str">
        <f aca="true">IF($B44="","",IFERROR(IF(INDIRECT("'"&amp;$B44&amp;"'!C6")="","",INDIRECT("'"&amp;$B44&amp;"'!C6")),"Không thấy sheet"))</f>
        <v/>
      </c>
      <c r="E44" s="24" t="str">
        <f aca="true">IF($B44="","",IFERROR(IF(INDIRECT("'"&amp;$B44&amp;"'!C9")="",0,INDIRECT("'"&amp;$B44&amp;"'!C9")),"Không thấy sheet"))</f>
        <v/>
      </c>
      <c r="F44" s="28" t="str">
        <f aca="true">IF($B44="","",IFERROR(IF(INDIRECT("'"&amp;$B44&amp;"'!K6")="",0,INDIRECT("'"&amp;$B44&amp;"'!K6")),"Không thấy sheet"))</f>
        <v/>
      </c>
      <c r="G44" s="28" t="str">
        <f aca="true">IF($B44="","",IFERROR(IF(INDIRECT("'"&amp;$B44&amp;"'!K7")="",0,INDIRECT("'"&amp;$B44&amp;"'!K7")),"Không thấy sheet"))</f>
        <v/>
      </c>
      <c r="H44" s="28" t="str">
        <f aca="true">IF($B44="","",IFERROR(IF(INDIRECT("'"&amp;$B44&amp;"'!K8")="",0,INDIRECT("'"&amp;$B44&amp;"'!K8")),"Không thấy sheet"))</f>
        <v/>
      </c>
      <c r="I44" s="24" t="str">
        <f aca="true">IF($B44="","",IFERROR(IF(INDIRECT("'"&amp;$B44&amp;"'!F4")="","",INDIRECT("'"&amp;$B44&amp;"'!F4")),"Không thấy sheet"))</f>
        <v/>
      </c>
      <c r="J44" s="24" t="str">
        <f aca="true">IF($B44="","",IFERROR(IF(INDIRECT("'"&amp;$B44&amp;"'!F6")="","",INDIRECT("'"&amp;$B44&amp;"'!F6")),"Không thấy sheet"))</f>
        <v/>
      </c>
      <c r="K44" s="26" t="str">
        <f aca="true">IF($B44="","",IFERROR(IF(INDIRECT("'"&amp;$B44&amp;"'!F8")="","",INDIRECT("'"&amp;$B44&amp;"'!F8")),"Không thấy sheet"))</f>
        <v/>
      </c>
      <c r="L44" s="27" t="str">
        <f aca="true">IF(B44="","",IFERROR(SUBSTITUTE(INDIRECT("'"&amp;$B44&amp;"'!A10"),"CẦN LÀM:  ",""),"Không thấy sheet"))</f>
        <v/>
      </c>
      <c r="M44" s="24" t="str">
        <f aca="true">IF(AND(ISNUMBER(K44),ISNUMBER(H44)),IF(AND(H44&gt;0,TODAY()&gt;K44),TODAY()-K44,""),"")</f>
        <v/>
      </c>
    </row>
    <row r="45" customFormat="false" ht="15" hidden="false" customHeight="false" outlineLevel="0" collapsed="false">
      <c r="A45" s="18" t="str">
        <f aca="false">IF(B45="","",ROW()-12)</f>
        <v/>
      </c>
      <c r="B45" s="19"/>
      <c r="C45" s="20" t="str">
        <f aca="true">IF($B45="","",IFERROR(IF(INDIRECT("'"&amp;$B45&amp;"'!C5")="","",INDIRECT("'"&amp;$B45&amp;"'!C5")),"Không thấy sheet"))</f>
        <v/>
      </c>
      <c r="D45" s="21" t="str">
        <f aca="true">IF($B45="","",IFERROR(IF(INDIRECT("'"&amp;$B45&amp;"'!C6")="","",INDIRECT("'"&amp;$B45&amp;"'!C6")),"Không thấy sheet"))</f>
        <v/>
      </c>
      <c r="E45" s="18" t="str">
        <f aca="true">IF($B45="","",IFERROR(IF(INDIRECT("'"&amp;$B45&amp;"'!C9")="",0,INDIRECT("'"&amp;$B45&amp;"'!C9")),"Không thấy sheet"))</f>
        <v/>
      </c>
      <c r="F45" s="22" t="str">
        <f aca="true">IF($B45="","",IFERROR(IF(INDIRECT("'"&amp;$B45&amp;"'!K6")="",0,INDIRECT("'"&amp;$B45&amp;"'!K6")),"Không thấy sheet"))</f>
        <v/>
      </c>
      <c r="G45" s="22" t="str">
        <f aca="true">IF($B45="","",IFERROR(IF(INDIRECT("'"&amp;$B45&amp;"'!K7")="",0,INDIRECT("'"&amp;$B45&amp;"'!K7")),"Không thấy sheet"))</f>
        <v/>
      </c>
      <c r="H45" s="22" t="str">
        <f aca="true">IF($B45="","",IFERROR(IF(INDIRECT("'"&amp;$B45&amp;"'!K8")="",0,INDIRECT("'"&amp;$B45&amp;"'!K8")),"Không thấy sheet"))</f>
        <v/>
      </c>
      <c r="I45" s="23" t="str">
        <f aca="true">IF($B45="","",IFERROR(IF(INDIRECT("'"&amp;$B45&amp;"'!F4")="","",INDIRECT("'"&amp;$B45&amp;"'!F4")),"Không thấy sheet"))</f>
        <v/>
      </c>
      <c r="J45" s="23" t="str">
        <f aca="true">IF($B45="","",IFERROR(IF(INDIRECT("'"&amp;$B45&amp;"'!F6")="","",INDIRECT("'"&amp;$B45&amp;"'!F6")),"Không thấy sheet"))</f>
        <v/>
      </c>
      <c r="K45" s="20" t="str">
        <f aca="true">IF($B45="","",IFERROR(IF(INDIRECT("'"&amp;$B45&amp;"'!F8")="","",INDIRECT("'"&amp;$B45&amp;"'!F8")),"Không thấy sheet"))</f>
        <v/>
      </c>
      <c r="L45" s="21" t="str">
        <f aca="true">IF(B45="","",IFERROR(SUBSTITUTE(INDIRECT("'"&amp;$B45&amp;"'!A10"),"CẦN LÀM:  ",""),"Không thấy sheet"))</f>
        <v/>
      </c>
      <c r="M45" s="23" t="str">
        <f aca="true">IF(AND(ISNUMBER(K45),ISNUMBER(H45)),IF(AND(H45&gt;0,TODAY()&gt;K45),TODAY()-K45,""),"")</f>
        <v/>
      </c>
    </row>
    <row r="46" customFormat="false" ht="15" hidden="false" customHeight="false" outlineLevel="0" collapsed="false">
      <c r="A46" s="24" t="str">
        <f aca="false">IF(B46="","",ROW()-12)</f>
        <v/>
      </c>
      <c r="B46" s="25"/>
      <c r="C46" s="26" t="str">
        <f aca="true">IF($B46="","",IFERROR(IF(INDIRECT("'"&amp;$B46&amp;"'!C5")="","",INDIRECT("'"&amp;$B46&amp;"'!C5")),"Không thấy sheet"))</f>
        <v/>
      </c>
      <c r="D46" s="27" t="str">
        <f aca="true">IF($B46="","",IFERROR(IF(INDIRECT("'"&amp;$B46&amp;"'!C6")="","",INDIRECT("'"&amp;$B46&amp;"'!C6")),"Không thấy sheet"))</f>
        <v/>
      </c>
      <c r="E46" s="24" t="str">
        <f aca="true">IF($B46="","",IFERROR(IF(INDIRECT("'"&amp;$B46&amp;"'!C9")="",0,INDIRECT("'"&amp;$B46&amp;"'!C9")),"Không thấy sheet"))</f>
        <v/>
      </c>
      <c r="F46" s="28" t="str">
        <f aca="true">IF($B46="","",IFERROR(IF(INDIRECT("'"&amp;$B46&amp;"'!K6")="",0,INDIRECT("'"&amp;$B46&amp;"'!K6")),"Không thấy sheet"))</f>
        <v/>
      </c>
      <c r="G46" s="28" t="str">
        <f aca="true">IF($B46="","",IFERROR(IF(INDIRECT("'"&amp;$B46&amp;"'!K7")="",0,INDIRECT("'"&amp;$B46&amp;"'!K7")),"Không thấy sheet"))</f>
        <v/>
      </c>
      <c r="H46" s="28" t="str">
        <f aca="true">IF($B46="","",IFERROR(IF(INDIRECT("'"&amp;$B46&amp;"'!K8")="",0,INDIRECT("'"&amp;$B46&amp;"'!K8")),"Không thấy sheet"))</f>
        <v/>
      </c>
      <c r="I46" s="24" t="str">
        <f aca="true">IF($B46="","",IFERROR(IF(INDIRECT("'"&amp;$B46&amp;"'!F4")="","",INDIRECT("'"&amp;$B46&amp;"'!F4")),"Không thấy sheet"))</f>
        <v/>
      </c>
      <c r="J46" s="24" t="str">
        <f aca="true">IF($B46="","",IFERROR(IF(INDIRECT("'"&amp;$B46&amp;"'!F6")="","",INDIRECT("'"&amp;$B46&amp;"'!F6")),"Không thấy sheet"))</f>
        <v/>
      </c>
      <c r="K46" s="26" t="str">
        <f aca="true">IF($B46="","",IFERROR(IF(INDIRECT("'"&amp;$B46&amp;"'!F8")="","",INDIRECT("'"&amp;$B46&amp;"'!F8")),"Không thấy sheet"))</f>
        <v/>
      </c>
      <c r="L46" s="27" t="str">
        <f aca="true">IF(B46="","",IFERROR(SUBSTITUTE(INDIRECT("'"&amp;$B46&amp;"'!A10"),"CẦN LÀM:  ",""),"Không thấy sheet"))</f>
        <v/>
      </c>
      <c r="M46" s="24" t="str">
        <f aca="true">IF(AND(ISNUMBER(K46),ISNUMBER(H46)),IF(AND(H46&gt;0,TODAY()&gt;K46),TODAY()-K46,""),"")</f>
        <v/>
      </c>
    </row>
    <row r="47" customFormat="false" ht="15" hidden="false" customHeight="false" outlineLevel="0" collapsed="false">
      <c r="A47" s="18" t="str">
        <f aca="false">IF(B47="","",ROW()-12)</f>
        <v/>
      </c>
      <c r="B47" s="19"/>
      <c r="C47" s="20" t="str">
        <f aca="true">IF($B47="","",IFERROR(IF(INDIRECT("'"&amp;$B47&amp;"'!C5")="","",INDIRECT("'"&amp;$B47&amp;"'!C5")),"Không thấy sheet"))</f>
        <v/>
      </c>
      <c r="D47" s="21" t="str">
        <f aca="true">IF($B47="","",IFERROR(IF(INDIRECT("'"&amp;$B47&amp;"'!C6")="","",INDIRECT("'"&amp;$B47&amp;"'!C6")),"Không thấy sheet"))</f>
        <v/>
      </c>
      <c r="E47" s="18" t="str">
        <f aca="true">IF($B47="","",IFERROR(IF(INDIRECT("'"&amp;$B47&amp;"'!C9")="",0,INDIRECT("'"&amp;$B47&amp;"'!C9")),"Không thấy sheet"))</f>
        <v/>
      </c>
      <c r="F47" s="22" t="str">
        <f aca="true">IF($B47="","",IFERROR(IF(INDIRECT("'"&amp;$B47&amp;"'!K6")="",0,INDIRECT("'"&amp;$B47&amp;"'!K6")),"Không thấy sheet"))</f>
        <v/>
      </c>
      <c r="G47" s="22" t="str">
        <f aca="true">IF($B47="","",IFERROR(IF(INDIRECT("'"&amp;$B47&amp;"'!K7")="",0,INDIRECT("'"&amp;$B47&amp;"'!K7")),"Không thấy sheet"))</f>
        <v/>
      </c>
      <c r="H47" s="22" t="str">
        <f aca="true">IF($B47="","",IFERROR(IF(INDIRECT("'"&amp;$B47&amp;"'!K8")="",0,INDIRECT("'"&amp;$B47&amp;"'!K8")),"Không thấy sheet"))</f>
        <v/>
      </c>
      <c r="I47" s="23" t="str">
        <f aca="true">IF($B47="","",IFERROR(IF(INDIRECT("'"&amp;$B47&amp;"'!F4")="","",INDIRECT("'"&amp;$B47&amp;"'!F4")),"Không thấy sheet"))</f>
        <v/>
      </c>
      <c r="J47" s="23" t="str">
        <f aca="true">IF($B47="","",IFERROR(IF(INDIRECT("'"&amp;$B47&amp;"'!F6")="","",INDIRECT("'"&amp;$B47&amp;"'!F6")),"Không thấy sheet"))</f>
        <v/>
      </c>
      <c r="K47" s="20" t="str">
        <f aca="true">IF($B47="","",IFERROR(IF(INDIRECT("'"&amp;$B47&amp;"'!F8")="","",INDIRECT("'"&amp;$B47&amp;"'!F8")),"Không thấy sheet"))</f>
        <v/>
      </c>
      <c r="L47" s="21" t="str">
        <f aca="true">IF(B47="","",IFERROR(SUBSTITUTE(INDIRECT("'"&amp;$B47&amp;"'!A10"),"CẦN LÀM:  ",""),"Không thấy sheet"))</f>
        <v/>
      </c>
      <c r="M47" s="23" t="str">
        <f aca="true">IF(AND(ISNUMBER(K47),ISNUMBER(H47)),IF(AND(H47&gt;0,TODAY()&gt;K47),TODAY()-K47,""),"")</f>
        <v/>
      </c>
    </row>
    <row r="48" customFormat="false" ht="15" hidden="false" customHeight="false" outlineLevel="0" collapsed="false">
      <c r="A48" s="24" t="str">
        <f aca="false">IF(B48="","",ROW()-12)</f>
        <v/>
      </c>
      <c r="B48" s="25"/>
      <c r="C48" s="26" t="str">
        <f aca="true">IF($B48="","",IFERROR(IF(INDIRECT("'"&amp;$B48&amp;"'!C5")="","",INDIRECT("'"&amp;$B48&amp;"'!C5")),"Không thấy sheet"))</f>
        <v/>
      </c>
      <c r="D48" s="27" t="str">
        <f aca="true">IF($B48="","",IFERROR(IF(INDIRECT("'"&amp;$B48&amp;"'!C6")="","",INDIRECT("'"&amp;$B48&amp;"'!C6")),"Không thấy sheet"))</f>
        <v/>
      </c>
      <c r="E48" s="24" t="str">
        <f aca="true">IF($B48="","",IFERROR(IF(INDIRECT("'"&amp;$B48&amp;"'!C9")="",0,INDIRECT("'"&amp;$B48&amp;"'!C9")),"Không thấy sheet"))</f>
        <v/>
      </c>
      <c r="F48" s="28" t="str">
        <f aca="true">IF($B48="","",IFERROR(IF(INDIRECT("'"&amp;$B48&amp;"'!K6")="",0,INDIRECT("'"&amp;$B48&amp;"'!K6")),"Không thấy sheet"))</f>
        <v/>
      </c>
      <c r="G48" s="28" t="str">
        <f aca="true">IF($B48="","",IFERROR(IF(INDIRECT("'"&amp;$B48&amp;"'!K7")="",0,INDIRECT("'"&amp;$B48&amp;"'!K7")),"Không thấy sheet"))</f>
        <v/>
      </c>
      <c r="H48" s="28" t="str">
        <f aca="true">IF($B48="","",IFERROR(IF(INDIRECT("'"&amp;$B48&amp;"'!K8")="",0,INDIRECT("'"&amp;$B48&amp;"'!K8")),"Không thấy sheet"))</f>
        <v/>
      </c>
      <c r="I48" s="24" t="str">
        <f aca="true">IF($B48="","",IFERROR(IF(INDIRECT("'"&amp;$B48&amp;"'!F4")="","",INDIRECT("'"&amp;$B48&amp;"'!F4")),"Không thấy sheet"))</f>
        <v/>
      </c>
      <c r="J48" s="24" t="str">
        <f aca="true">IF($B48="","",IFERROR(IF(INDIRECT("'"&amp;$B48&amp;"'!F6")="","",INDIRECT("'"&amp;$B48&amp;"'!F6")),"Không thấy sheet"))</f>
        <v/>
      </c>
      <c r="K48" s="26" t="str">
        <f aca="true">IF($B48="","",IFERROR(IF(INDIRECT("'"&amp;$B48&amp;"'!F8")="","",INDIRECT("'"&amp;$B48&amp;"'!F8")),"Không thấy sheet"))</f>
        <v/>
      </c>
      <c r="L48" s="27" t="str">
        <f aca="true">IF(B48="","",IFERROR(SUBSTITUTE(INDIRECT("'"&amp;$B48&amp;"'!A10"),"CẦN LÀM:  ",""),"Không thấy sheet"))</f>
        <v/>
      </c>
      <c r="M48" s="24" t="str">
        <f aca="true">IF(AND(ISNUMBER(K48),ISNUMBER(H48)),IF(AND(H48&gt;0,TODAY()&gt;K48),TODAY()-K48,""),"")</f>
        <v/>
      </c>
    </row>
    <row r="49" customFormat="false" ht="15" hidden="false" customHeight="false" outlineLevel="0" collapsed="false">
      <c r="A49" s="18" t="str">
        <f aca="false">IF(B49="","",ROW()-12)</f>
        <v/>
      </c>
      <c r="B49" s="19"/>
      <c r="C49" s="20" t="str">
        <f aca="true">IF($B49="","",IFERROR(IF(INDIRECT("'"&amp;$B49&amp;"'!C5")="","",INDIRECT("'"&amp;$B49&amp;"'!C5")),"Không thấy sheet"))</f>
        <v/>
      </c>
      <c r="D49" s="21" t="str">
        <f aca="true">IF($B49="","",IFERROR(IF(INDIRECT("'"&amp;$B49&amp;"'!C6")="","",INDIRECT("'"&amp;$B49&amp;"'!C6")),"Không thấy sheet"))</f>
        <v/>
      </c>
      <c r="E49" s="18" t="str">
        <f aca="true">IF($B49="","",IFERROR(IF(INDIRECT("'"&amp;$B49&amp;"'!C9")="",0,INDIRECT("'"&amp;$B49&amp;"'!C9")),"Không thấy sheet"))</f>
        <v/>
      </c>
      <c r="F49" s="22" t="str">
        <f aca="true">IF($B49="","",IFERROR(IF(INDIRECT("'"&amp;$B49&amp;"'!K6")="",0,INDIRECT("'"&amp;$B49&amp;"'!K6")),"Không thấy sheet"))</f>
        <v/>
      </c>
      <c r="G49" s="22" t="str">
        <f aca="true">IF($B49="","",IFERROR(IF(INDIRECT("'"&amp;$B49&amp;"'!K7")="",0,INDIRECT("'"&amp;$B49&amp;"'!K7")),"Không thấy sheet"))</f>
        <v/>
      </c>
      <c r="H49" s="22" t="str">
        <f aca="true">IF($B49="","",IFERROR(IF(INDIRECT("'"&amp;$B49&amp;"'!K8")="",0,INDIRECT("'"&amp;$B49&amp;"'!K8")),"Không thấy sheet"))</f>
        <v/>
      </c>
      <c r="I49" s="23" t="str">
        <f aca="true">IF($B49="","",IFERROR(IF(INDIRECT("'"&amp;$B49&amp;"'!F4")="","",INDIRECT("'"&amp;$B49&amp;"'!F4")),"Không thấy sheet"))</f>
        <v/>
      </c>
      <c r="J49" s="23" t="str">
        <f aca="true">IF($B49="","",IFERROR(IF(INDIRECT("'"&amp;$B49&amp;"'!F6")="","",INDIRECT("'"&amp;$B49&amp;"'!F6")),"Không thấy sheet"))</f>
        <v/>
      </c>
      <c r="K49" s="20" t="str">
        <f aca="true">IF($B49="","",IFERROR(IF(INDIRECT("'"&amp;$B49&amp;"'!F8")="","",INDIRECT("'"&amp;$B49&amp;"'!F8")),"Không thấy sheet"))</f>
        <v/>
      </c>
      <c r="L49" s="21" t="str">
        <f aca="true">IF(B49="","",IFERROR(SUBSTITUTE(INDIRECT("'"&amp;$B49&amp;"'!A10"),"CẦN LÀM:  ",""),"Không thấy sheet"))</f>
        <v/>
      </c>
      <c r="M49" s="23" t="str">
        <f aca="true">IF(AND(ISNUMBER(K49),ISNUMBER(H49)),IF(AND(H49&gt;0,TODAY()&gt;K49),TODAY()-K49,""),"")</f>
        <v/>
      </c>
    </row>
    <row r="50" customFormat="false" ht="15" hidden="false" customHeight="false" outlineLevel="0" collapsed="false">
      <c r="A50" s="24" t="str">
        <f aca="false">IF(B50="","",ROW()-12)</f>
        <v/>
      </c>
      <c r="B50" s="25"/>
      <c r="C50" s="26" t="str">
        <f aca="true">IF($B50="","",IFERROR(IF(INDIRECT("'"&amp;$B50&amp;"'!C5")="","",INDIRECT("'"&amp;$B50&amp;"'!C5")),"Không thấy sheet"))</f>
        <v/>
      </c>
      <c r="D50" s="27" t="str">
        <f aca="true">IF($B50="","",IFERROR(IF(INDIRECT("'"&amp;$B50&amp;"'!C6")="","",INDIRECT("'"&amp;$B50&amp;"'!C6")),"Không thấy sheet"))</f>
        <v/>
      </c>
      <c r="E50" s="24" t="str">
        <f aca="true">IF($B50="","",IFERROR(IF(INDIRECT("'"&amp;$B50&amp;"'!C9")="",0,INDIRECT("'"&amp;$B50&amp;"'!C9")),"Không thấy sheet"))</f>
        <v/>
      </c>
      <c r="F50" s="28" t="str">
        <f aca="true">IF($B50="","",IFERROR(IF(INDIRECT("'"&amp;$B50&amp;"'!K6")="",0,INDIRECT("'"&amp;$B50&amp;"'!K6")),"Không thấy sheet"))</f>
        <v/>
      </c>
      <c r="G50" s="28" t="str">
        <f aca="true">IF($B50="","",IFERROR(IF(INDIRECT("'"&amp;$B50&amp;"'!K7")="",0,INDIRECT("'"&amp;$B50&amp;"'!K7")),"Không thấy sheet"))</f>
        <v/>
      </c>
      <c r="H50" s="28" t="str">
        <f aca="true">IF($B50="","",IFERROR(IF(INDIRECT("'"&amp;$B50&amp;"'!K8")="",0,INDIRECT("'"&amp;$B50&amp;"'!K8")),"Không thấy sheet"))</f>
        <v/>
      </c>
      <c r="I50" s="24" t="str">
        <f aca="true">IF($B50="","",IFERROR(IF(INDIRECT("'"&amp;$B50&amp;"'!F4")="","",INDIRECT("'"&amp;$B50&amp;"'!F4")),"Không thấy sheet"))</f>
        <v/>
      </c>
      <c r="J50" s="24" t="str">
        <f aca="true">IF($B50="","",IFERROR(IF(INDIRECT("'"&amp;$B50&amp;"'!F6")="","",INDIRECT("'"&amp;$B50&amp;"'!F6")),"Không thấy sheet"))</f>
        <v/>
      </c>
      <c r="K50" s="26" t="str">
        <f aca="true">IF($B50="","",IFERROR(IF(INDIRECT("'"&amp;$B50&amp;"'!F8")="","",INDIRECT("'"&amp;$B50&amp;"'!F8")),"Không thấy sheet"))</f>
        <v/>
      </c>
      <c r="L50" s="27" t="str">
        <f aca="true">IF(B50="","",IFERROR(SUBSTITUTE(INDIRECT("'"&amp;$B50&amp;"'!A10"),"CẦN LÀM:  ",""),"Không thấy sheet"))</f>
        <v/>
      </c>
      <c r="M50" s="24" t="str">
        <f aca="true">IF(AND(ISNUMBER(K50),ISNUMBER(H50)),IF(AND(H50&gt;0,TODAY()&gt;K50),TODAY()-K50,""),"")</f>
        <v/>
      </c>
    </row>
    <row r="51" customFormat="false" ht="15" hidden="false" customHeight="false" outlineLevel="0" collapsed="false">
      <c r="A51" s="18" t="str">
        <f aca="false">IF(B51="","",ROW()-12)</f>
        <v/>
      </c>
      <c r="B51" s="19"/>
      <c r="C51" s="20" t="str">
        <f aca="true">IF($B51="","",IFERROR(IF(INDIRECT("'"&amp;$B51&amp;"'!C5")="","",INDIRECT("'"&amp;$B51&amp;"'!C5")),"Không thấy sheet"))</f>
        <v/>
      </c>
      <c r="D51" s="21" t="str">
        <f aca="true">IF($B51="","",IFERROR(IF(INDIRECT("'"&amp;$B51&amp;"'!C6")="","",INDIRECT("'"&amp;$B51&amp;"'!C6")),"Không thấy sheet"))</f>
        <v/>
      </c>
      <c r="E51" s="18" t="str">
        <f aca="true">IF($B51="","",IFERROR(IF(INDIRECT("'"&amp;$B51&amp;"'!C9")="",0,INDIRECT("'"&amp;$B51&amp;"'!C9")),"Không thấy sheet"))</f>
        <v/>
      </c>
      <c r="F51" s="22" t="str">
        <f aca="true">IF($B51="","",IFERROR(IF(INDIRECT("'"&amp;$B51&amp;"'!K6")="",0,INDIRECT("'"&amp;$B51&amp;"'!K6")),"Không thấy sheet"))</f>
        <v/>
      </c>
      <c r="G51" s="22" t="str">
        <f aca="true">IF($B51="","",IFERROR(IF(INDIRECT("'"&amp;$B51&amp;"'!K7")="",0,INDIRECT("'"&amp;$B51&amp;"'!K7")),"Không thấy sheet"))</f>
        <v/>
      </c>
      <c r="H51" s="22" t="str">
        <f aca="true">IF($B51="","",IFERROR(IF(INDIRECT("'"&amp;$B51&amp;"'!K8")="",0,INDIRECT("'"&amp;$B51&amp;"'!K8")),"Không thấy sheet"))</f>
        <v/>
      </c>
      <c r="I51" s="23" t="str">
        <f aca="true">IF($B51="","",IFERROR(IF(INDIRECT("'"&amp;$B51&amp;"'!F4")="","",INDIRECT("'"&amp;$B51&amp;"'!F4")),"Không thấy sheet"))</f>
        <v/>
      </c>
      <c r="J51" s="23" t="str">
        <f aca="true">IF($B51="","",IFERROR(IF(INDIRECT("'"&amp;$B51&amp;"'!F6")="","",INDIRECT("'"&amp;$B51&amp;"'!F6")),"Không thấy sheet"))</f>
        <v/>
      </c>
      <c r="K51" s="20" t="str">
        <f aca="true">IF($B51="","",IFERROR(IF(INDIRECT("'"&amp;$B51&amp;"'!F8")="","",INDIRECT("'"&amp;$B51&amp;"'!F8")),"Không thấy sheet"))</f>
        <v/>
      </c>
      <c r="L51" s="21" t="str">
        <f aca="true">IF(B51="","",IFERROR(SUBSTITUTE(INDIRECT("'"&amp;$B51&amp;"'!A10"),"CẦN LÀM:  ",""),"Không thấy sheet"))</f>
        <v/>
      </c>
      <c r="M51" s="23" t="str">
        <f aca="true">IF(AND(ISNUMBER(K51),ISNUMBER(H51)),IF(AND(H51&gt;0,TODAY()&gt;K51),TODAY()-K51,""),"")</f>
        <v/>
      </c>
    </row>
    <row r="52" customFormat="false" ht="15" hidden="false" customHeight="false" outlineLevel="0" collapsed="false">
      <c r="A52" s="24" t="str">
        <f aca="false">IF(B52="","",ROW()-12)</f>
        <v/>
      </c>
      <c r="B52" s="25"/>
      <c r="C52" s="26" t="str">
        <f aca="true">IF($B52="","",IFERROR(IF(INDIRECT("'"&amp;$B52&amp;"'!C5")="","",INDIRECT("'"&amp;$B52&amp;"'!C5")),"Không thấy sheet"))</f>
        <v/>
      </c>
      <c r="D52" s="27" t="str">
        <f aca="true">IF($B52="","",IFERROR(IF(INDIRECT("'"&amp;$B52&amp;"'!C6")="","",INDIRECT("'"&amp;$B52&amp;"'!C6")),"Không thấy sheet"))</f>
        <v/>
      </c>
      <c r="E52" s="24" t="str">
        <f aca="true">IF($B52="","",IFERROR(IF(INDIRECT("'"&amp;$B52&amp;"'!C9")="",0,INDIRECT("'"&amp;$B52&amp;"'!C9")),"Không thấy sheet"))</f>
        <v/>
      </c>
      <c r="F52" s="28" t="str">
        <f aca="true">IF($B52="","",IFERROR(IF(INDIRECT("'"&amp;$B52&amp;"'!K6")="",0,INDIRECT("'"&amp;$B52&amp;"'!K6")),"Không thấy sheet"))</f>
        <v/>
      </c>
      <c r="G52" s="28" t="str">
        <f aca="true">IF($B52="","",IFERROR(IF(INDIRECT("'"&amp;$B52&amp;"'!K7")="",0,INDIRECT("'"&amp;$B52&amp;"'!K7")),"Không thấy sheet"))</f>
        <v/>
      </c>
      <c r="H52" s="28" t="str">
        <f aca="true">IF($B52="","",IFERROR(IF(INDIRECT("'"&amp;$B52&amp;"'!K8")="",0,INDIRECT("'"&amp;$B52&amp;"'!K8")),"Không thấy sheet"))</f>
        <v/>
      </c>
      <c r="I52" s="24" t="str">
        <f aca="true">IF($B52="","",IFERROR(IF(INDIRECT("'"&amp;$B52&amp;"'!F4")="","",INDIRECT("'"&amp;$B52&amp;"'!F4")),"Không thấy sheet"))</f>
        <v/>
      </c>
      <c r="J52" s="24" t="str">
        <f aca="true">IF($B52="","",IFERROR(IF(INDIRECT("'"&amp;$B52&amp;"'!F6")="","",INDIRECT("'"&amp;$B52&amp;"'!F6")),"Không thấy sheet"))</f>
        <v/>
      </c>
      <c r="K52" s="26" t="str">
        <f aca="true">IF($B52="","",IFERROR(IF(INDIRECT("'"&amp;$B52&amp;"'!F8")="","",INDIRECT("'"&amp;$B52&amp;"'!F8")),"Không thấy sheet"))</f>
        <v/>
      </c>
      <c r="L52" s="27" t="str">
        <f aca="true">IF(B52="","",IFERROR(SUBSTITUTE(INDIRECT("'"&amp;$B52&amp;"'!A10"),"CẦN LÀM:  ",""),"Không thấy sheet"))</f>
        <v/>
      </c>
      <c r="M52" s="24" t="str">
        <f aca="true">IF(AND(ISNUMBER(K52),ISNUMBER(H52)),IF(AND(H52&gt;0,TODAY()&gt;K52),TODAY()-K52,""),"")</f>
        <v/>
      </c>
    </row>
    <row r="53" customFormat="false" ht="15" hidden="false" customHeight="false" outlineLevel="0" collapsed="false">
      <c r="A53" s="18" t="str">
        <f aca="false">IF(B53="","",ROW()-12)</f>
        <v/>
      </c>
      <c r="B53" s="19"/>
      <c r="C53" s="20" t="str">
        <f aca="true">IF($B53="","",IFERROR(IF(INDIRECT("'"&amp;$B53&amp;"'!C5")="","",INDIRECT("'"&amp;$B53&amp;"'!C5")),"Không thấy sheet"))</f>
        <v/>
      </c>
      <c r="D53" s="21" t="str">
        <f aca="true">IF($B53="","",IFERROR(IF(INDIRECT("'"&amp;$B53&amp;"'!C6")="","",INDIRECT("'"&amp;$B53&amp;"'!C6")),"Không thấy sheet"))</f>
        <v/>
      </c>
      <c r="E53" s="18" t="str">
        <f aca="true">IF($B53="","",IFERROR(IF(INDIRECT("'"&amp;$B53&amp;"'!C9")="",0,INDIRECT("'"&amp;$B53&amp;"'!C9")),"Không thấy sheet"))</f>
        <v/>
      </c>
      <c r="F53" s="22" t="str">
        <f aca="true">IF($B53="","",IFERROR(IF(INDIRECT("'"&amp;$B53&amp;"'!K6")="",0,INDIRECT("'"&amp;$B53&amp;"'!K6")),"Không thấy sheet"))</f>
        <v/>
      </c>
      <c r="G53" s="22" t="str">
        <f aca="true">IF($B53="","",IFERROR(IF(INDIRECT("'"&amp;$B53&amp;"'!K7")="",0,INDIRECT("'"&amp;$B53&amp;"'!K7")),"Không thấy sheet"))</f>
        <v/>
      </c>
      <c r="H53" s="22" t="str">
        <f aca="true">IF($B53="","",IFERROR(IF(INDIRECT("'"&amp;$B53&amp;"'!K8")="",0,INDIRECT("'"&amp;$B53&amp;"'!K8")),"Không thấy sheet"))</f>
        <v/>
      </c>
      <c r="I53" s="23" t="str">
        <f aca="true">IF($B53="","",IFERROR(IF(INDIRECT("'"&amp;$B53&amp;"'!F4")="","",INDIRECT("'"&amp;$B53&amp;"'!F4")),"Không thấy sheet"))</f>
        <v/>
      </c>
      <c r="J53" s="23" t="str">
        <f aca="true">IF($B53="","",IFERROR(IF(INDIRECT("'"&amp;$B53&amp;"'!F6")="","",INDIRECT("'"&amp;$B53&amp;"'!F6")),"Không thấy sheet"))</f>
        <v/>
      </c>
      <c r="K53" s="20" t="str">
        <f aca="true">IF($B53="","",IFERROR(IF(INDIRECT("'"&amp;$B53&amp;"'!F8")="","",INDIRECT("'"&amp;$B53&amp;"'!F8")),"Không thấy sheet"))</f>
        <v/>
      </c>
      <c r="L53" s="21" t="str">
        <f aca="true">IF(B53="","",IFERROR(SUBSTITUTE(INDIRECT("'"&amp;$B53&amp;"'!A10"),"CẦN LÀM:  ",""),"Không thấy sheet"))</f>
        <v/>
      </c>
      <c r="M53" s="23" t="str">
        <f aca="true">IF(AND(ISNUMBER(K53),ISNUMBER(H53)),IF(AND(H53&gt;0,TODAY()&gt;K53),TODAY()-K53,""),"")</f>
        <v/>
      </c>
    </row>
    <row r="54" customFormat="false" ht="15" hidden="false" customHeight="false" outlineLevel="0" collapsed="false">
      <c r="A54" s="24" t="str">
        <f aca="false">IF(B54="","",ROW()-12)</f>
        <v/>
      </c>
      <c r="B54" s="25"/>
      <c r="C54" s="26" t="str">
        <f aca="true">IF($B54="","",IFERROR(IF(INDIRECT("'"&amp;$B54&amp;"'!C5")="","",INDIRECT("'"&amp;$B54&amp;"'!C5")),"Không thấy sheet"))</f>
        <v/>
      </c>
      <c r="D54" s="27" t="str">
        <f aca="true">IF($B54="","",IFERROR(IF(INDIRECT("'"&amp;$B54&amp;"'!C6")="","",INDIRECT("'"&amp;$B54&amp;"'!C6")),"Không thấy sheet"))</f>
        <v/>
      </c>
      <c r="E54" s="24" t="str">
        <f aca="true">IF($B54="","",IFERROR(IF(INDIRECT("'"&amp;$B54&amp;"'!C9")="",0,INDIRECT("'"&amp;$B54&amp;"'!C9")),"Không thấy sheet"))</f>
        <v/>
      </c>
      <c r="F54" s="28" t="str">
        <f aca="true">IF($B54="","",IFERROR(IF(INDIRECT("'"&amp;$B54&amp;"'!K6")="",0,INDIRECT("'"&amp;$B54&amp;"'!K6")),"Không thấy sheet"))</f>
        <v/>
      </c>
      <c r="G54" s="28" t="str">
        <f aca="true">IF($B54="","",IFERROR(IF(INDIRECT("'"&amp;$B54&amp;"'!K7")="",0,INDIRECT("'"&amp;$B54&amp;"'!K7")),"Không thấy sheet"))</f>
        <v/>
      </c>
      <c r="H54" s="28" t="str">
        <f aca="true">IF($B54="","",IFERROR(IF(INDIRECT("'"&amp;$B54&amp;"'!K8")="",0,INDIRECT("'"&amp;$B54&amp;"'!K8")),"Không thấy sheet"))</f>
        <v/>
      </c>
      <c r="I54" s="24" t="str">
        <f aca="true">IF($B54="","",IFERROR(IF(INDIRECT("'"&amp;$B54&amp;"'!F4")="","",INDIRECT("'"&amp;$B54&amp;"'!F4")),"Không thấy sheet"))</f>
        <v/>
      </c>
      <c r="J54" s="24" t="str">
        <f aca="true">IF($B54="","",IFERROR(IF(INDIRECT("'"&amp;$B54&amp;"'!F6")="","",INDIRECT("'"&amp;$B54&amp;"'!F6")),"Không thấy sheet"))</f>
        <v/>
      </c>
      <c r="K54" s="26" t="str">
        <f aca="true">IF($B54="","",IFERROR(IF(INDIRECT("'"&amp;$B54&amp;"'!F8")="","",INDIRECT("'"&amp;$B54&amp;"'!F8")),"Không thấy sheet"))</f>
        <v/>
      </c>
      <c r="L54" s="27" t="str">
        <f aca="true">IF(B54="","",IFERROR(SUBSTITUTE(INDIRECT("'"&amp;$B54&amp;"'!A10"),"CẦN LÀM:  ",""),"Không thấy sheet"))</f>
        <v/>
      </c>
      <c r="M54" s="24" t="str">
        <f aca="true">IF(AND(ISNUMBER(K54),ISNUMBER(H54)),IF(AND(H54&gt;0,TODAY()&gt;K54),TODAY()-K54,""),"")</f>
        <v/>
      </c>
    </row>
    <row r="55" customFormat="false" ht="15" hidden="false" customHeight="false" outlineLevel="0" collapsed="false">
      <c r="A55" s="18" t="str">
        <f aca="false">IF(B55="","",ROW()-12)</f>
        <v/>
      </c>
      <c r="B55" s="19"/>
      <c r="C55" s="20" t="str">
        <f aca="true">IF($B55="","",IFERROR(IF(INDIRECT("'"&amp;$B55&amp;"'!C5")="","",INDIRECT("'"&amp;$B55&amp;"'!C5")),"Không thấy sheet"))</f>
        <v/>
      </c>
      <c r="D55" s="21" t="str">
        <f aca="true">IF($B55="","",IFERROR(IF(INDIRECT("'"&amp;$B55&amp;"'!C6")="","",INDIRECT("'"&amp;$B55&amp;"'!C6")),"Không thấy sheet"))</f>
        <v/>
      </c>
      <c r="E55" s="18" t="str">
        <f aca="true">IF($B55="","",IFERROR(IF(INDIRECT("'"&amp;$B55&amp;"'!C9")="",0,INDIRECT("'"&amp;$B55&amp;"'!C9")),"Không thấy sheet"))</f>
        <v/>
      </c>
      <c r="F55" s="22" t="str">
        <f aca="true">IF($B55="","",IFERROR(IF(INDIRECT("'"&amp;$B55&amp;"'!K6")="",0,INDIRECT("'"&amp;$B55&amp;"'!K6")),"Không thấy sheet"))</f>
        <v/>
      </c>
      <c r="G55" s="22" t="str">
        <f aca="true">IF($B55="","",IFERROR(IF(INDIRECT("'"&amp;$B55&amp;"'!K7")="",0,INDIRECT("'"&amp;$B55&amp;"'!K7")),"Không thấy sheet"))</f>
        <v/>
      </c>
      <c r="H55" s="22" t="str">
        <f aca="true">IF($B55="","",IFERROR(IF(INDIRECT("'"&amp;$B55&amp;"'!K8")="",0,INDIRECT("'"&amp;$B55&amp;"'!K8")),"Không thấy sheet"))</f>
        <v/>
      </c>
      <c r="I55" s="23" t="str">
        <f aca="true">IF($B55="","",IFERROR(IF(INDIRECT("'"&amp;$B55&amp;"'!F4")="","",INDIRECT("'"&amp;$B55&amp;"'!F4")),"Không thấy sheet"))</f>
        <v/>
      </c>
      <c r="J55" s="23" t="str">
        <f aca="true">IF($B55="","",IFERROR(IF(INDIRECT("'"&amp;$B55&amp;"'!F6")="","",INDIRECT("'"&amp;$B55&amp;"'!F6")),"Không thấy sheet"))</f>
        <v/>
      </c>
      <c r="K55" s="20" t="str">
        <f aca="true">IF($B55="","",IFERROR(IF(INDIRECT("'"&amp;$B55&amp;"'!F8")="","",INDIRECT("'"&amp;$B55&amp;"'!F8")),"Không thấy sheet"))</f>
        <v/>
      </c>
      <c r="L55" s="21" t="str">
        <f aca="true">IF(B55="","",IFERROR(SUBSTITUTE(INDIRECT("'"&amp;$B55&amp;"'!A10"),"CẦN LÀM:  ",""),"Không thấy sheet"))</f>
        <v/>
      </c>
      <c r="M55" s="23" t="str">
        <f aca="true">IF(AND(ISNUMBER(K55),ISNUMBER(H55)),IF(AND(H55&gt;0,TODAY()&gt;K55),TODAY()-K55,""),"")</f>
        <v/>
      </c>
    </row>
    <row r="56" customFormat="false" ht="15" hidden="false" customHeight="false" outlineLevel="0" collapsed="false">
      <c r="A56" s="24" t="str">
        <f aca="false">IF(B56="","",ROW()-12)</f>
        <v/>
      </c>
      <c r="B56" s="25"/>
      <c r="C56" s="26" t="str">
        <f aca="true">IF($B56="","",IFERROR(IF(INDIRECT("'"&amp;$B56&amp;"'!C5")="","",INDIRECT("'"&amp;$B56&amp;"'!C5")),"Không thấy sheet"))</f>
        <v/>
      </c>
      <c r="D56" s="27" t="str">
        <f aca="true">IF($B56="","",IFERROR(IF(INDIRECT("'"&amp;$B56&amp;"'!C6")="","",INDIRECT("'"&amp;$B56&amp;"'!C6")),"Không thấy sheet"))</f>
        <v/>
      </c>
      <c r="E56" s="24" t="str">
        <f aca="true">IF($B56="","",IFERROR(IF(INDIRECT("'"&amp;$B56&amp;"'!C9")="",0,INDIRECT("'"&amp;$B56&amp;"'!C9")),"Không thấy sheet"))</f>
        <v/>
      </c>
      <c r="F56" s="28" t="str">
        <f aca="true">IF($B56="","",IFERROR(IF(INDIRECT("'"&amp;$B56&amp;"'!K6")="",0,INDIRECT("'"&amp;$B56&amp;"'!K6")),"Không thấy sheet"))</f>
        <v/>
      </c>
      <c r="G56" s="28" t="str">
        <f aca="true">IF($B56="","",IFERROR(IF(INDIRECT("'"&amp;$B56&amp;"'!K7")="",0,INDIRECT("'"&amp;$B56&amp;"'!K7")),"Không thấy sheet"))</f>
        <v/>
      </c>
      <c r="H56" s="28" t="str">
        <f aca="true">IF($B56="","",IFERROR(IF(INDIRECT("'"&amp;$B56&amp;"'!K8")="",0,INDIRECT("'"&amp;$B56&amp;"'!K8")),"Không thấy sheet"))</f>
        <v/>
      </c>
      <c r="I56" s="24" t="str">
        <f aca="true">IF($B56="","",IFERROR(IF(INDIRECT("'"&amp;$B56&amp;"'!F4")="","",INDIRECT("'"&amp;$B56&amp;"'!F4")),"Không thấy sheet"))</f>
        <v/>
      </c>
      <c r="J56" s="24" t="str">
        <f aca="true">IF($B56="","",IFERROR(IF(INDIRECT("'"&amp;$B56&amp;"'!F6")="","",INDIRECT("'"&amp;$B56&amp;"'!F6")),"Không thấy sheet"))</f>
        <v/>
      </c>
      <c r="K56" s="26" t="str">
        <f aca="true">IF($B56="","",IFERROR(IF(INDIRECT("'"&amp;$B56&amp;"'!F8")="","",INDIRECT("'"&amp;$B56&amp;"'!F8")),"Không thấy sheet"))</f>
        <v/>
      </c>
      <c r="L56" s="27" t="str">
        <f aca="true">IF(B56="","",IFERROR(SUBSTITUTE(INDIRECT("'"&amp;$B56&amp;"'!A10"),"CẦN LÀM:  ",""),"Không thấy sheet"))</f>
        <v/>
      </c>
      <c r="M56" s="24" t="str">
        <f aca="true">IF(AND(ISNUMBER(K56),ISNUMBER(H56)),IF(AND(H56&gt;0,TODAY()&gt;K56),TODAY()-K56,""),"")</f>
        <v/>
      </c>
    </row>
    <row r="57" customFormat="false" ht="15" hidden="false" customHeight="false" outlineLevel="0" collapsed="false">
      <c r="A57" s="18" t="str">
        <f aca="false">IF(B57="","",ROW()-12)</f>
        <v/>
      </c>
      <c r="B57" s="19"/>
      <c r="C57" s="20" t="str">
        <f aca="true">IF($B57="","",IFERROR(IF(INDIRECT("'"&amp;$B57&amp;"'!C5")="","",INDIRECT("'"&amp;$B57&amp;"'!C5")),"Không thấy sheet"))</f>
        <v/>
      </c>
      <c r="D57" s="21" t="str">
        <f aca="true">IF($B57="","",IFERROR(IF(INDIRECT("'"&amp;$B57&amp;"'!C6")="","",INDIRECT("'"&amp;$B57&amp;"'!C6")),"Không thấy sheet"))</f>
        <v/>
      </c>
      <c r="E57" s="18" t="str">
        <f aca="true">IF($B57="","",IFERROR(IF(INDIRECT("'"&amp;$B57&amp;"'!C9")="",0,INDIRECT("'"&amp;$B57&amp;"'!C9")),"Không thấy sheet"))</f>
        <v/>
      </c>
      <c r="F57" s="22" t="str">
        <f aca="true">IF($B57="","",IFERROR(IF(INDIRECT("'"&amp;$B57&amp;"'!K6")="",0,INDIRECT("'"&amp;$B57&amp;"'!K6")),"Không thấy sheet"))</f>
        <v/>
      </c>
      <c r="G57" s="22" t="str">
        <f aca="true">IF($B57="","",IFERROR(IF(INDIRECT("'"&amp;$B57&amp;"'!K7")="",0,INDIRECT("'"&amp;$B57&amp;"'!K7")),"Không thấy sheet"))</f>
        <v/>
      </c>
      <c r="H57" s="22" t="str">
        <f aca="true">IF($B57="","",IFERROR(IF(INDIRECT("'"&amp;$B57&amp;"'!K8")="",0,INDIRECT("'"&amp;$B57&amp;"'!K8")),"Không thấy sheet"))</f>
        <v/>
      </c>
      <c r="I57" s="23" t="str">
        <f aca="true">IF($B57="","",IFERROR(IF(INDIRECT("'"&amp;$B57&amp;"'!F4")="","",INDIRECT("'"&amp;$B57&amp;"'!F4")),"Không thấy sheet"))</f>
        <v/>
      </c>
      <c r="J57" s="23" t="str">
        <f aca="true">IF($B57="","",IFERROR(IF(INDIRECT("'"&amp;$B57&amp;"'!F6")="","",INDIRECT("'"&amp;$B57&amp;"'!F6")),"Không thấy sheet"))</f>
        <v/>
      </c>
      <c r="K57" s="20" t="str">
        <f aca="true">IF($B57="","",IFERROR(IF(INDIRECT("'"&amp;$B57&amp;"'!F8")="","",INDIRECT("'"&amp;$B57&amp;"'!F8")),"Không thấy sheet"))</f>
        <v/>
      </c>
      <c r="L57" s="21" t="str">
        <f aca="true">IF(B57="","",IFERROR(SUBSTITUTE(INDIRECT("'"&amp;$B57&amp;"'!A10"),"CẦN LÀM:  ",""),"Không thấy sheet"))</f>
        <v/>
      </c>
      <c r="M57" s="23" t="str">
        <f aca="true">IF(AND(ISNUMBER(K57),ISNUMBER(H57)),IF(AND(H57&gt;0,TODAY()&gt;K57),TODAY()-K57,""),"")</f>
        <v/>
      </c>
    </row>
    <row r="58" customFormat="false" ht="15" hidden="false" customHeight="false" outlineLevel="0" collapsed="false">
      <c r="A58" s="24" t="str">
        <f aca="false">IF(B58="","",ROW()-12)</f>
        <v/>
      </c>
      <c r="B58" s="25"/>
      <c r="C58" s="26" t="str">
        <f aca="true">IF($B58="","",IFERROR(IF(INDIRECT("'"&amp;$B58&amp;"'!C5")="","",INDIRECT("'"&amp;$B58&amp;"'!C5")),"Không thấy sheet"))</f>
        <v/>
      </c>
      <c r="D58" s="27" t="str">
        <f aca="true">IF($B58="","",IFERROR(IF(INDIRECT("'"&amp;$B58&amp;"'!C6")="","",INDIRECT("'"&amp;$B58&amp;"'!C6")),"Không thấy sheet"))</f>
        <v/>
      </c>
      <c r="E58" s="24" t="str">
        <f aca="true">IF($B58="","",IFERROR(IF(INDIRECT("'"&amp;$B58&amp;"'!C9")="",0,INDIRECT("'"&amp;$B58&amp;"'!C9")),"Không thấy sheet"))</f>
        <v/>
      </c>
      <c r="F58" s="28" t="str">
        <f aca="true">IF($B58="","",IFERROR(IF(INDIRECT("'"&amp;$B58&amp;"'!K6")="",0,INDIRECT("'"&amp;$B58&amp;"'!K6")),"Không thấy sheet"))</f>
        <v/>
      </c>
      <c r="G58" s="28" t="str">
        <f aca="true">IF($B58="","",IFERROR(IF(INDIRECT("'"&amp;$B58&amp;"'!K7")="",0,INDIRECT("'"&amp;$B58&amp;"'!K7")),"Không thấy sheet"))</f>
        <v/>
      </c>
      <c r="H58" s="28" t="str">
        <f aca="true">IF($B58="","",IFERROR(IF(INDIRECT("'"&amp;$B58&amp;"'!K8")="",0,INDIRECT("'"&amp;$B58&amp;"'!K8")),"Không thấy sheet"))</f>
        <v/>
      </c>
      <c r="I58" s="24" t="str">
        <f aca="true">IF($B58="","",IFERROR(IF(INDIRECT("'"&amp;$B58&amp;"'!F4")="","",INDIRECT("'"&amp;$B58&amp;"'!F4")),"Không thấy sheet"))</f>
        <v/>
      </c>
      <c r="J58" s="24" t="str">
        <f aca="true">IF($B58="","",IFERROR(IF(INDIRECT("'"&amp;$B58&amp;"'!F6")="","",INDIRECT("'"&amp;$B58&amp;"'!F6")),"Không thấy sheet"))</f>
        <v/>
      </c>
      <c r="K58" s="26" t="str">
        <f aca="true">IF($B58="","",IFERROR(IF(INDIRECT("'"&amp;$B58&amp;"'!F8")="","",INDIRECT("'"&amp;$B58&amp;"'!F8")),"Không thấy sheet"))</f>
        <v/>
      </c>
      <c r="L58" s="27" t="str">
        <f aca="true">IF(B58="","",IFERROR(SUBSTITUTE(INDIRECT("'"&amp;$B58&amp;"'!A10"),"CẦN LÀM:  ",""),"Không thấy sheet"))</f>
        <v/>
      </c>
      <c r="M58" s="24" t="str">
        <f aca="true">IF(AND(ISNUMBER(K58),ISNUMBER(H58)),IF(AND(H58&gt;0,TODAY()&gt;K58),TODAY()-K58,""),"")</f>
        <v/>
      </c>
    </row>
    <row r="59" customFormat="false" ht="15" hidden="false" customHeight="false" outlineLevel="0" collapsed="false">
      <c r="A59" s="18" t="str">
        <f aca="false">IF(B59="","",ROW()-12)</f>
        <v/>
      </c>
      <c r="B59" s="19"/>
      <c r="C59" s="20" t="str">
        <f aca="true">IF($B59="","",IFERROR(IF(INDIRECT("'"&amp;$B59&amp;"'!C5")="","",INDIRECT("'"&amp;$B59&amp;"'!C5")),"Không thấy sheet"))</f>
        <v/>
      </c>
      <c r="D59" s="21" t="str">
        <f aca="true">IF($B59="","",IFERROR(IF(INDIRECT("'"&amp;$B59&amp;"'!C6")="","",INDIRECT("'"&amp;$B59&amp;"'!C6")),"Không thấy sheet"))</f>
        <v/>
      </c>
      <c r="E59" s="18" t="str">
        <f aca="true">IF($B59="","",IFERROR(IF(INDIRECT("'"&amp;$B59&amp;"'!C9")="",0,INDIRECT("'"&amp;$B59&amp;"'!C9")),"Không thấy sheet"))</f>
        <v/>
      </c>
      <c r="F59" s="22" t="str">
        <f aca="true">IF($B59="","",IFERROR(IF(INDIRECT("'"&amp;$B59&amp;"'!K6")="",0,INDIRECT("'"&amp;$B59&amp;"'!K6")),"Không thấy sheet"))</f>
        <v/>
      </c>
      <c r="G59" s="22" t="str">
        <f aca="true">IF($B59="","",IFERROR(IF(INDIRECT("'"&amp;$B59&amp;"'!K7")="",0,INDIRECT("'"&amp;$B59&amp;"'!K7")),"Không thấy sheet"))</f>
        <v/>
      </c>
      <c r="H59" s="22" t="str">
        <f aca="true">IF($B59="","",IFERROR(IF(INDIRECT("'"&amp;$B59&amp;"'!K8")="",0,INDIRECT("'"&amp;$B59&amp;"'!K8")),"Không thấy sheet"))</f>
        <v/>
      </c>
      <c r="I59" s="23" t="str">
        <f aca="true">IF($B59="","",IFERROR(IF(INDIRECT("'"&amp;$B59&amp;"'!F4")="","",INDIRECT("'"&amp;$B59&amp;"'!F4")),"Không thấy sheet"))</f>
        <v/>
      </c>
      <c r="J59" s="23" t="str">
        <f aca="true">IF($B59="","",IFERROR(IF(INDIRECT("'"&amp;$B59&amp;"'!F6")="","",INDIRECT("'"&amp;$B59&amp;"'!F6")),"Không thấy sheet"))</f>
        <v/>
      </c>
      <c r="K59" s="20" t="str">
        <f aca="true">IF($B59="","",IFERROR(IF(INDIRECT("'"&amp;$B59&amp;"'!F8")="","",INDIRECT("'"&amp;$B59&amp;"'!F8")),"Không thấy sheet"))</f>
        <v/>
      </c>
      <c r="L59" s="21" t="str">
        <f aca="true">IF(B59="","",IFERROR(SUBSTITUTE(INDIRECT("'"&amp;$B59&amp;"'!A10"),"CẦN LÀM:  ",""),"Không thấy sheet"))</f>
        <v/>
      </c>
      <c r="M59" s="23" t="str">
        <f aca="true">IF(AND(ISNUMBER(K59),ISNUMBER(H59)),IF(AND(H59&gt;0,TODAY()&gt;K59),TODAY()-K59,""),"")</f>
        <v/>
      </c>
    </row>
    <row r="60" customFormat="false" ht="15" hidden="false" customHeight="false" outlineLevel="0" collapsed="false">
      <c r="A60" s="24" t="str">
        <f aca="false">IF(B60="","",ROW()-12)</f>
        <v/>
      </c>
      <c r="B60" s="25"/>
      <c r="C60" s="26" t="str">
        <f aca="true">IF($B60="","",IFERROR(IF(INDIRECT("'"&amp;$B60&amp;"'!C5")="","",INDIRECT("'"&amp;$B60&amp;"'!C5")),"Không thấy sheet"))</f>
        <v/>
      </c>
      <c r="D60" s="27" t="str">
        <f aca="true">IF($B60="","",IFERROR(IF(INDIRECT("'"&amp;$B60&amp;"'!C6")="","",INDIRECT("'"&amp;$B60&amp;"'!C6")),"Không thấy sheet"))</f>
        <v/>
      </c>
      <c r="E60" s="24" t="str">
        <f aca="true">IF($B60="","",IFERROR(IF(INDIRECT("'"&amp;$B60&amp;"'!C9")="",0,INDIRECT("'"&amp;$B60&amp;"'!C9")),"Không thấy sheet"))</f>
        <v/>
      </c>
      <c r="F60" s="28" t="str">
        <f aca="true">IF($B60="","",IFERROR(IF(INDIRECT("'"&amp;$B60&amp;"'!K6")="",0,INDIRECT("'"&amp;$B60&amp;"'!K6")),"Không thấy sheet"))</f>
        <v/>
      </c>
      <c r="G60" s="28" t="str">
        <f aca="true">IF($B60="","",IFERROR(IF(INDIRECT("'"&amp;$B60&amp;"'!K7")="",0,INDIRECT("'"&amp;$B60&amp;"'!K7")),"Không thấy sheet"))</f>
        <v/>
      </c>
      <c r="H60" s="28" t="str">
        <f aca="true">IF($B60="","",IFERROR(IF(INDIRECT("'"&amp;$B60&amp;"'!K8")="",0,INDIRECT("'"&amp;$B60&amp;"'!K8")),"Không thấy sheet"))</f>
        <v/>
      </c>
      <c r="I60" s="24" t="str">
        <f aca="true">IF($B60="","",IFERROR(IF(INDIRECT("'"&amp;$B60&amp;"'!F4")="","",INDIRECT("'"&amp;$B60&amp;"'!F4")),"Không thấy sheet"))</f>
        <v/>
      </c>
      <c r="J60" s="24" t="str">
        <f aca="true">IF($B60="","",IFERROR(IF(INDIRECT("'"&amp;$B60&amp;"'!F6")="","",INDIRECT("'"&amp;$B60&amp;"'!F6")),"Không thấy sheet"))</f>
        <v/>
      </c>
      <c r="K60" s="26" t="str">
        <f aca="true">IF($B60="","",IFERROR(IF(INDIRECT("'"&amp;$B60&amp;"'!F8")="","",INDIRECT("'"&amp;$B60&amp;"'!F8")),"Không thấy sheet"))</f>
        <v/>
      </c>
      <c r="L60" s="27" t="str">
        <f aca="true">IF(B60="","",IFERROR(SUBSTITUTE(INDIRECT("'"&amp;$B60&amp;"'!A10"),"CẦN LÀM:  ",""),"Không thấy sheet"))</f>
        <v/>
      </c>
      <c r="M60" s="24" t="str">
        <f aca="true">IF(AND(ISNUMBER(K60),ISNUMBER(H60)),IF(AND(H60&gt;0,TODAY()&gt;K60),TODAY()-K60,""),"")</f>
        <v/>
      </c>
    </row>
    <row r="61" customFormat="false" ht="15" hidden="false" customHeight="false" outlineLevel="0" collapsed="false">
      <c r="A61" s="18" t="str">
        <f aca="false">IF(B61="","",ROW()-12)</f>
        <v/>
      </c>
      <c r="B61" s="19"/>
      <c r="C61" s="20" t="str">
        <f aca="true">IF($B61="","",IFERROR(IF(INDIRECT("'"&amp;$B61&amp;"'!C5")="","",INDIRECT("'"&amp;$B61&amp;"'!C5")),"Không thấy sheet"))</f>
        <v/>
      </c>
      <c r="D61" s="21" t="str">
        <f aca="true">IF($B61="","",IFERROR(IF(INDIRECT("'"&amp;$B61&amp;"'!C6")="","",INDIRECT("'"&amp;$B61&amp;"'!C6")),"Không thấy sheet"))</f>
        <v/>
      </c>
      <c r="E61" s="18" t="str">
        <f aca="true">IF($B61="","",IFERROR(IF(INDIRECT("'"&amp;$B61&amp;"'!C9")="",0,INDIRECT("'"&amp;$B61&amp;"'!C9")),"Không thấy sheet"))</f>
        <v/>
      </c>
      <c r="F61" s="22" t="str">
        <f aca="true">IF($B61="","",IFERROR(IF(INDIRECT("'"&amp;$B61&amp;"'!K6")="",0,INDIRECT("'"&amp;$B61&amp;"'!K6")),"Không thấy sheet"))</f>
        <v/>
      </c>
      <c r="G61" s="22" t="str">
        <f aca="true">IF($B61="","",IFERROR(IF(INDIRECT("'"&amp;$B61&amp;"'!K7")="",0,INDIRECT("'"&amp;$B61&amp;"'!K7")),"Không thấy sheet"))</f>
        <v/>
      </c>
      <c r="H61" s="22" t="str">
        <f aca="true">IF($B61="","",IFERROR(IF(INDIRECT("'"&amp;$B61&amp;"'!K8")="",0,INDIRECT("'"&amp;$B61&amp;"'!K8")),"Không thấy sheet"))</f>
        <v/>
      </c>
      <c r="I61" s="23" t="str">
        <f aca="true">IF($B61="","",IFERROR(IF(INDIRECT("'"&amp;$B61&amp;"'!F4")="","",INDIRECT("'"&amp;$B61&amp;"'!F4")),"Không thấy sheet"))</f>
        <v/>
      </c>
      <c r="J61" s="23" t="str">
        <f aca="true">IF($B61="","",IFERROR(IF(INDIRECT("'"&amp;$B61&amp;"'!F6")="","",INDIRECT("'"&amp;$B61&amp;"'!F6")),"Không thấy sheet"))</f>
        <v/>
      </c>
      <c r="K61" s="20" t="str">
        <f aca="true">IF($B61="","",IFERROR(IF(INDIRECT("'"&amp;$B61&amp;"'!F8")="","",INDIRECT("'"&amp;$B61&amp;"'!F8")),"Không thấy sheet"))</f>
        <v/>
      </c>
      <c r="L61" s="21" t="str">
        <f aca="true">IF(B61="","",IFERROR(SUBSTITUTE(INDIRECT("'"&amp;$B61&amp;"'!A10"),"CẦN LÀM:  ",""),"Không thấy sheet"))</f>
        <v/>
      </c>
      <c r="M61" s="23" t="str">
        <f aca="true">IF(AND(ISNUMBER(K61),ISNUMBER(H61)),IF(AND(H61&gt;0,TODAY()&gt;K61),TODAY()-K61,""),"")</f>
        <v/>
      </c>
    </row>
    <row r="62" customFormat="false" ht="15" hidden="false" customHeight="false" outlineLevel="0" collapsed="false">
      <c r="A62" s="24" t="str">
        <f aca="false">IF(B62="","",ROW()-12)</f>
        <v/>
      </c>
      <c r="B62" s="25"/>
      <c r="C62" s="26" t="str">
        <f aca="true">IF($B62="","",IFERROR(IF(INDIRECT("'"&amp;$B62&amp;"'!C5")="","",INDIRECT("'"&amp;$B62&amp;"'!C5")),"Không thấy sheet"))</f>
        <v/>
      </c>
      <c r="D62" s="27" t="str">
        <f aca="true">IF($B62="","",IFERROR(IF(INDIRECT("'"&amp;$B62&amp;"'!C6")="","",INDIRECT("'"&amp;$B62&amp;"'!C6")),"Không thấy sheet"))</f>
        <v/>
      </c>
      <c r="E62" s="24" t="str">
        <f aca="true">IF($B62="","",IFERROR(IF(INDIRECT("'"&amp;$B62&amp;"'!C9")="",0,INDIRECT("'"&amp;$B62&amp;"'!C9")),"Không thấy sheet"))</f>
        <v/>
      </c>
      <c r="F62" s="28" t="str">
        <f aca="true">IF($B62="","",IFERROR(IF(INDIRECT("'"&amp;$B62&amp;"'!K6")="",0,INDIRECT("'"&amp;$B62&amp;"'!K6")),"Không thấy sheet"))</f>
        <v/>
      </c>
      <c r="G62" s="28" t="str">
        <f aca="true">IF($B62="","",IFERROR(IF(INDIRECT("'"&amp;$B62&amp;"'!K7")="",0,INDIRECT("'"&amp;$B62&amp;"'!K7")),"Không thấy sheet"))</f>
        <v/>
      </c>
      <c r="H62" s="28" t="str">
        <f aca="true">IF($B62="","",IFERROR(IF(INDIRECT("'"&amp;$B62&amp;"'!K8")="",0,INDIRECT("'"&amp;$B62&amp;"'!K8")),"Không thấy sheet"))</f>
        <v/>
      </c>
      <c r="I62" s="24" t="str">
        <f aca="true">IF($B62="","",IFERROR(IF(INDIRECT("'"&amp;$B62&amp;"'!F4")="","",INDIRECT("'"&amp;$B62&amp;"'!F4")),"Không thấy sheet"))</f>
        <v/>
      </c>
      <c r="J62" s="24" t="str">
        <f aca="true">IF($B62="","",IFERROR(IF(INDIRECT("'"&amp;$B62&amp;"'!F6")="","",INDIRECT("'"&amp;$B62&amp;"'!F6")),"Không thấy sheet"))</f>
        <v/>
      </c>
      <c r="K62" s="26" t="str">
        <f aca="true">IF($B62="","",IFERROR(IF(INDIRECT("'"&amp;$B62&amp;"'!F8")="","",INDIRECT("'"&amp;$B62&amp;"'!F8")),"Không thấy sheet"))</f>
        <v/>
      </c>
      <c r="L62" s="27" t="str">
        <f aca="true">IF(B62="","",IFERROR(SUBSTITUTE(INDIRECT("'"&amp;$B62&amp;"'!A10"),"CẦN LÀM:  ",""),"Không thấy sheet"))</f>
        <v/>
      </c>
      <c r="M62" s="24" t="str">
        <f aca="true">IF(AND(ISNUMBER(K62),ISNUMBER(H62)),IF(AND(H62&gt;0,TODAY()&gt;K62),TODAY()-K62,""),"")</f>
        <v/>
      </c>
    </row>
  </sheetData>
  <mergeCells count="23">
    <mergeCell ref="A1:M1"/>
    <mergeCell ref="A2:M2"/>
    <mergeCell ref="A3:B3"/>
    <mergeCell ref="C3:H3"/>
    <mergeCell ref="A4:B4"/>
    <mergeCell ref="C4:H4"/>
    <mergeCell ref="A5:B5"/>
    <mergeCell ref="C5:H5"/>
    <mergeCell ref="A6:B6"/>
    <mergeCell ref="C6:H6"/>
    <mergeCell ref="A8:C8"/>
    <mergeCell ref="E8:G8"/>
    <mergeCell ref="H8:J8"/>
    <mergeCell ref="K8:M8"/>
    <mergeCell ref="A9:C9"/>
    <mergeCell ref="E9:G9"/>
    <mergeCell ref="H9:J9"/>
    <mergeCell ref="K9:M9"/>
    <mergeCell ref="A10:C10"/>
    <mergeCell ref="D10:G10"/>
    <mergeCell ref="H10:J10"/>
    <mergeCell ref="K10:M10"/>
    <mergeCell ref="A11:M11"/>
  </mergeCells>
  <conditionalFormatting sqref="L13:L62">
    <cfRule type="expression" priority="2" aboveAverage="0" equalAverage="0" bottom="0" percent="0" rank="0" text="" dxfId="0">
      <formula>ISNUMBER(SEARCH("CHƯA XUẤT",$L13))</formula>
    </cfRule>
    <cfRule type="expression" priority="3" aboveAverage="0" equalAverage="0" bottom="0" percent="0" rank="0" text="" dxfId="1">
      <formula>ISNUMBER(SEARCH("Quá hạn",$L13))</formula>
    </cfRule>
    <cfRule type="expression" priority="4" aboveAverage="0" equalAverage="0" bottom="0" percent="0" rank="0" text="" dxfId="2">
      <formula>ISNUMBER(SEARCH("CHƯA CÓ GIÁ",$L13))</formula>
    </cfRule>
    <cfRule type="expression" priority="5" aboveAverage="0" equalAverage="0" bottom="0" percent="0" rank="0" text="" dxfId="3">
      <formula>ISNUMBER(SEARCH("Không thấy sheet",$L13))</formula>
    </cfRule>
    <cfRule type="expression" priority="6" aboveAverage="0" equalAverage="0" bottom="0" percent="0" rank="0" text="" dxfId="4">
      <formula>$L13="Hoàn tất"</formula>
    </cfRule>
  </conditionalFormatting>
  <conditionalFormatting sqref="I13:I62">
    <cfRule type="expression" priority="7" aboveAverage="0" equalAverage="0" bottom="0" percent="0" rank="0" text="" dxfId="5">
      <formula>$I13="Đã giao"</formula>
    </cfRule>
    <cfRule type="expression" priority="8" aboveAverage="0" equalAverage="0" bottom="0" percent="0" rank="0" text="" dxfId="6">
      <formula>$I13="Chưa giao"</formula>
    </cfRule>
  </conditionalFormatting>
  <conditionalFormatting sqref="J13:J62">
    <cfRule type="expression" priority="9" aboveAverage="0" equalAverage="0" bottom="0" percent="0" rank="0" text="" dxfId="5">
      <formula>$J13="Đã xuất"</formula>
    </cfRule>
    <cfRule type="expression" priority="10" aboveAverage="0" equalAverage="0" bottom="0" percent="0" rank="0" text="" dxfId="6">
      <formula>$J13="Chưa xuất"</formula>
    </cfRule>
  </conditionalFormatting>
  <conditionalFormatting sqref="M13:M62">
    <cfRule type="expression" priority="11" aboveAverage="0" equalAverage="0" bottom="0" percent="0" rank="0" text="" dxfId="1">
      <formula>AND(ISNUMBER($M13),$M13&gt;0)</formula>
    </cfRule>
  </conditionalFormatting>
  <conditionalFormatting sqref="H13:H62">
    <cfRule type="dataBar" priority="12">
      <dataBar showValue="1" minLength="10" maxLength="90">
        <cfvo type="num" val="0"/>
        <cfvo type="max" val="0"/>
        <color rgb="FFF4B183"/>
      </dataBar>
      <extLst>
        <ext xmlns:x14="http://schemas.microsoft.com/office/spreadsheetml/2009/9/main" uri="{B025F937-C7B1-47D3-B67F-A62EFF666E3E}">
          <x14:id>{4DF0C349-E71A-4FEE-872F-CE3284E2FC11}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F0C349-E71A-4FEE-872F-CE3284E2FC11}">
            <x14:dataBar minLength="10" maxLength="90" axisPosition="none" gradient="true">
              <x14:cfvo type="num">
                <xm:f>0</xm:f>
              </x14:cfvo>
              <x14:cfvo type="max"/>
              <x14:negativeFillColor rgb="FFF4B183"/>
              <x14:axisColor rgb="FF000000"/>
            </x14:dataBar>
          </x14:cfRule>
          <xm:sqref>H13:H62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2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24"/>
  </cols>
  <sheetData>
    <row r="1" customFormat="false" ht="30" hidden="false" customHeight="true" outlineLevel="0" collapsed="false">
      <c r="A1" s="29" t="str">
        <f aca="false">"ĐƠN HÀNG - "&amp;UPPER(TongQuan!C3)</f>
        <v>ĐƠN HÀNG - CÔNG TY TNHH VẬT TƯ THIẾT BỊ THU LIÊN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customFormat="false" ht="1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A3" s="16" t="s">
        <v>28</v>
      </c>
      <c r="B3" s="16"/>
      <c r="C3" s="16"/>
      <c r="D3" s="16"/>
      <c r="E3" s="16"/>
      <c r="F3" s="16"/>
      <c r="G3" s="16"/>
      <c r="I3" s="16" t="s">
        <v>29</v>
      </c>
      <c r="J3" s="16"/>
      <c r="K3" s="16"/>
      <c r="L3" s="16"/>
    </row>
    <row r="4" customFormat="false" ht="15" hidden="false" customHeight="true" outlineLevel="0" collapsed="false">
      <c r="A4" s="3" t="s">
        <v>14</v>
      </c>
      <c r="B4" s="3"/>
      <c r="C4" s="5" t="s">
        <v>26</v>
      </c>
      <c r="D4" s="3" t="s">
        <v>21</v>
      </c>
      <c r="E4" s="3"/>
      <c r="F4" s="5"/>
      <c r="G4" s="5"/>
      <c r="I4" s="30" t="s">
        <v>30</v>
      </c>
      <c r="J4" s="30"/>
      <c r="K4" s="31" t="n">
        <f aca="false">G33</f>
        <v>0</v>
      </c>
      <c r="L4" s="31"/>
    </row>
    <row r="5" customFormat="false" ht="15" hidden="false" customHeight="true" outlineLevel="0" collapsed="false">
      <c r="A5" s="3" t="s">
        <v>15</v>
      </c>
      <c r="B5" s="3"/>
      <c r="C5" s="32"/>
      <c r="D5" s="3" t="s">
        <v>31</v>
      </c>
      <c r="E5" s="3"/>
      <c r="F5" s="32"/>
      <c r="I5" s="30" t="s">
        <v>32</v>
      </c>
      <c r="J5" s="33" t="n">
        <v>0.08</v>
      </c>
      <c r="K5" s="31" t="n">
        <f aca="false">ROUND(K4*J5,0)</f>
        <v>0</v>
      </c>
      <c r="L5" s="31"/>
    </row>
    <row r="6" customFormat="false" ht="15" hidden="false" customHeight="true" outlineLevel="0" collapsed="false">
      <c r="A6" s="3" t="s">
        <v>33</v>
      </c>
      <c r="B6" s="3"/>
      <c r="C6" s="5" t="s">
        <v>34</v>
      </c>
      <c r="D6" s="3" t="s">
        <v>35</v>
      </c>
      <c r="E6" s="3"/>
      <c r="F6" s="5"/>
      <c r="G6" s="5"/>
      <c r="I6" s="3" t="s">
        <v>36</v>
      </c>
      <c r="J6" s="3"/>
      <c r="K6" s="34" t="n">
        <f aca="false">K4+K5</f>
        <v>0</v>
      </c>
      <c r="L6" s="34"/>
    </row>
    <row r="7" customFormat="false" ht="15" hidden="false" customHeight="true" outlineLevel="0" collapsed="false">
      <c r="A7" s="3" t="s">
        <v>37</v>
      </c>
      <c r="B7" s="3"/>
      <c r="C7" s="5"/>
      <c r="D7" s="3" t="s">
        <v>38</v>
      </c>
      <c r="E7" s="3"/>
      <c r="F7" s="5"/>
      <c r="G7" s="32"/>
      <c r="I7" s="30" t="s">
        <v>8</v>
      </c>
      <c r="J7" s="30"/>
      <c r="K7" s="31" t="n">
        <f aca="false">J25</f>
        <v>0</v>
      </c>
      <c r="L7" s="31"/>
    </row>
    <row r="8" customFormat="false" ht="23.85" hidden="false" customHeight="true" outlineLevel="0" collapsed="false">
      <c r="A8" s="3" t="s">
        <v>39</v>
      </c>
      <c r="B8" s="3"/>
      <c r="C8" s="5" t="s">
        <v>40</v>
      </c>
      <c r="D8" s="3" t="s">
        <v>41</v>
      </c>
      <c r="E8" s="3"/>
      <c r="F8" s="32"/>
      <c r="G8" s="32"/>
      <c r="I8" s="3" t="s">
        <v>9</v>
      </c>
      <c r="J8" s="3"/>
      <c r="K8" s="34" t="n">
        <f aca="false">K6-K7</f>
        <v>0</v>
      </c>
      <c r="L8" s="34"/>
    </row>
    <row r="9" customFormat="false" ht="15" hidden="false" customHeight="true" outlineLevel="0" collapsed="false">
      <c r="A9" s="3" t="s">
        <v>17</v>
      </c>
      <c r="B9" s="3"/>
      <c r="C9" s="35" t="n">
        <f aca="false">COUNTA(C13:C32)</f>
        <v>2</v>
      </c>
      <c r="I9" s="3" t="s">
        <v>42</v>
      </c>
      <c r="J9" s="3"/>
      <c r="K9" s="36" t="str">
        <f aca="true">IF(K6=0,"Chưa có giá",IF(K8&lt;0,"Thu thừa",IF(K8=0,"Đã thu đủ",IF(AND(F8&lt;&gt;"",TODAY()&gt;F8),"QUÁ HẠN "&amp;(TODAY()-F8)&amp;" ngày",IF(K7&gt;0,"Thu một phần","Chưa thu")))))</f>
        <v>Chưa có giá</v>
      </c>
      <c r="L9" s="36"/>
    </row>
    <row r="10" customFormat="false" ht="25.5" hidden="false" customHeight="true" outlineLevel="0" collapsed="false">
      <c r="A10" s="37" t="str">
        <f aca="true">"CẦN LÀM:  "&amp;IF(C4="","Nhập mã đơn",IF(COUNTIFS(C13:C32,"&lt;&gt;",F13:F32,"")&gt;0,"Có mã hàng CHƯA CÓ GIÁ",IF(AND(F4="Đã giao",F6&lt;&gt;"Đã xuất"),"Đã giao - CHƯA XUẤT HÓA ĐƠN",IF(AND(F6="Đã xuất",F4="Chưa giao"),"Đã xuất HĐ - chưa giao hàng",IF(F4="","Cập nhật tình trạng giao hàng",IF(AND(K8&gt;0,F8&lt;&gt;"",TODAY()&gt;F8),"Quá hạn "&amp;(TODAY()-F8)&amp;" ngày - đòi tiền",IF(K8&gt;0,"Chờ thu tiền",IF(K8&lt;0,"Kiểm tra thu thừa","Hoàn tất"))))))))</f>
        <v>CẦN LÀM:  Có mã hàng CHƯA CÓ GIÁ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</row>
    <row r="11" customFormat="false" ht="15" hidden="false" customHeight="true" outlineLevel="0" collapsed="false">
      <c r="A11" s="16" t="s">
        <v>43</v>
      </c>
      <c r="B11" s="16"/>
      <c r="C11" s="16"/>
      <c r="D11" s="16"/>
      <c r="E11" s="16"/>
      <c r="F11" s="16"/>
      <c r="G11" s="16"/>
      <c r="I11" s="16" t="s">
        <v>44</v>
      </c>
      <c r="J11" s="16"/>
      <c r="K11" s="16"/>
      <c r="L11" s="16"/>
    </row>
    <row r="12" customFormat="false" ht="23.85" hidden="false" customHeight="false" outlineLevel="0" collapsed="false">
      <c r="A12" s="17" t="s">
        <v>13</v>
      </c>
      <c r="B12" s="17" t="s">
        <v>45</v>
      </c>
      <c r="C12" s="17" t="s">
        <v>46</v>
      </c>
      <c r="D12" s="17" t="s">
        <v>47</v>
      </c>
      <c r="E12" s="17" t="s">
        <v>48</v>
      </c>
      <c r="F12" s="17" t="s">
        <v>49</v>
      </c>
      <c r="G12" s="17" t="s">
        <v>50</v>
      </c>
      <c r="I12" s="17" t="s">
        <v>51</v>
      </c>
      <c r="J12" s="17" t="s">
        <v>52</v>
      </c>
      <c r="K12" s="17" t="s">
        <v>53</v>
      </c>
      <c r="L12" s="17" t="s">
        <v>54</v>
      </c>
    </row>
    <row r="13" customFormat="false" ht="15" hidden="false" customHeight="false" outlineLevel="0" collapsed="false">
      <c r="A13" s="18" t="n">
        <f aca="false">IF(C13="","",ROW()-12)</f>
        <v>1</v>
      </c>
      <c r="B13" s="18" t="s">
        <v>55</v>
      </c>
      <c r="C13" s="21" t="s">
        <v>56</v>
      </c>
      <c r="D13" s="18" t="s">
        <v>57</v>
      </c>
      <c r="E13" s="38" t="n">
        <v>2</v>
      </c>
      <c r="F13" s="22"/>
      <c r="G13" s="39" t="str">
        <f aca="false">IF(OR(E13="",F13=""),"",ROUND(E13*F13,0))</f>
        <v/>
      </c>
      <c r="I13" s="40"/>
      <c r="J13" s="41"/>
      <c r="K13" s="42"/>
      <c r="L13" s="5"/>
    </row>
    <row r="14" customFormat="false" ht="15" hidden="false" customHeight="false" outlineLevel="0" collapsed="false">
      <c r="A14" s="24" t="n">
        <f aca="false">IF(C14="","",ROW()-12)</f>
        <v>2</v>
      </c>
      <c r="B14" s="24" t="s">
        <v>55</v>
      </c>
      <c r="C14" s="27" t="s">
        <v>58</v>
      </c>
      <c r="D14" s="24" t="s">
        <v>57</v>
      </c>
      <c r="E14" s="43" t="n">
        <v>2</v>
      </c>
      <c r="F14" s="28"/>
      <c r="G14" s="39" t="str">
        <f aca="false">IF(OR(E14="",F14=""),"",ROUND(E14*F14,0))</f>
        <v/>
      </c>
      <c r="I14" s="40"/>
      <c r="J14" s="41"/>
      <c r="K14" s="42"/>
      <c r="L14" s="5"/>
    </row>
    <row r="15" customFormat="false" ht="15" hidden="false" customHeight="false" outlineLevel="0" collapsed="false">
      <c r="A15" s="18" t="str">
        <f aca="false">IF(C15="","",ROW()-12)</f>
        <v/>
      </c>
      <c r="B15" s="18"/>
      <c r="C15" s="21"/>
      <c r="D15" s="18"/>
      <c r="E15" s="38"/>
      <c r="F15" s="22"/>
      <c r="G15" s="39" t="str">
        <f aca="false">IF(OR(E15="",F15=""),"",ROUND(E15*F15,0))</f>
        <v/>
      </c>
      <c r="I15" s="40"/>
      <c r="J15" s="41"/>
      <c r="K15" s="42"/>
      <c r="L15" s="5"/>
    </row>
    <row r="16" customFormat="false" ht="15" hidden="false" customHeight="false" outlineLevel="0" collapsed="false">
      <c r="A16" s="24" t="str">
        <f aca="false">IF(C16="","",ROW()-12)</f>
        <v/>
      </c>
      <c r="B16" s="24"/>
      <c r="C16" s="27"/>
      <c r="D16" s="24"/>
      <c r="E16" s="43"/>
      <c r="F16" s="28"/>
      <c r="G16" s="39" t="str">
        <f aca="false">IF(OR(E16="",F16=""),"",ROUND(E16*F16,0))</f>
        <v/>
      </c>
      <c r="I16" s="40"/>
      <c r="J16" s="41"/>
      <c r="K16" s="42"/>
      <c r="L16" s="5"/>
    </row>
    <row r="17" customFormat="false" ht="15" hidden="false" customHeight="false" outlineLevel="0" collapsed="false">
      <c r="A17" s="18" t="str">
        <f aca="false">IF(C17="","",ROW()-12)</f>
        <v/>
      </c>
      <c r="B17" s="18"/>
      <c r="C17" s="21"/>
      <c r="D17" s="18"/>
      <c r="E17" s="38"/>
      <c r="F17" s="22"/>
      <c r="G17" s="39" t="str">
        <f aca="false">IF(OR(E17="",F17=""),"",ROUND(E17*F17,0))</f>
        <v/>
      </c>
      <c r="I17" s="40"/>
      <c r="J17" s="41"/>
      <c r="K17" s="42"/>
      <c r="L17" s="5"/>
    </row>
    <row r="18" customFormat="false" ht="15" hidden="false" customHeight="false" outlineLevel="0" collapsed="false">
      <c r="A18" s="24" t="str">
        <f aca="false">IF(C18="","",ROW()-12)</f>
        <v/>
      </c>
      <c r="B18" s="24"/>
      <c r="C18" s="27"/>
      <c r="D18" s="24"/>
      <c r="E18" s="43"/>
      <c r="F18" s="28"/>
      <c r="G18" s="39" t="str">
        <f aca="false">IF(OR(E18="",F18=""),"",ROUND(E18*F18,0))</f>
        <v/>
      </c>
      <c r="I18" s="40"/>
      <c r="J18" s="41"/>
      <c r="K18" s="42"/>
      <c r="L18" s="5"/>
    </row>
    <row r="19" customFormat="false" ht="15" hidden="false" customHeight="false" outlineLevel="0" collapsed="false">
      <c r="A19" s="18" t="str">
        <f aca="false">IF(C19="","",ROW()-12)</f>
        <v/>
      </c>
      <c r="B19" s="18"/>
      <c r="C19" s="21"/>
      <c r="D19" s="18"/>
      <c r="E19" s="38"/>
      <c r="F19" s="22"/>
      <c r="G19" s="39" t="str">
        <f aca="false">IF(OR(E19="",F19=""),"",ROUND(E19*F19,0))</f>
        <v/>
      </c>
      <c r="I19" s="40"/>
      <c r="J19" s="41"/>
      <c r="K19" s="42"/>
      <c r="L19" s="5"/>
    </row>
    <row r="20" customFormat="false" ht="15" hidden="false" customHeight="false" outlineLevel="0" collapsed="false">
      <c r="A20" s="24" t="str">
        <f aca="false">IF(C20="","",ROW()-12)</f>
        <v/>
      </c>
      <c r="B20" s="24"/>
      <c r="C20" s="27"/>
      <c r="D20" s="24"/>
      <c r="E20" s="43"/>
      <c r="F20" s="28"/>
      <c r="G20" s="39" t="str">
        <f aca="false">IF(OR(E20="",F20=""),"",ROUND(E20*F20,0))</f>
        <v/>
      </c>
      <c r="I20" s="40"/>
      <c r="J20" s="41"/>
      <c r="K20" s="42"/>
      <c r="L20" s="5"/>
    </row>
    <row r="21" customFormat="false" ht="15" hidden="false" customHeight="false" outlineLevel="0" collapsed="false">
      <c r="A21" s="18" t="str">
        <f aca="false">IF(C21="","",ROW()-12)</f>
        <v/>
      </c>
      <c r="B21" s="18"/>
      <c r="C21" s="21"/>
      <c r="D21" s="18"/>
      <c r="E21" s="38"/>
      <c r="F21" s="22"/>
      <c r="G21" s="39" t="str">
        <f aca="false">IF(OR(E21="",F21=""),"",ROUND(E21*F21,0))</f>
        <v/>
      </c>
      <c r="I21" s="40"/>
      <c r="J21" s="41"/>
      <c r="K21" s="42"/>
      <c r="L21" s="5"/>
    </row>
    <row r="22" customFormat="false" ht="15" hidden="false" customHeight="false" outlineLevel="0" collapsed="false">
      <c r="A22" s="24" t="str">
        <f aca="false">IF(C22="","",ROW()-12)</f>
        <v/>
      </c>
      <c r="B22" s="24"/>
      <c r="C22" s="27"/>
      <c r="D22" s="24"/>
      <c r="E22" s="43"/>
      <c r="F22" s="28"/>
      <c r="G22" s="39" t="str">
        <f aca="false">IF(OR(E22="",F22=""),"",ROUND(E22*F22,0))</f>
        <v/>
      </c>
      <c r="I22" s="40"/>
      <c r="J22" s="41"/>
      <c r="K22" s="42"/>
      <c r="L22" s="5"/>
    </row>
    <row r="23" customFormat="false" ht="15" hidden="false" customHeight="false" outlineLevel="0" collapsed="false">
      <c r="A23" s="18" t="str">
        <f aca="false">IF(C23="","",ROW()-12)</f>
        <v/>
      </c>
      <c r="B23" s="18"/>
      <c r="C23" s="21"/>
      <c r="D23" s="18"/>
      <c r="E23" s="38"/>
      <c r="F23" s="22"/>
      <c r="G23" s="39" t="str">
        <f aca="false">IF(OR(E23="",F23=""),"",ROUND(E23*F23,0))</f>
        <v/>
      </c>
      <c r="I23" s="40"/>
      <c r="J23" s="41"/>
      <c r="K23" s="42"/>
      <c r="L23" s="5"/>
    </row>
    <row r="24" customFormat="false" ht="15" hidden="false" customHeight="false" outlineLevel="0" collapsed="false">
      <c r="A24" s="24" t="str">
        <f aca="false">IF(C24="","",ROW()-12)</f>
        <v/>
      </c>
      <c r="B24" s="24"/>
      <c r="C24" s="27"/>
      <c r="D24" s="24"/>
      <c r="E24" s="43"/>
      <c r="F24" s="28"/>
      <c r="G24" s="39" t="str">
        <f aca="false">IF(OR(E24="",F24=""),"",ROUND(E24*F24,0))</f>
        <v/>
      </c>
      <c r="I24" s="40"/>
      <c r="J24" s="41"/>
      <c r="K24" s="42"/>
      <c r="L24" s="5"/>
    </row>
    <row r="25" customFormat="false" ht="15" hidden="false" customHeight="false" outlineLevel="0" collapsed="false">
      <c r="A25" s="18" t="str">
        <f aca="false">IF(C25="","",ROW()-12)</f>
        <v/>
      </c>
      <c r="B25" s="18"/>
      <c r="C25" s="21"/>
      <c r="D25" s="18"/>
      <c r="E25" s="38"/>
      <c r="F25" s="22"/>
      <c r="G25" s="39" t="str">
        <f aca="false">IF(OR(E25="",F25=""),"",ROUND(E25*F25,0))</f>
        <v/>
      </c>
      <c r="I25" s="44" t="s">
        <v>19</v>
      </c>
      <c r="J25" s="31" t="n">
        <f aca="false">SUM(J13:J24)</f>
        <v>0</v>
      </c>
    </row>
    <row r="26" customFormat="false" ht="15" hidden="false" customHeight="false" outlineLevel="0" collapsed="false">
      <c r="A26" s="24" t="str">
        <f aca="false">IF(C26="","",ROW()-12)</f>
        <v/>
      </c>
      <c r="B26" s="24"/>
      <c r="C26" s="27"/>
      <c r="D26" s="24"/>
      <c r="E26" s="43"/>
      <c r="F26" s="28"/>
      <c r="G26" s="39" t="str">
        <f aca="false">IF(OR(E26="",F26=""),"",ROUND(E26*F26,0))</f>
        <v/>
      </c>
    </row>
    <row r="27" customFormat="false" ht="15" hidden="false" customHeight="false" outlineLevel="0" collapsed="false">
      <c r="A27" s="18" t="str">
        <f aca="false">IF(C27="","",ROW()-12)</f>
        <v/>
      </c>
      <c r="B27" s="18"/>
      <c r="C27" s="21"/>
      <c r="D27" s="18"/>
      <c r="E27" s="38"/>
      <c r="F27" s="22"/>
      <c r="G27" s="39" t="str">
        <f aca="false">IF(OR(E27="",F27=""),"",ROUND(E27*F27,0))</f>
        <v/>
      </c>
    </row>
    <row r="28" customFormat="false" ht="15" hidden="false" customHeight="false" outlineLevel="0" collapsed="false">
      <c r="A28" s="24" t="str">
        <f aca="false">IF(C28="","",ROW()-12)</f>
        <v/>
      </c>
      <c r="B28" s="24"/>
      <c r="C28" s="27"/>
      <c r="D28" s="24"/>
      <c r="E28" s="43"/>
      <c r="F28" s="28"/>
      <c r="G28" s="39" t="str">
        <f aca="false">IF(OR(E28="",F28=""),"",ROUND(E28*F28,0))</f>
        <v/>
      </c>
    </row>
    <row r="29" customFormat="false" ht="15" hidden="false" customHeight="false" outlineLevel="0" collapsed="false">
      <c r="A29" s="18" t="str">
        <f aca="false">IF(C29="","",ROW()-12)</f>
        <v/>
      </c>
      <c r="B29" s="18"/>
      <c r="C29" s="21"/>
      <c r="D29" s="18"/>
      <c r="E29" s="38"/>
      <c r="F29" s="22"/>
      <c r="G29" s="39" t="str">
        <f aca="false">IF(OR(E29="",F29=""),"",ROUND(E29*F29,0))</f>
        <v/>
      </c>
    </row>
    <row r="30" customFormat="false" ht="15" hidden="false" customHeight="false" outlineLevel="0" collapsed="false">
      <c r="A30" s="24" t="str">
        <f aca="false">IF(C30="","",ROW()-12)</f>
        <v/>
      </c>
      <c r="B30" s="24"/>
      <c r="C30" s="27"/>
      <c r="D30" s="24"/>
      <c r="E30" s="43"/>
      <c r="F30" s="28"/>
      <c r="G30" s="39" t="str">
        <f aca="false">IF(OR(E30="",F30=""),"",ROUND(E30*F30,0))</f>
        <v/>
      </c>
    </row>
    <row r="31" customFormat="false" ht="15" hidden="false" customHeight="false" outlineLevel="0" collapsed="false">
      <c r="A31" s="18" t="str">
        <f aca="false">IF(C31="","",ROW()-12)</f>
        <v/>
      </c>
      <c r="B31" s="18"/>
      <c r="C31" s="21"/>
      <c r="D31" s="18"/>
      <c r="E31" s="38"/>
      <c r="F31" s="22"/>
      <c r="G31" s="39" t="str">
        <f aca="false">IF(OR(E31="",F31=""),"",ROUND(E31*F31,0))</f>
        <v/>
      </c>
    </row>
    <row r="32" customFormat="false" ht="15" hidden="false" customHeight="false" outlineLevel="0" collapsed="false">
      <c r="A32" s="24" t="str">
        <f aca="false">IF(C32="","",ROW()-12)</f>
        <v/>
      </c>
      <c r="B32" s="24"/>
      <c r="C32" s="27"/>
      <c r="D32" s="24"/>
      <c r="E32" s="43"/>
      <c r="F32" s="28"/>
      <c r="G32" s="39" t="str">
        <f aca="false">IF(OR(E32="",F32=""),"",ROUND(E32*F32,0))</f>
        <v/>
      </c>
    </row>
    <row r="33" customFormat="false" ht="15" hidden="false" customHeight="true" outlineLevel="0" collapsed="false">
      <c r="A33" s="44" t="s">
        <v>59</v>
      </c>
      <c r="B33" s="44"/>
      <c r="C33" s="44"/>
      <c r="D33" s="44"/>
      <c r="E33" s="44"/>
      <c r="F33" s="44"/>
      <c r="G33" s="31" t="n">
        <f aca="false">SUM(G13:G32)</f>
        <v>0</v>
      </c>
    </row>
  </sheetData>
  <mergeCells count="33">
    <mergeCell ref="A1:L1"/>
    <mergeCell ref="A2:L2"/>
    <mergeCell ref="A3:G3"/>
    <mergeCell ref="I3:L3"/>
    <mergeCell ref="A4:B4"/>
    <mergeCell ref="D4:E4"/>
    <mergeCell ref="F4:G4"/>
    <mergeCell ref="I4:J4"/>
    <mergeCell ref="K4:L4"/>
    <mergeCell ref="A5:B5"/>
    <mergeCell ref="D5:E5"/>
    <mergeCell ref="K5:L5"/>
    <mergeCell ref="A6:B6"/>
    <mergeCell ref="D6:E6"/>
    <mergeCell ref="F6:G6"/>
    <mergeCell ref="I6:J6"/>
    <mergeCell ref="K6:L6"/>
    <mergeCell ref="A7:B7"/>
    <mergeCell ref="D7:E7"/>
    <mergeCell ref="I7:J7"/>
    <mergeCell ref="K7:L7"/>
    <mergeCell ref="A8:B8"/>
    <mergeCell ref="D8:E8"/>
    <mergeCell ref="F8:G8"/>
    <mergeCell ref="I8:J8"/>
    <mergeCell ref="K8:L8"/>
    <mergeCell ref="A9:B9"/>
    <mergeCell ref="I9:J9"/>
    <mergeCell ref="K9:L9"/>
    <mergeCell ref="A10:L10"/>
    <mergeCell ref="A11:G11"/>
    <mergeCell ref="I11:L11"/>
    <mergeCell ref="A33:F33"/>
  </mergeCells>
  <conditionalFormatting sqref="F13:F32">
    <cfRule type="expression" priority="2" aboveAverage="0" equalAverage="0" bottom="0" percent="0" rank="0" text="" dxfId="6">
      <formula>AND($C13&lt;&gt;"",$F13="")</formula>
    </cfRule>
  </conditionalFormatting>
  <conditionalFormatting sqref="K8:L8">
    <cfRule type="expression" priority="3" aboveAverage="0" equalAverage="0" bottom="0" percent="0" rank="0" text="" dxfId="7">
      <formula>$K$8&gt;0</formula>
    </cfRule>
    <cfRule type="expression" priority="4" aboveAverage="0" equalAverage="0" bottom="0" percent="0" rank="0" text="" dxfId="8">
      <formula>AND($K$6&gt;0,$K$8&lt;=0)</formula>
    </cfRule>
  </conditionalFormatting>
  <conditionalFormatting sqref="A10:L10">
    <cfRule type="expression" priority="5" aboveAverage="0" equalAverage="0" bottom="0" percent="0" rank="0" text="" dxfId="0">
      <formula>ISNUMBER(SEARCH("CHƯA XUẤT",$A$10))</formula>
    </cfRule>
    <cfRule type="expression" priority="6" aboveAverage="0" equalAverage="0" bottom="0" percent="0" rank="0" text="" dxfId="1">
      <formula>ISNUMBER(SEARCH("Quá hạn",$A$10))</formula>
    </cfRule>
    <cfRule type="expression" priority="7" aboveAverage="0" equalAverage="0" bottom="0" percent="0" rank="0" text="" dxfId="2">
      <formula>ISNUMBER(SEARCH("CHƯA CÓ GIÁ",$A$10))</formula>
    </cfRule>
    <cfRule type="expression" priority="8" aboveAverage="0" equalAverage="0" bottom="0" percent="0" rank="0" text="" dxfId="4">
      <formula>ISNUMBER(SEARCH("Hoàn tất",$A$10))</formula>
    </cfRule>
    <cfRule type="expression" priority="9" aboveAverage="0" equalAverage="0" bottom="0" percent="0" rank="0" text="" dxfId="9">
      <formula>ISNUMBER(SEARCH("Chờ thu",$A$10))</formula>
    </cfRule>
  </conditionalFormatting>
  <conditionalFormatting sqref="K9:L9">
    <cfRule type="expression" priority="10" aboveAverage="0" equalAverage="0" bottom="0" percent="0" rank="0" text="" dxfId="1">
      <formula>ISNUMBER(SEARCH("QUÁ HẠN",$K$9))</formula>
    </cfRule>
    <cfRule type="expression" priority="11" aboveAverage="0" equalAverage="0" bottom="0" percent="0" rank="0" text="" dxfId="4">
      <formula>$K$9="Đã thu đủ"</formula>
    </cfRule>
  </conditionalFormatting>
  <conditionalFormatting sqref="F4:G4">
    <cfRule type="expression" priority="12" aboveAverage="0" equalAverage="0" bottom="0" percent="0" rank="0" text="" dxfId="5">
      <formula>$F$4="Đã giao"</formula>
    </cfRule>
    <cfRule type="expression" priority="13" aboveAverage="0" equalAverage="0" bottom="0" percent="0" rank="0" text="" dxfId="6">
      <formula>$F$4="Chưa giao"</formula>
    </cfRule>
  </conditionalFormatting>
  <conditionalFormatting sqref="F6:G6">
    <cfRule type="expression" priority="14" aboveAverage="0" equalAverage="0" bottom="0" percent="0" rank="0" text="" dxfId="5">
      <formula>$F$6="Đã xuất"</formula>
    </cfRule>
    <cfRule type="expression" priority="15" aboveAverage="0" equalAverage="0" bottom="0" percent="0" rank="0" text="" dxfId="6">
      <formula>$F$6="Chưa xuất"</formula>
    </cfRule>
  </conditionalFormatting>
  <dataValidations count="3">
    <dataValidation allowBlank="true" errorStyle="stop" operator="between" showDropDown="false" showErrorMessage="false" showInputMessage="false" sqref="F4" type="list">
      <formula1>"Chưa giao,Giao một phần,Đã giao"</formula1>
      <formula2>0</formula2>
    </dataValidation>
    <dataValidation allowBlank="true" errorStyle="stop" operator="between" showDropDown="false" showErrorMessage="false" showInputMessage="false" sqref="F6" type="list">
      <formula1>"Chưa xuất,Đã xuất"</formula1>
      <formula2>0</formula2>
    </dataValidation>
    <dataValidation allowBlank="true" errorStyle="stop" operator="between" showDropDown="false" showErrorMessage="false" showInputMessage="false" sqref="K13:K24" type="list">
      <formula1>"Chuyển khoản,Tiền mặt,Khác"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2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24"/>
  </cols>
  <sheetData>
    <row r="1" customFormat="false" ht="30" hidden="false" customHeight="true" outlineLevel="0" collapsed="false">
      <c r="A1" s="29" t="str">
        <f aca="false">"ĐƠN HÀNG - "&amp;UPPER(TongQuan!C3)</f>
        <v>ĐƠN HÀNG - CÔNG TY TNHH VẬT TƯ THIẾT BỊ THU LIÊN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customFormat="false" ht="1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A3" s="16" t="s">
        <v>28</v>
      </c>
      <c r="B3" s="16"/>
      <c r="C3" s="16"/>
      <c r="D3" s="16"/>
      <c r="E3" s="16"/>
      <c r="F3" s="16"/>
      <c r="G3" s="16"/>
      <c r="I3" s="16" t="s">
        <v>29</v>
      </c>
      <c r="J3" s="16"/>
      <c r="K3" s="16"/>
      <c r="L3" s="16"/>
    </row>
    <row r="4" customFormat="false" ht="15" hidden="false" customHeight="true" outlineLevel="0" collapsed="false">
      <c r="A4" s="3" t="s">
        <v>14</v>
      </c>
      <c r="B4" s="3"/>
      <c r="C4" s="5"/>
      <c r="D4" s="3" t="s">
        <v>21</v>
      </c>
      <c r="E4" s="3"/>
      <c r="F4" s="5"/>
      <c r="G4" s="5"/>
      <c r="I4" s="30" t="s">
        <v>30</v>
      </c>
      <c r="J4" s="30"/>
      <c r="K4" s="31" t="n">
        <f aca="false">G33</f>
        <v>0</v>
      </c>
      <c r="L4" s="31"/>
    </row>
    <row r="5" customFormat="false" ht="15" hidden="false" customHeight="true" outlineLevel="0" collapsed="false">
      <c r="A5" s="3" t="s">
        <v>15</v>
      </c>
      <c r="B5" s="3"/>
      <c r="C5" s="32"/>
      <c r="D5" s="3" t="s">
        <v>31</v>
      </c>
      <c r="E5" s="3"/>
      <c r="F5" s="32"/>
      <c r="I5" s="30" t="s">
        <v>32</v>
      </c>
      <c r="J5" s="33" t="n">
        <v>0.08</v>
      </c>
      <c r="K5" s="31" t="n">
        <f aca="false">ROUND(K4*J5,0)</f>
        <v>0</v>
      </c>
      <c r="L5" s="31"/>
    </row>
    <row r="6" customFormat="false" ht="15" hidden="false" customHeight="true" outlineLevel="0" collapsed="false">
      <c r="A6" s="3" t="s">
        <v>33</v>
      </c>
      <c r="B6" s="3"/>
      <c r="C6" s="5"/>
      <c r="D6" s="3" t="s">
        <v>35</v>
      </c>
      <c r="E6" s="3"/>
      <c r="F6" s="5"/>
      <c r="G6" s="5"/>
      <c r="I6" s="3" t="s">
        <v>36</v>
      </c>
      <c r="J6" s="3"/>
      <c r="K6" s="34" t="n">
        <f aca="false">K4+K5</f>
        <v>0</v>
      </c>
      <c r="L6" s="34"/>
    </row>
    <row r="7" customFormat="false" ht="15" hidden="false" customHeight="true" outlineLevel="0" collapsed="false">
      <c r="A7" s="3" t="s">
        <v>37</v>
      </c>
      <c r="B7" s="3"/>
      <c r="C7" s="5"/>
      <c r="D7" s="3" t="s">
        <v>38</v>
      </c>
      <c r="E7" s="3"/>
      <c r="F7" s="5"/>
      <c r="G7" s="32"/>
      <c r="I7" s="30" t="s">
        <v>8</v>
      </c>
      <c r="J7" s="30"/>
      <c r="K7" s="31" t="n">
        <f aca="false">J25</f>
        <v>0</v>
      </c>
      <c r="L7" s="31"/>
    </row>
    <row r="8" customFormat="false" ht="15" hidden="false" customHeight="true" outlineLevel="0" collapsed="false">
      <c r="A8" s="3" t="s">
        <v>39</v>
      </c>
      <c r="B8" s="3"/>
      <c r="C8" s="5"/>
      <c r="D8" s="3" t="s">
        <v>41</v>
      </c>
      <c r="E8" s="3"/>
      <c r="F8" s="32"/>
      <c r="G8" s="32"/>
      <c r="I8" s="3" t="s">
        <v>9</v>
      </c>
      <c r="J8" s="3"/>
      <c r="K8" s="34" t="n">
        <f aca="false">K6-K7</f>
        <v>0</v>
      </c>
      <c r="L8" s="34"/>
    </row>
    <row r="9" customFormat="false" ht="15" hidden="false" customHeight="true" outlineLevel="0" collapsed="false">
      <c r="A9" s="3" t="s">
        <v>17</v>
      </c>
      <c r="B9" s="3"/>
      <c r="C9" s="35" t="n">
        <f aca="false">COUNTA(C13:C32)</f>
        <v>0</v>
      </c>
      <c r="I9" s="3" t="s">
        <v>42</v>
      </c>
      <c r="J9" s="3"/>
      <c r="K9" s="36" t="str">
        <f aca="true">IF(K6=0,"Chưa có giá",IF(K8&lt;0,"Thu thừa",IF(K8=0,"Đã thu đủ",IF(AND(F8&lt;&gt;"",TODAY()&gt;F8),"QUÁ HẠN "&amp;(TODAY()-F8)&amp;" ngày",IF(K7&gt;0,"Thu một phần","Chưa thu")))))</f>
        <v>Chưa có giá</v>
      </c>
      <c r="L9" s="36"/>
    </row>
    <row r="10" customFormat="false" ht="25.5" hidden="false" customHeight="true" outlineLevel="0" collapsed="false">
      <c r="A10" s="37" t="str">
        <f aca="true">"CẦN LÀM:  "&amp;IF(C4="","Nhập mã đơn",IF(COUNTIFS(C13:C32,"&lt;&gt;",F13:F32,"")&gt;0,"Có mã hàng CHƯA CÓ GIÁ",IF(AND(F4="Đã giao",F6&lt;&gt;"Đã xuất"),"Đã giao - CHƯA XUẤT HÓA ĐƠN",IF(AND(F6="Đã xuất",F4="Chưa giao"),"Đã xuất HĐ - chưa giao hàng",IF(F4="","Cập nhật tình trạng giao hàng",IF(AND(K8&gt;0,F8&lt;&gt;"",TODAY()&gt;F8),"Quá hạn "&amp;(TODAY()-F8)&amp;" ngày - đòi tiền",IF(K8&gt;0,"Chờ thu tiền",IF(K8&lt;0,"Kiểm tra thu thừa","Hoàn tất"))))))))</f>
        <v>CẦN LÀM:  Nhập mã đơn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</row>
    <row r="11" customFormat="false" ht="15" hidden="false" customHeight="true" outlineLevel="0" collapsed="false">
      <c r="A11" s="16" t="s">
        <v>43</v>
      </c>
      <c r="B11" s="16"/>
      <c r="C11" s="16"/>
      <c r="D11" s="16"/>
      <c r="E11" s="16"/>
      <c r="F11" s="16"/>
      <c r="G11" s="16"/>
      <c r="I11" s="16" t="s">
        <v>44</v>
      </c>
      <c r="J11" s="16"/>
      <c r="K11" s="16"/>
      <c r="L11" s="16"/>
    </row>
    <row r="12" customFormat="false" ht="23.85" hidden="false" customHeight="false" outlineLevel="0" collapsed="false">
      <c r="A12" s="17" t="s">
        <v>13</v>
      </c>
      <c r="B12" s="17" t="s">
        <v>45</v>
      </c>
      <c r="C12" s="17" t="s">
        <v>46</v>
      </c>
      <c r="D12" s="17" t="s">
        <v>47</v>
      </c>
      <c r="E12" s="17" t="s">
        <v>48</v>
      </c>
      <c r="F12" s="17" t="s">
        <v>49</v>
      </c>
      <c r="G12" s="17" t="s">
        <v>50</v>
      </c>
      <c r="I12" s="17" t="s">
        <v>51</v>
      </c>
      <c r="J12" s="17" t="s">
        <v>52</v>
      </c>
      <c r="K12" s="17" t="s">
        <v>53</v>
      </c>
      <c r="L12" s="17" t="s">
        <v>54</v>
      </c>
    </row>
    <row r="13" customFormat="false" ht="15" hidden="false" customHeight="false" outlineLevel="0" collapsed="false">
      <c r="A13" s="18" t="str">
        <f aca="false">IF(C13="","",ROW()-12)</f>
        <v/>
      </c>
      <c r="B13" s="18"/>
      <c r="C13" s="21"/>
      <c r="D13" s="18"/>
      <c r="E13" s="38"/>
      <c r="F13" s="22"/>
      <c r="G13" s="39" t="str">
        <f aca="false">IF(OR(E13="",F13=""),"",ROUND(E13*F13,0))</f>
        <v/>
      </c>
      <c r="I13" s="40"/>
      <c r="J13" s="41"/>
      <c r="K13" s="42"/>
      <c r="L13" s="5"/>
    </row>
    <row r="14" customFormat="false" ht="15" hidden="false" customHeight="false" outlineLevel="0" collapsed="false">
      <c r="A14" s="24" t="str">
        <f aca="false">IF(C14="","",ROW()-12)</f>
        <v/>
      </c>
      <c r="B14" s="24"/>
      <c r="C14" s="27"/>
      <c r="D14" s="24"/>
      <c r="E14" s="43"/>
      <c r="F14" s="28"/>
      <c r="G14" s="39" t="str">
        <f aca="false">IF(OR(E14="",F14=""),"",ROUND(E14*F14,0))</f>
        <v/>
      </c>
      <c r="I14" s="40"/>
      <c r="J14" s="41"/>
      <c r="K14" s="42"/>
      <c r="L14" s="5"/>
    </row>
    <row r="15" customFormat="false" ht="15" hidden="false" customHeight="false" outlineLevel="0" collapsed="false">
      <c r="A15" s="18" t="str">
        <f aca="false">IF(C15="","",ROW()-12)</f>
        <v/>
      </c>
      <c r="B15" s="18"/>
      <c r="C15" s="21"/>
      <c r="D15" s="18"/>
      <c r="E15" s="38"/>
      <c r="F15" s="22"/>
      <c r="G15" s="39" t="str">
        <f aca="false">IF(OR(E15="",F15=""),"",ROUND(E15*F15,0))</f>
        <v/>
      </c>
      <c r="I15" s="40"/>
      <c r="J15" s="41"/>
      <c r="K15" s="42"/>
      <c r="L15" s="5"/>
    </row>
    <row r="16" customFormat="false" ht="15" hidden="false" customHeight="false" outlineLevel="0" collapsed="false">
      <c r="A16" s="24" t="str">
        <f aca="false">IF(C16="","",ROW()-12)</f>
        <v/>
      </c>
      <c r="B16" s="24"/>
      <c r="C16" s="27"/>
      <c r="D16" s="24"/>
      <c r="E16" s="43"/>
      <c r="F16" s="28"/>
      <c r="G16" s="39" t="str">
        <f aca="false">IF(OR(E16="",F16=""),"",ROUND(E16*F16,0))</f>
        <v/>
      </c>
      <c r="I16" s="40"/>
      <c r="J16" s="41"/>
      <c r="K16" s="42"/>
      <c r="L16" s="5"/>
    </row>
    <row r="17" customFormat="false" ht="15" hidden="false" customHeight="false" outlineLevel="0" collapsed="false">
      <c r="A17" s="18" t="str">
        <f aca="false">IF(C17="","",ROW()-12)</f>
        <v/>
      </c>
      <c r="B17" s="18"/>
      <c r="C17" s="21"/>
      <c r="D17" s="18"/>
      <c r="E17" s="38"/>
      <c r="F17" s="22"/>
      <c r="G17" s="39" t="str">
        <f aca="false">IF(OR(E17="",F17=""),"",ROUND(E17*F17,0))</f>
        <v/>
      </c>
      <c r="I17" s="40"/>
      <c r="J17" s="41"/>
      <c r="K17" s="42"/>
      <c r="L17" s="5"/>
    </row>
    <row r="18" customFormat="false" ht="15" hidden="false" customHeight="false" outlineLevel="0" collapsed="false">
      <c r="A18" s="24" t="str">
        <f aca="false">IF(C18="","",ROW()-12)</f>
        <v/>
      </c>
      <c r="B18" s="24"/>
      <c r="C18" s="27"/>
      <c r="D18" s="24"/>
      <c r="E18" s="43"/>
      <c r="F18" s="28"/>
      <c r="G18" s="39" t="str">
        <f aca="false">IF(OR(E18="",F18=""),"",ROUND(E18*F18,0))</f>
        <v/>
      </c>
      <c r="I18" s="40"/>
      <c r="J18" s="41"/>
      <c r="K18" s="42"/>
      <c r="L18" s="5"/>
    </row>
    <row r="19" customFormat="false" ht="15" hidden="false" customHeight="false" outlineLevel="0" collapsed="false">
      <c r="A19" s="18" t="str">
        <f aca="false">IF(C19="","",ROW()-12)</f>
        <v/>
      </c>
      <c r="B19" s="18"/>
      <c r="C19" s="21"/>
      <c r="D19" s="18"/>
      <c r="E19" s="38"/>
      <c r="F19" s="22"/>
      <c r="G19" s="39" t="str">
        <f aca="false">IF(OR(E19="",F19=""),"",ROUND(E19*F19,0))</f>
        <v/>
      </c>
      <c r="I19" s="40"/>
      <c r="J19" s="41"/>
      <c r="K19" s="42"/>
      <c r="L19" s="5"/>
    </row>
    <row r="20" customFormat="false" ht="15" hidden="false" customHeight="false" outlineLevel="0" collapsed="false">
      <c r="A20" s="24" t="str">
        <f aca="false">IF(C20="","",ROW()-12)</f>
        <v/>
      </c>
      <c r="B20" s="24"/>
      <c r="C20" s="27"/>
      <c r="D20" s="24"/>
      <c r="E20" s="43"/>
      <c r="F20" s="28"/>
      <c r="G20" s="39" t="str">
        <f aca="false">IF(OR(E20="",F20=""),"",ROUND(E20*F20,0))</f>
        <v/>
      </c>
      <c r="I20" s="40"/>
      <c r="J20" s="41"/>
      <c r="K20" s="42"/>
      <c r="L20" s="5"/>
    </row>
    <row r="21" customFormat="false" ht="15" hidden="false" customHeight="false" outlineLevel="0" collapsed="false">
      <c r="A21" s="18" t="str">
        <f aca="false">IF(C21="","",ROW()-12)</f>
        <v/>
      </c>
      <c r="B21" s="18"/>
      <c r="C21" s="21"/>
      <c r="D21" s="18"/>
      <c r="E21" s="38"/>
      <c r="F21" s="22"/>
      <c r="G21" s="39" t="str">
        <f aca="false">IF(OR(E21="",F21=""),"",ROUND(E21*F21,0))</f>
        <v/>
      </c>
      <c r="I21" s="40"/>
      <c r="J21" s="41"/>
      <c r="K21" s="42"/>
      <c r="L21" s="5"/>
    </row>
    <row r="22" customFormat="false" ht="15" hidden="false" customHeight="false" outlineLevel="0" collapsed="false">
      <c r="A22" s="24" t="str">
        <f aca="false">IF(C22="","",ROW()-12)</f>
        <v/>
      </c>
      <c r="B22" s="24"/>
      <c r="C22" s="27"/>
      <c r="D22" s="24"/>
      <c r="E22" s="43"/>
      <c r="F22" s="28"/>
      <c r="G22" s="39" t="str">
        <f aca="false">IF(OR(E22="",F22=""),"",ROUND(E22*F22,0))</f>
        <v/>
      </c>
      <c r="I22" s="40"/>
      <c r="J22" s="41"/>
      <c r="K22" s="42"/>
      <c r="L22" s="5"/>
    </row>
    <row r="23" customFormat="false" ht="15" hidden="false" customHeight="false" outlineLevel="0" collapsed="false">
      <c r="A23" s="18" t="str">
        <f aca="false">IF(C23="","",ROW()-12)</f>
        <v/>
      </c>
      <c r="B23" s="18"/>
      <c r="C23" s="21"/>
      <c r="D23" s="18"/>
      <c r="E23" s="38"/>
      <c r="F23" s="22"/>
      <c r="G23" s="39" t="str">
        <f aca="false">IF(OR(E23="",F23=""),"",ROUND(E23*F23,0))</f>
        <v/>
      </c>
      <c r="I23" s="40"/>
      <c r="J23" s="41"/>
      <c r="K23" s="42"/>
      <c r="L23" s="5"/>
    </row>
    <row r="24" customFormat="false" ht="15" hidden="false" customHeight="false" outlineLevel="0" collapsed="false">
      <c r="A24" s="24" t="str">
        <f aca="false">IF(C24="","",ROW()-12)</f>
        <v/>
      </c>
      <c r="B24" s="24"/>
      <c r="C24" s="27"/>
      <c r="D24" s="24"/>
      <c r="E24" s="43"/>
      <c r="F24" s="28"/>
      <c r="G24" s="39" t="str">
        <f aca="false">IF(OR(E24="",F24=""),"",ROUND(E24*F24,0))</f>
        <v/>
      </c>
      <c r="I24" s="40"/>
      <c r="J24" s="41"/>
      <c r="K24" s="42"/>
      <c r="L24" s="5"/>
    </row>
    <row r="25" customFormat="false" ht="15" hidden="false" customHeight="false" outlineLevel="0" collapsed="false">
      <c r="A25" s="18" t="str">
        <f aca="false">IF(C25="","",ROW()-12)</f>
        <v/>
      </c>
      <c r="B25" s="18"/>
      <c r="C25" s="21"/>
      <c r="D25" s="18"/>
      <c r="E25" s="38"/>
      <c r="F25" s="22"/>
      <c r="G25" s="39" t="str">
        <f aca="false">IF(OR(E25="",F25=""),"",ROUND(E25*F25,0))</f>
        <v/>
      </c>
      <c r="I25" s="44" t="s">
        <v>19</v>
      </c>
      <c r="J25" s="31" t="n">
        <f aca="false">SUM(J13:J24)</f>
        <v>0</v>
      </c>
    </row>
    <row r="26" customFormat="false" ht="15" hidden="false" customHeight="false" outlineLevel="0" collapsed="false">
      <c r="A26" s="24" t="str">
        <f aca="false">IF(C26="","",ROW()-12)</f>
        <v/>
      </c>
      <c r="B26" s="24"/>
      <c r="C26" s="27"/>
      <c r="D26" s="24"/>
      <c r="E26" s="43"/>
      <c r="F26" s="28"/>
      <c r="G26" s="39" t="str">
        <f aca="false">IF(OR(E26="",F26=""),"",ROUND(E26*F26,0))</f>
        <v/>
      </c>
    </row>
    <row r="27" customFormat="false" ht="15" hidden="false" customHeight="false" outlineLevel="0" collapsed="false">
      <c r="A27" s="18" t="str">
        <f aca="false">IF(C27="","",ROW()-12)</f>
        <v/>
      </c>
      <c r="B27" s="18"/>
      <c r="C27" s="21"/>
      <c r="D27" s="18"/>
      <c r="E27" s="38"/>
      <c r="F27" s="22"/>
      <c r="G27" s="39" t="str">
        <f aca="false">IF(OR(E27="",F27=""),"",ROUND(E27*F27,0))</f>
        <v/>
      </c>
    </row>
    <row r="28" customFormat="false" ht="15" hidden="false" customHeight="false" outlineLevel="0" collapsed="false">
      <c r="A28" s="24" t="str">
        <f aca="false">IF(C28="","",ROW()-12)</f>
        <v/>
      </c>
      <c r="B28" s="24"/>
      <c r="C28" s="27"/>
      <c r="D28" s="24"/>
      <c r="E28" s="43"/>
      <c r="F28" s="28"/>
      <c r="G28" s="39" t="str">
        <f aca="false">IF(OR(E28="",F28=""),"",ROUND(E28*F28,0))</f>
        <v/>
      </c>
    </row>
    <row r="29" customFormat="false" ht="15" hidden="false" customHeight="false" outlineLevel="0" collapsed="false">
      <c r="A29" s="18" t="str">
        <f aca="false">IF(C29="","",ROW()-12)</f>
        <v/>
      </c>
      <c r="B29" s="18"/>
      <c r="C29" s="21"/>
      <c r="D29" s="18"/>
      <c r="E29" s="38"/>
      <c r="F29" s="22"/>
      <c r="G29" s="39" t="str">
        <f aca="false">IF(OR(E29="",F29=""),"",ROUND(E29*F29,0))</f>
        <v/>
      </c>
    </row>
    <row r="30" customFormat="false" ht="15" hidden="false" customHeight="false" outlineLevel="0" collapsed="false">
      <c r="A30" s="24" t="str">
        <f aca="false">IF(C30="","",ROW()-12)</f>
        <v/>
      </c>
      <c r="B30" s="24"/>
      <c r="C30" s="27"/>
      <c r="D30" s="24"/>
      <c r="E30" s="43"/>
      <c r="F30" s="28"/>
      <c r="G30" s="39" t="str">
        <f aca="false">IF(OR(E30="",F30=""),"",ROUND(E30*F30,0))</f>
        <v/>
      </c>
    </row>
    <row r="31" customFormat="false" ht="15" hidden="false" customHeight="false" outlineLevel="0" collapsed="false">
      <c r="A31" s="18" t="str">
        <f aca="false">IF(C31="","",ROW()-12)</f>
        <v/>
      </c>
      <c r="B31" s="18"/>
      <c r="C31" s="21"/>
      <c r="D31" s="18"/>
      <c r="E31" s="38"/>
      <c r="F31" s="22"/>
      <c r="G31" s="39" t="str">
        <f aca="false">IF(OR(E31="",F31=""),"",ROUND(E31*F31,0))</f>
        <v/>
      </c>
    </row>
    <row r="32" customFormat="false" ht="15" hidden="false" customHeight="false" outlineLevel="0" collapsed="false">
      <c r="A32" s="24" t="str">
        <f aca="false">IF(C32="","",ROW()-12)</f>
        <v/>
      </c>
      <c r="B32" s="24"/>
      <c r="C32" s="27"/>
      <c r="D32" s="24"/>
      <c r="E32" s="43"/>
      <c r="F32" s="28"/>
      <c r="G32" s="39" t="str">
        <f aca="false">IF(OR(E32="",F32=""),"",ROUND(E32*F32,0))</f>
        <v/>
      </c>
    </row>
    <row r="33" customFormat="false" ht="15" hidden="false" customHeight="true" outlineLevel="0" collapsed="false">
      <c r="A33" s="44" t="s">
        <v>59</v>
      </c>
      <c r="B33" s="44"/>
      <c r="C33" s="44"/>
      <c r="D33" s="44"/>
      <c r="E33" s="44"/>
      <c r="F33" s="44"/>
      <c r="G33" s="31" t="n">
        <f aca="false">SUM(G13:G32)</f>
        <v>0</v>
      </c>
    </row>
  </sheetData>
  <mergeCells count="33">
    <mergeCell ref="A1:L1"/>
    <mergeCell ref="A2:L2"/>
    <mergeCell ref="A3:G3"/>
    <mergeCell ref="I3:L3"/>
    <mergeCell ref="A4:B4"/>
    <mergeCell ref="D4:E4"/>
    <mergeCell ref="F4:G4"/>
    <mergeCell ref="I4:J4"/>
    <mergeCell ref="K4:L4"/>
    <mergeCell ref="A5:B5"/>
    <mergeCell ref="D5:E5"/>
    <mergeCell ref="K5:L5"/>
    <mergeCell ref="A6:B6"/>
    <mergeCell ref="D6:E6"/>
    <mergeCell ref="F6:G6"/>
    <mergeCell ref="I6:J6"/>
    <mergeCell ref="K6:L6"/>
    <mergeCell ref="A7:B7"/>
    <mergeCell ref="D7:E7"/>
    <mergeCell ref="I7:J7"/>
    <mergeCell ref="K7:L7"/>
    <mergeCell ref="A8:B8"/>
    <mergeCell ref="D8:E8"/>
    <mergeCell ref="F8:G8"/>
    <mergeCell ref="I8:J8"/>
    <mergeCell ref="K8:L8"/>
    <mergeCell ref="A9:B9"/>
    <mergeCell ref="I9:J9"/>
    <mergeCell ref="K9:L9"/>
    <mergeCell ref="A10:L10"/>
    <mergeCell ref="A11:G11"/>
    <mergeCell ref="I11:L11"/>
    <mergeCell ref="A33:F33"/>
  </mergeCells>
  <conditionalFormatting sqref="F13:F32">
    <cfRule type="expression" priority="2" aboveAverage="0" equalAverage="0" bottom="0" percent="0" rank="0" text="" dxfId="6">
      <formula>AND($C13&lt;&gt;"",$F13="")</formula>
    </cfRule>
  </conditionalFormatting>
  <conditionalFormatting sqref="K8:L8">
    <cfRule type="expression" priority="3" aboveAverage="0" equalAverage="0" bottom="0" percent="0" rank="0" text="" dxfId="7">
      <formula>$K$8&gt;0</formula>
    </cfRule>
    <cfRule type="expression" priority="4" aboveAverage="0" equalAverage="0" bottom="0" percent="0" rank="0" text="" dxfId="8">
      <formula>AND($K$6&gt;0,$K$8&lt;=0)</formula>
    </cfRule>
  </conditionalFormatting>
  <conditionalFormatting sqref="A10:L10">
    <cfRule type="expression" priority="5" aboveAverage="0" equalAverage="0" bottom="0" percent="0" rank="0" text="" dxfId="0">
      <formula>ISNUMBER(SEARCH("CHƯA XUẤT",$A$10))</formula>
    </cfRule>
    <cfRule type="expression" priority="6" aboveAverage="0" equalAverage="0" bottom="0" percent="0" rank="0" text="" dxfId="1">
      <formula>ISNUMBER(SEARCH("Quá hạn",$A$10))</formula>
    </cfRule>
    <cfRule type="expression" priority="7" aboveAverage="0" equalAverage="0" bottom="0" percent="0" rank="0" text="" dxfId="2">
      <formula>ISNUMBER(SEARCH("CHƯA CÓ GIÁ",$A$10))</formula>
    </cfRule>
    <cfRule type="expression" priority="8" aboveAverage="0" equalAverage="0" bottom="0" percent="0" rank="0" text="" dxfId="4">
      <formula>ISNUMBER(SEARCH("Hoàn tất",$A$10))</formula>
    </cfRule>
    <cfRule type="expression" priority="9" aboveAverage="0" equalAverage="0" bottom="0" percent="0" rank="0" text="" dxfId="9">
      <formula>ISNUMBER(SEARCH("Chờ thu",$A$10))</formula>
    </cfRule>
  </conditionalFormatting>
  <conditionalFormatting sqref="K9:L9">
    <cfRule type="expression" priority="10" aboveAverage="0" equalAverage="0" bottom="0" percent="0" rank="0" text="" dxfId="1">
      <formula>ISNUMBER(SEARCH("QUÁ HẠN",$K$9))</formula>
    </cfRule>
    <cfRule type="expression" priority="11" aboveAverage="0" equalAverage="0" bottom="0" percent="0" rank="0" text="" dxfId="4">
      <formula>$K$9="Đã thu đủ"</formula>
    </cfRule>
  </conditionalFormatting>
  <conditionalFormatting sqref="F4:G4">
    <cfRule type="expression" priority="12" aboveAverage="0" equalAverage="0" bottom="0" percent="0" rank="0" text="" dxfId="5">
      <formula>$F$4="Đã giao"</formula>
    </cfRule>
    <cfRule type="expression" priority="13" aboveAverage="0" equalAverage="0" bottom="0" percent="0" rank="0" text="" dxfId="6">
      <formula>$F$4="Chưa giao"</formula>
    </cfRule>
  </conditionalFormatting>
  <conditionalFormatting sqref="F6:G6">
    <cfRule type="expression" priority="14" aboveAverage="0" equalAverage="0" bottom="0" percent="0" rank="0" text="" dxfId="5">
      <formula>$F$6="Đã xuất"</formula>
    </cfRule>
    <cfRule type="expression" priority="15" aboveAverage="0" equalAverage="0" bottom="0" percent="0" rank="0" text="" dxfId="6">
      <formula>$F$6="Chưa xuất"</formula>
    </cfRule>
  </conditionalFormatting>
  <dataValidations count="3">
    <dataValidation allowBlank="true" errorStyle="stop" operator="between" showDropDown="false" showErrorMessage="false" showInputMessage="false" sqref="F4" type="list">
      <formula1>"Chưa giao,Giao một phần,Đã giao"</formula1>
      <formula2>0</formula2>
    </dataValidation>
    <dataValidation allowBlank="true" errorStyle="stop" operator="between" showDropDown="false" showErrorMessage="false" showInputMessage="false" sqref="F6" type="list">
      <formula1>"Chưa xuất,Đã xuất"</formula1>
      <formula2>0</formula2>
    </dataValidation>
    <dataValidation allowBlank="true" errorStyle="stop" operator="between" showDropDown="false" showErrorMessage="false" showInputMessage="false" sqref="K13:K24" type="list">
      <formula1>"Chuyển khoản,Tiền mặt,Khác"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45" t="s">
        <v>60</v>
      </c>
    </row>
    <row r="2" customFormat="false" ht="15" hidden="false" customHeight="false" outlineLevel="0" collapsed="false">
      <c r="A2" s="46" t="s">
        <v>61</v>
      </c>
    </row>
    <row r="3" customFormat="false" ht="15" hidden="false" customHeight="false" outlineLevel="0" collapsed="false">
      <c r="A3" s="46" t="s">
        <v>62</v>
      </c>
    </row>
    <row r="4" customFormat="false" ht="15" hidden="false" customHeight="false" outlineLevel="0" collapsed="false">
      <c r="A4" s="46" t="s">
        <v>63</v>
      </c>
    </row>
    <row r="5" customFormat="false" ht="15" hidden="false" customHeight="false" outlineLevel="0" collapsed="false">
      <c r="A5" s="46" t="s">
        <v>64</v>
      </c>
    </row>
    <row r="6" customFormat="false" ht="15" hidden="false" customHeight="false" outlineLevel="0" collapsed="false">
      <c r="A6" s="46" t="s">
        <v>65</v>
      </c>
    </row>
    <row r="7" customFormat="false" ht="15" hidden="false" customHeight="false" outlineLevel="0" collapsed="false">
      <c r="A7" s="46" t="s">
        <v>66</v>
      </c>
    </row>
    <row r="8" customFormat="false" ht="15" hidden="false" customHeight="false" outlineLevel="0" collapsed="false">
      <c r="A8" s="46" t="s">
        <v>67</v>
      </c>
    </row>
    <row r="9" customFormat="false" ht="15" hidden="false" customHeight="false" outlineLevel="0" collapsed="false">
      <c r="A9" s="46" t="s">
        <v>68</v>
      </c>
    </row>
    <row r="10" customFormat="false" ht="15" hidden="false" customHeight="false" outlineLevel="0" collapsed="false">
      <c r="A10" s="46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2026-10-29T08:11:56Z</dcterms:created>
  <dc:creator>openpyxl</dc:creator>
  <dc:description/>
  <dc:language>en-US</dc:language>
  <cp:lastModifiedBy/>
  <dcterms:modified xsi:type="dcterms:W3CDTF">2026-10-29T08:11:56Z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