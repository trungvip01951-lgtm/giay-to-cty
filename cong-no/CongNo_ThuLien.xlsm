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15" windowWidth="16095" windowHeight="9660"/>
  </bookViews>
  <sheets>
    <sheet name="TongQuan" sheetId="1" r:id="rId1"/>
    <sheet name="HuongDan" sheetId="2" r:id="rId2"/>
    <sheet name="BangGia" sheetId="3" r:id="rId3"/>
    <sheet name="MAU_DON" sheetId="4" r:id="rId4"/>
    <sheet name="ĐH-2610-003" sheetId="5" r:id="rId5"/>
  </sheets>
  <definedNames>
    <definedName name="_xlnm._FilterDatabase" localSheetId="2" hidden="1">BangGia!$A$1:$D$500</definedName>
    <definedName name="_xlnm.Print_Area" localSheetId="3">MAU_DON!$A$1:$M$35</definedName>
    <definedName name="_xlnm.Print_Area" localSheetId="4">'ĐH-2610-003'!$A$1:$M$35</definedName>
  </definedNames>
  <calcPr calcId="124519" fullCalcOnLoad="1"/>
</workbook>
</file>

<file path=xl/sharedStrings.xml><?xml version="1.0" encoding="utf-8"?>
<sst xmlns="http://schemas.openxmlformats.org/spreadsheetml/2006/main" count="174" uniqueCount="112">
  <si>
    <t>Model / tên hàng</t>
  </si>
  <si>
    <t>Giá chưa VAT</t>
  </si>
  <si>
    <t>Nhóm hàng</t>
  </si>
  <si>
    <t>Ghi chú</t>
  </si>
  <si>
    <t>CM40-160/4</t>
  </si>
  <si>
    <t>Bơm trục ngang CM</t>
  </si>
  <si>
    <t>CM40-250/11</t>
  </si>
  <si>
    <t>CM50-160/5.5</t>
  </si>
  <si>
    <t>CDLF16-8</t>
  </si>
  <si>
    <t>Bơm trục đứng CDLF</t>
  </si>
  <si>
    <t>CDLF32-12</t>
  </si>
  <si>
    <t>6SA30/6</t>
  </si>
  <si>
    <t>Bơm giếng khoan (hỏa tiễn) 6SA/6SP</t>
  </si>
  <si>
    <t>6SP30-5</t>
  </si>
  <si>
    <t>6SP30-7</t>
  </si>
  <si>
    <t>50WC15-15-1.5</t>
  </si>
  <si>
    <t>Bơm chìm nước thải WB/WC/WQ</t>
  </si>
  <si>
    <t>80WB50-15-4</t>
  </si>
  <si>
    <t>150WC150-15-11</t>
  </si>
  <si>
    <t>150WC150-25-15</t>
  </si>
  <si>
    <t>200WQ600-12-37</t>
  </si>
  <si>
    <t>65DVS53.7</t>
  </si>
  <si>
    <t>Khác (anh xác nhận nhóm)</t>
  </si>
  <si>
    <t>MB300</t>
  </si>
  <si>
    <t>SFm6-18-0.55F</t>
  </si>
  <si>
    <t>Bình tích áp 200L</t>
  </si>
  <si>
    <t>Phụ kiện</t>
  </si>
  <si>
    <t>Trong danh sách anh gửi có 1 dòng 6.000.000</t>
  </si>
  <si>
    <t>Bình tích áp 300L</t>
  </si>
  <si>
    <t>Trong danh sách anh gửi có 1 dòng 7.300.000</t>
  </si>
  <si>
    <t>Khớp nối nhanh DN80</t>
  </si>
  <si>
    <t>Cách dùng: gõ thêm model, giá và nhóm vào dòng trống bên dưới. Các sheet đơn tự lấy giá gợi ý khi gõ đúng model (hoặc tên hàng có chứa model). Model bị trùng sẽ tô đỏ - chỉ giữ một dòng. Muốn xếp lại theo nhóm: bấm mũi tên lọc ở cột Nhóm hàng &gt; Sắp xếp A-Z.</t>
  </si>
  <si>
    <t>Bên bán: Công ty TNHH Thương mại và Công nghiệp Trung Kiên  ·  ô trắng là ô nhập, ô xanh nhạt là ô tự tính</t>
  </si>
  <si>
    <t>THÔNG TIN ĐƠN HÀNG</t>
  </si>
  <si>
    <t>TIỀN &amp; CÔNG NỢ</t>
  </si>
  <si>
    <t>Mã đơn</t>
  </si>
  <si>
    <t>Ngày đơn</t>
  </si>
  <si>
    <t>Nội dung</t>
  </si>
  <si>
    <t>Số báo giá / HĐ</t>
  </si>
  <si>
    <t>Số mã hàng</t>
  </si>
  <si>
    <t>Giao hàng</t>
  </si>
  <si>
    <t>Ngày giao</t>
  </si>
  <si>
    <t>Xuất hóa đơn</t>
  </si>
  <si>
    <t>Số HĐ / ngày HĐ</t>
  </si>
  <si>
    <t>Hạn thanh toán</t>
  </si>
  <si>
    <t>Tiền hàng (chưa VAT)</t>
  </si>
  <si>
    <t>TỔNG CỘNG (gồm VAT)</t>
  </si>
  <si>
    <t>ĐÃ THU</t>
  </si>
  <si>
    <t>CÒN NỢ</t>
  </si>
  <si>
    <t>Thuế VAT</t>
  </si>
  <si>
    <t>Tình trạng thu tiền</t>
  </si>
  <si>
    <t>HÀNG HÓA TRONG ĐƠN</t>
  </si>
  <si>
    <t>HÓA ĐƠN ĐÃ XUẤT CHO ĐƠN NÀY (gõ số HĐ)</t>
  </si>
  <si>
    <t>STT</t>
  </si>
  <si>
    <t>Mã kho</t>
  </si>
  <si>
    <t>Mã hàng / Tên hàng, model</t>
  </si>
  <si>
    <t>ĐVT</t>
  </si>
  <si>
    <t>Số lượng</t>
  </si>
  <si>
    <t>Đơn giá (chưa VAT)
gợi ý theo bảng giá</t>
  </si>
  <si>
    <t>Thành tiền (chưa VAT)</t>
  </si>
  <si>
    <t>Thành tiền (gồm VAT)</t>
  </si>
  <si>
    <t>Số hóa đơn</t>
  </si>
  <si>
    <t>Ngày HĐ</t>
  </si>
  <si>
    <t>Giá trị HĐ (gồm VAT)</t>
  </si>
  <si>
    <t>Cộng tiền hàng (chưa VAT)</t>
  </si>
  <si>
    <t>TỔNG CỘNG THANH TOÁN (đã gồm VAT)</t>
  </si>
  <si>
    <t>Tổng giá trị HĐ</t>
  </si>
  <si>
    <t>Các lần khách thanh toán: nhập ở sheet TongQuan (bảng bên phải, chọn đúng mã đơn). Ô ĐÃ THU ở trên tự cộng.</t>
  </si>
  <si>
    <t>ĐH-2610-003</t>
  </si>
  <si>
    <t>Đơn hàng Dương Kính</t>
  </si>
  <si>
    <t>VÍ DỤ thật từ phiếu xuất kho: chưa có đơn giá, ngày đơn</t>
  </si>
  <si>
    <t>Máy bơm hỏa tiễn 6SA35/6</t>
  </si>
  <si>
    <t>Máy bơm chìm 200WQ600-12-37</t>
  </si>
  <si>
    <t>THEO DÕI ĐƠN HÀNG &amp; CÔNG NỢ KHÁCH HÀNG</t>
  </si>
  <si>
    <t>Khách hàng</t>
  </si>
  <si>
    <t>Công ty TNHH vật tư thiết bị Thu Liên</t>
  </si>
  <si>
    <t>Địa chỉ</t>
  </si>
  <si>
    <t>Hà Nội</t>
  </si>
  <si>
    <t>Mã số thuế</t>
  </si>
  <si>
    <t>Liên hệ / ĐT</t>
  </si>
  <si>
    <t>TỔNG GIÁ TRỊ ĐƠN</t>
  </si>
  <si>
    <t>NỢ QUÁ HẠN</t>
  </si>
  <si>
    <t>SỐ ĐƠN</t>
  </si>
  <si>
    <t>DANH SÁCH ĐƠN HÀNG  (tự cập nhật khi bấm nút hoặc mở file)</t>
  </si>
  <si>
    <t>Nội dung đơn</t>
  </si>
  <si>
    <t>Tổng tiền (gồm VAT)</t>
  </si>
  <si>
    <t>Đã thu</t>
  </si>
  <si>
    <t>Còn nợ</t>
  </si>
  <si>
    <t>Xuất HĐ</t>
  </si>
  <si>
    <t>Hạn TT</t>
  </si>
  <si>
    <t>Cần làm</t>
  </si>
  <si>
    <t>Quá hạn (ngày)</t>
  </si>
  <si>
    <t>CÁC LẦN KHÁCH THANH TOÁN (nhập ở đây)</t>
  </si>
  <si>
    <t>Ngày thu</t>
  </si>
  <si>
    <t>Số tiền</t>
  </si>
  <si>
    <t>Hình thức</t>
  </si>
  <si>
    <t>Ghi chú / chứng từ</t>
  </si>
  <si>
    <t>CÁCH DÙNG</t>
  </si>
  <si>
    <t>0. Lần đầu mở file: nếu Excel báo chặn macro, đóng file &gt; chuột phải vào file &gt; Properties (Thuộc tính) &gt; tích Unblock (Bỏ chặn) &gt; OK,</t>
  </si>
  <si>
    <t xml:space="preserve">    mở lại và bấm 'Enable Content' (Bật nội dung). Nút bấm chỉ chạy trên Excel máy tính (Windows/Mac), không chạy trên điện thoại.</t>
  </si>
  <si>
    <t>1. Đơn mới: ở TongQuan bấm nút '+ TẠO ĐƠN MỚI'. File tự tạo sheet tên theo ngày (ví dụ ĐH-29.10.26; trùng ngày thì ĐH-29.10.26-2)</t>
  </si>
  <si>
    <t xml:space="preserve">    và tự thêm vào bảng TongQuan. Sheet mới mở sẵn để nhập.</t>
  </si>
  <si>
    <t>2. Trong sheet đơn: gõ nội dung, số báo giá/HĐ; mỗi mã hàng một dòng: chỉ cần gõ tên/model, số lượng, đơn giá CHƯA VAT.</t>
  </si>
  <si>
    <t xml:space="preserve">    STT, Mã kho (KHH), ĐVT (Cái) tự điền; muốn khác thì gõ đè. Thành tiền chưa VAT, gồm VAT, thuế VAT và tổng cộng tự tính.</t>
  </si>
  <si>
    <t xml:space="preserve">    Giá: gõ model (hoặc chọn trong danh sách) là đơn giá gợi ý tự hiện theo sheet BangGia; chiết khấu thì gõ đè giá mới.</t>
  </si>
  <si>
    <t xml:space="preserve">    Bảng giá: sheet BangGia, gõ thêm model và giá vào dòng trống bên dưới, các đơn tự dùng.</t>
  </si>
  <si>
    <t>3. Chọn Giao hàng trong ô có danh sách, gõ hạn thanh toán. VAT mặc định 8% (ô K5).</t>
  </si>
  <si>
    <t>4. Hóa đơn: trong sheet đơn, gõ số hóa đơn (và ngày, giá trị) ở bảng 'Hóa đơn đã xuất' là đơn tự chuyển 'Đã xuất'.</t>
  </si>
  <si>
    <t xml:space="preserve">    Mỗi lần khách trả tiền: ghi một dòng ở bảng 'Các lần khách thanh toán' bên phải sheet TongQuan, chọn đúng mã đơn. Còn nợ tự trừ.</t>
  </si>
  <si>
    <t>5. Bấm 'VỀ TỔNG QUAN' để quay lại; tổng quan tự cập nhật. Nếu tự chép sheet bằng tay thì bấm 'CẬP NHẬT TỔNG QUAN'.</t>
  </si>
  <si>
    <t>Không sửa, không xóa sheet MAU_DON (mẫu trống để tạo đơn). Xóa đơn: xóa sheet đơn đó rồi bấm 'CẬP NHẬT TỔNG QUAN'.</t>
  </si>
  <si>
    <t>Màu: cam = đã giao chưa xuất HĐ · đỏ = quá hạn · vàng = thiếu giá / chưa giao · xanh lá = hoàn tất.</t>
  </si>
</sst>
</file>

<file path=xl/styles.xml><?xml version="1.0" encoding="utf-8"?>
<styleSheet xmlns="http://schemas.openxmlformats.org/spreadsheetml/2006/main">
  <numFmts count="6">
    <numFmt numFmtId="164" formatCode="#,##0;[Red]-#,##0;&quot;-&quot;"/>
    <numFmt numFmtId="165" formatCode="dd/mm/yyyy"/>
    <numFmt numFmtId="166" formatCode="#,##0"/>
    <numFmt numFmtId="167" formatCode="0%"/>
    <numFmt numFmtId="168" formatCode="#,##0.##"/>
    <numFmt numFmtId="169" formatCode="@"/>
  </numFmts>
  <fonts count="20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i/>
      <sz val="9"/>
      <color rgb="FF595959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8"/>
      <color rgb="FF1F3864"/>
      <name val="Arial"/>
      <family val="2"/>
    </font>
    <font>
      <b/>
      <sz val="18"/>
      <color rgb="FF375623"/>
      <name val="Arial"/>
      <family val="2"/>
    </font>
    <font>
      <b/>
      <sz val="18"/>
      <color rgb="FFC00000"/>
      <name val="Arial"/>
      <family val="2"/>
    </font>
    <font>
      <b/>
      <sz val="18"/>
      <color rgb="FF7F0000"/>
      <name val="Arial"/>
      <family val="2"/>
    </font>
    <font>
      <sz val="10"/>
      <color rgb="FF404040"/>
      <name val="Arial"/>
      <family val="2"/>
    </font>
    <font>
      <sz val="10"/>
      <color theme="1"/>
      <name val="Arial"/>
      <family val="2"/>
    </font>
    <font>
      <b/>
      <sz val="12"/>
      <color rgb="FF1F3864"/>
      <name val="Arial"/>
      <family val="2"/>
    </font>
    <font>
      <sz val="11"/>
      <color rgb="FF000000"/>
      <name val="Arial"/>
      <family val="2"/>
    </font>
    <font>
      <i/>
      <sz val="10"/>
      <color theme="1"/>
      <name val="Arial"/>
      <family val="2"/>
    </font>
    <font>
      <sz val="10"/>
      <color rgb="FF1F3864"/>
      <name val="Arial"/>
      <family val="2"/>
    </font>
    <font>
      <i/>
      <sz val="10"/>
      <color rgb="FFC00000"/>
      <name val="Arial"/>
      <family val="2"/>
    </font>
    <font>
      <b/>
      <sz val="15"/>
      <color rgb="FFFFFFFF"/>
      <name val="Arial"/>
      <family val="2"/>
    </font>
    <font>
      <i/>
      <sz val="10"/>
      <color rgb="FF59595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F0000"/>
        <bgColor indexed="64"/>
      </patternFill>
    </fill>
    <fill>
      <patternFill patternType="solid">
        <fgColor rgb="FFF3F8F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EAF1FB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164" fontId="7" fillId="7" borderId="1" xfId="0" applyNumberFormat="1" applyFont="1" applyFill="1" applyBorder="1" applyAlignment="1">
      <alignment horizontal="center" vertical="center" wrapText="1"/>
    </xf>
    <xf numFmtId="164" fontId="8" fillId="7" borderId="1" xfId="0" applyNumberFormat="1" applyFont="1" applyFill="1" applyBorder="1" applyAlignment="1">
      <alignment horizontal="center" vertical="center" wrapText="1"/>
    </xf>
    <xf numFmtId="164" fontId="9" fillId="7" borderId="1" xfId="0" applyNumberFormat="1" applyFont="1" applyFill="1" applyBorder="1" applyAlignment="1">
      <alignment horizontal="center" vertical="center" wrapText="1"/>
    </xf>
    <xf numFmtId="164" fontId="10" fillId="7" borderId="1" xfId="0" applyNumberFormat="1" applyFont="1" applyFill="1" applyBorder="1" applyAlignment="1">
      <alignment horizontal="center" vertical="center" wrapText="1"/>
    </xf>
    <xf numFmtId="1" fontId="7" fillId="7" borderId="1" xfId="0" applyNumberFormat="1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vertical="center" wrapText="1"/>
    </xf>
    <xf numFmtId="0" fontId="6" fillId="4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165" fontId="12" fillId="11" borderId="1" xfId="0" applyNumberFormat="1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vertical="center" wrapText="1"/>
    </xf>
    <xf numFmtId="164" fontId="12" fillId="11" borderId="1" xfId="0" applyNumberFormat="1" applyFont="1" applyFill="1" applyBorder="1" applyAlignment="1">
      <alignment horizontal="right" vertical="center" wrapText="1"/>
    </xf>
    <xf numFmtId="0" fontId="12" fillId="12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165" fontId="12" fillId="12" borderId="1" xfId="0" applyNumberFormat="1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vertical="center" wrapText="1"/>
    </xf>
    <xf numFmtId="164" fontId="12" fillId="12" borderId="1" xfId="0" applyNumberFormat="1" applyFont="1" applyFill="1" applyBorder="1" applyAlignment="1">
      <alignment horizontal="right" vertical="center" wrapText="1"/>
    </xf>
    <xf numFmtId="165" fontId="12" fillId="13" borderId="1" xfId="0" applyNumberFormat="1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164" fontId="12" fillId="13" borderId="1" xfId="0" applyNumberFormat="1" applyFont="1" applyFill="1" applyBorder="1" applyAlignment="1">
      <alignment horizontal="right" vertical="center" wrapText="1"/>
    </xf>
    <xf numFmtId="0" fontId="12" fillId="13" borderId="1" xfId="0" applyFont="1" applyFill="1" applyBorder="1" applyAlignment="1">
      <alignment horizontal="center" vertical="center" wrapText="1"/>
    </xf>
    <xf numFmtId="0" fontId="12" fillId="13" borderId="1" xfId="0" applyFont="1" applyFill="1" applyBorder="1" applyAlignment="1">
      <alignment vertical="center" wrapText="1"/>
    </xf>
    <xf numFmtId="0" fontId="13" fillId="0" borderId="2" xfId="0" applyFont="1" applyBorder="1" applyAlignment="1">
      <alignment vertical="center"/>
    </xf>
    <xf numFmtId="0" fontId="14" fillId="0" borderId="2" xfId="0" applyFont="1" applyBorder="1" applyAlignment="1">
      <alignment vertical="center"/>
    </xf>
    <xf numFmtId="0" fontId="15" fillId="0" borderId="2" xfId="0" applyFont="1" applyBorder="1" applyAlignment="1">
      <alignment vertical="center"/>
    </xf>
    <xf numFmtId="0" fontId="3" fillId="11" borderId="1" xfId="0" applyFont="1" applyFill="1" applyBorder="1" applyAlignment="1">
      <alignment vertical="center" wrapText="1"/>
    </xf>
    <xf numFmtId="166" fontId="12" fillId="11" borderId="1" xfId="0" applyNumberFormat="1" applyFont="1" applyFill="1" applyBorder="1" applyAlignment="1">
      <alignment horizontal="right" vertical="center" wrapText="1"/>
    </xf>
    <xf numFmtId="0" fontId="16" fillId="11" borderId="1" xfId="0" applyFont="1" applyFill="1" applyBorder="1" applyAlignment="1">
      <alignment vertical="center" wrapText="1"/>
    </xf>
    <xf numFmtId="0" fontId="3" fillId="14" borderId="1" xfId="0" applyFont="1" applyFill="1" applyBorder="1" applyAlignment="1">
      <alignment vertical="center" wrapText="1"/>
    </xf>
    <xf numFmtId="166" fontId="12" fillId="14" borderId="1" xfId="0" applyNumberFormat="1" applyFont="1" applyFill="1" applyBorder="1" applyAlignment="1">
      <alignment horizontal="right" vertical="center" wrapText="1"/>
    </xf>
    <xf numFmtId="0" fontId="16" fillId="14" borderId="1" xfId="0" applyFont="1" applyFill="1" applyBorder="1" applyAlignment="1">
      <alignment vertical="center" wrapText="1"/>
    </xf>
    <xf numFmtId="0" fontId="12" fillId="14" borderId="1" xfId="0" applyFont="1" applyFill="1" applyBorder="1" applyAlignment="1">
      <alignment vertical="center" wrapText="1"/>
    </xf>
    <xf numFmtId="0" fontId="17" fillId="14" borderId="1" xfId="0" applyFont="1" applyFill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166" fontId="12" fillId="0" borderId="1" xfId="0" applyNumberFormat="1" applyFont="1" applyBorder="1" applyAlignment="1">
      <alignment vertical="center" wrapText="1"/>
    </xf>
    <xf numFmtId="0" fontId="18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vertical="center" wrapText="1"/>
    </xf>
    <xf numFmtId="164" fontId="3" fillId="7" borderId="1" xfId="0" applyNumberFormat="1" applyFont="1" applyFill="1" applyBorder="1" applyAlignment="1">
      <alignment horizontal="right" vertical="center" wrapText="1"/>
    </xf>
    <xf numFmtId="165" fontId="12" fillId="0" borderId="1" xfId="0" applyNumberFormat="1" applyFont="1" applyBorder="1" applyAlignment="1">
      <alignment horizontal="left" vertical="center" wrapText="1"/>
    </xf>
    <xf numFmtId="0" fontId="12" fillId="3" borderId="1" xfId="0" applyFont="1" applyFill="1" applyBorder="1" applyAlignment="1">
      <alignment vertical="center" wrapText="1"/>
    </xf>
    <xf numFmtId="167" fontId="12" fillId="0" borderId="1" xfId="0" applyNumberFormat="1" applyFont="1" applyBorder="1" applyAlignment="1">
      <alignment horizontal="center" vertical="center" wrapText="1"/>
    </xf>
    <xf numFmtId="0" fontId="3" fillId="7" borderId="1" xfId="0" applyFont="1" applyFill="1" applyBorder="1" applyAlignment="1">
      <alignment horizontal="left" vertical="center" wrapText="1"/>
    </xf>
    <xf numFmtId="164" fontId="4" fillId="7" borderId="1" xfId="0" applyNumberFormat="1" applyFont="1" applyFill="1" applyBorder="1" applyAlignment="1">
      <alignment horizontal="right" vertical="center" wrapText="1"/>
    </xf>
    <xf numFmtId="0" fontId="12" fillId="7" borderId="1" xfId="0" applyFont="1" applyFill="1" applyBorder="1" applyAlignment="1">
      <alignment horizontal="left" vertical="center" wrapText="1"/>
    </xf>
    <xf numFmtId="165" fontId="12" fillId="7" borderId="1" xfId="0" applyNumberFormat="1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168" fontId="12" fillId="11" borderId="1" xfId="0" applyNumberFormat="1" applyFont="1" applyFill="1" applyBorder="1" applyAlignment="1">
      <alignment horizontal="center" vertical="center" wrapText="1"/>
    </xf>
    <xf numFmtId="164" fontId="12" fillId="7" borderId="1" xfId="0" applyNumberFormat="1" applyFont="1" applyFill="1" applyBorder="1" applyAlignment="1">
      <alignment horizontal="right" vertical="center" wrapText="1"/>
    </xf>
    <xf numFmtId="169" fontId="3" fillId="0" borderId="1" xfId="0" applyNumberFormat="1" applyFont="1" applyBorder="1" applyAlignment="1">
      <alignment horizontal="center" vertical="center" wrapText="1"/>
    </xf>
    <xf numFmtId="165" fontId="12" fillId="0" borderId="1" xfId="0" applyNumberFormat="1" applyFont="1" applyBorder="1" applyAlignment="1">
      <alignment horizontal="center" vertical="center" wrapText="1"/>
    </xf>
    <xf numFmtId="164" fontId="12" fillId="0" borderId="1" xfId="0" applyNumberFormat="1" applyFont="1" applyBorder="1" applyAlignment="1">
      <alignment horizontal="right" vertical="center" wrapText="1"/>
    </xf>
    <xf numFmtId="168" fontId="12" fillId="1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right" vertical="center" wrapText="1"/>
    </xf>
    <xf numFmtId="0" fontId="19" fillId="0" borderId="2" xfId="0" applyFont="1" applyBorder="1" applyAlignment="1">
      <alignment vertical="center" wrapText="1"/>
    </xf>
    <xf numFmtId="0" fontId="4" fillId="3" borderId="1" xfId="0" applyFont="1" applyFill="1" applyBorder="1" applyAlignment="1">
      <alignment horizontal="right" vertical="center" wrapText="1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7F0000"/>
      </font>
      <fill>
        <patternFill>
          <bgColor rgb="FFFF999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375623"/>
      </font>
      <fill>
        <patternFill>
          <bgColor rgb="FFC6E0B4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color rgb="FF000000"/>
      </font>
      <fill>
        <patternFill>
          <bgColor rgb="FFFFE69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C00000"/>
      </font>
      <fill>
        <patternFill>
          <bgColor rgb="FFFCE4E4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375623"/>
      </font>
      <fill>
        <patternFill>
          <bgColor rgb="FFE2EFDA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833C0B"/>
      </font>
      <fill>
        <patternFill>
          <bgColor rgb="FFF8CBAD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7F6000"/>
      </font>
      <fill>
        <patternFill>
          <bgColor rgb="FFFFE69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1F3864"/>
      </font>
      <fill>
        <patternFill>
          <bgColor rgb="FFDDEBF7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color rgb="FF000000"/>
      </font>
      <fill>
        <patternFill>
          <bgColor rgb="FFC6E0B4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C00000"/>
      </font>
      <fill>
        <patternFill>
          <bgColor rgb="FFD9D9D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VBA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Tổng tiền và còn nợ theo đơn (20 đơn đầu)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Tổng tiền</c:v>
          </c:tx>
          <c:spPr>
            <a:solidFill>
              <a:srgbClr val="2E75B6"/>
            </a:solidFill>
          </c:spPr>
          <c:cat>
            <c:strRef>
              <c:f>TongQuan!$B$13:$B$32</c:f>
              <c:strCache>
                <c:ptCount val="20"/>
                <c:pt idx="0">
                  <c:v>ĐH-2610-003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</c:strCache>
            </c:strRef>
          </c:cat>
          <c:val>
            <c:numRef>
              <c:f>TongQuan!$F$13:$F$32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Còn nợ</c:v>
          </c:tx>
          <c:spPr>
            <a:solidFill>
              <a:srgbClr val="C00000"/>
            </a:solidFill>
          </c:spPr>
          <c:cat>
            <c:strRef>
              <c:f>TongQuan!$B$13:$B$32</c:f>
              <c:strCache>
                <c:ptCount val="20"/>
                <c:pt idx="0">
                  <c:v>ĐH-2610-003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</c:strCache>
            </c:strRef>
          </c:cat>
          <c:val>
            <c:numRef>
              <c:f>TongQuan!$H$13:$H$32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axId val="50010001"/>
        <c:axId val="50010002"/>
      </c:barChart>
      <c:catAx>
        <c:axId val="50010001"/>
        <c:scaling>
          <c:orientation val="minMax"/>
        </c:scaling>
        <c:axPos val="b"/>
        <c:tickLblPos val="nextTo"/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/>
        <c:numFmt formatCode="#,##0" sourceLinked="0"/>
        <c:tickLblPos val="nextTo"/>
        <c:crossAx val="50010001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8</xdr:col>
      <xdr:colOff>123825</xdr:colOff>
      <xdr:row>79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1F3864"/>
    <pageSetUpPr fitToPage="1"/>
  </sheetPr>
  <dimension ref="A1:S212"/>
  <sheetViews>
    <sheetView showGridLines="0" tabSelected="1" workbookViewId="0">
      <pane ySplit="12" topLeftCell="A13" activePane="bottomLeft" state="frozen"/>
      <selection pane="bottomLeft"/>
    </sheetView>
  </sheetViews>
  <sheetFormatPr defaultRowHeight="15" x14ac:dyDescent="0.25"/>
  <cols>
    <col min="1" max="1" width="5.7109375" customWidth="1"/>
    <col min="2" max="2" width="15.7109375" customWidth="1"/>
    <col min="3" max="3" width="12.7109375" customWidth="1"/>
    <col min="4" max="4" width="32.7109375" customWidth="1"/>
    <col min="5" max="5" width="9.7109375" customWidth="1"/>
    <col min="6" max="8" width="16.7109375" customWidth="1"/>
    <col min="9" max="9" width="13.7109375" customWidth="1"/>
    <col min="10" max="10" width="18.7109375" customWidth="1"/>
    <col min="11" max="11" width="12.7109375" customWidth="1"/>
    <col min="12" max="12" width="34.7109375" customWidth="1"/>
    <col min="13" max="13" width="10.7109375" customWidth="1"/>
    <col min="14" max="14" width="2.7109375" customWidth="1"/>
    <col min="15" max="15" width="12.7109375" customWidth="1"/>
    <col min="16" max="17" width="15.7109375" customWidth="1"/>
    <col min="18" max="18" width="14.7109375" customWidth="1"/>
    <col min="19" max="19" width="24.7109375" customWidth="1"/>
  </cols>
  <sheetData>
    <row r="1" spans="1:19" ht="34" customHeight="1" x14ac:dyDescent="0.25">
      <c r="A1" s="1" t="s">
        <v>73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>
        <f>"Công ty TNHH Thương mại và Công nghiệp Trung Kiên  ·  cập nhật "&amp;TEXT(TODAY(),"dd/mm/yyyy")</f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22" customHeight="1" x14ac:dyDescent="0.25">
      <c r="A3" s="3" t="s">
        <v>74</v>
      </c>
      <c r="B3" s="3"/>
      <c r="C3" s="4" t="s">
        <v>75</v>
      </c>
      <c r="D3" s="4"/>
      <c r="E3" s="4"/>
      <c r="F3" s="4"/>
      <c r="G3" s="4"/>
      <c r="H3" s="4"/>
    </row>
    <row r="4" spans="1:19" x14ac:dyDescent="0.25">
      <c r="A4" s="3" t="s">
        <v>76</v>
      </c>
      <c r="B4" s="3"/>
      <c r="C4" s="5" t="s">
        <v>77</v>
      </c>
      <c r="D4" s="5"/>
      <c r="E4" s="5"/>
      <c r="F4" s="5"/>
      <c r="G4" s="5"/>
      <c r="H4" s="5"/>
    </row>
    <row r="5" spans="1:19" x14ac:dyDescent="0.25">
      <c r="A5" s="3" t="s">
        <v>78</v>
      </c>
      <c r="B5" s="3"/>
      <c r="C5" s="5"/>
      <c r="D5" s="5"/>
      <c r="E5" s="5"/>
      <c r="F5" s="5"/>
      <c r="G5" s="5"/>
      <c r="H5" s="5"/>
    </row>
    <row r="6" spans="1:19" x14ac:dyDescent="0.25">
      <c r="A6" s="3" t="s">
        <v>79</v>
      </c>
      <c r="B6" s="3"/>
      <c r="C6" s="5"/>
      <c r="D6" s="5"/>
      <c r="E6" s="5"/>
      <c r="F6" s="5"/>
      <c r="G6" s="5"/>
      <c r="H6" s="5"/>
    </row>
    <row r="8" spans="1:19" x14ac:dyDescent="0.25">
      <c r="A8" s="6" t="s">
        <v>80</v>
      </c>
      <c r="B8" s="6"/>
      <c r="C8" s="6"/>
      <c r="D8" s="7" t="s">
        <v>47</v>
      </c>
      <c r="E8" s="8" t="s">
        <v>48</v>
      </c>
      <c r="F8" s="8"/>
      <c r="G8" s="8"/>
      <c r="H8" s="9" t="s">
        <v>81</v>
      </c>
      <c r="I8" s="9"/>
      <c r="J8" s="9"/>
      <c r="K8" s="6" t="s">
        <v>82</v>
      </c>
      <c r="L8" s="6"/>
      <c r="M8" s="6"/>
    </row>
    <row r="9" spans="1:19" ht="36" customHeight="1" x14ac:dyDescent="0.25">
      <c r="A9" s="10">
        <f>SUM(F13:F62)</f>
        <v>0</v>
      </c>
      <c r="B9" s="10"/>
      <c r="C9" s="10"/>
      <c r="D9" s="11">
        <f>SUM(G13:G62)</f>
        <v>0</v>
      </c>
      <c r="E9" s="12">
        <f>SUM(H13:H62)</f>
        <v>0</v>
      </c>
      <c r="F9" s="12"/>
      <c r="G9" s="12"/>
      <c r="H9" s="13">
        <f>SUMIF(M13:M62,"&gt;0",H13:H62)</f>
        <v>0</v>
      </c>
      <c r="I9" s="13"/>
      <c r="J9" s="13"/>
      <c r="K9" s="14">
        <f>COUNTIF(B13:B62,"?*")</f>
        <v>0</v>
      </c>
      <c r="L9" s="14"/>
      <c r="M9" s="14"/>
    </row>
    <row r="10" spans="1:19" x14ac:dyDescent="0.25">
      <c r="A10" s="15">
        <f>"Chưa giao: "&amp;COUNTIF(I13:I62,"Chưa giao")&amp;"  ·  Giao một phần: "&amp;COUNTIF(I13:I62,"Giao một phần")</f>
        <v>0</v>
      </c>
      <c r="B10" s="15"/>
      <c r="C10" s="15"/>
      <c r="D10" s="15">
        <f>"Đã giao chưa xuất HĐ: "&amp;COUNTIFS(I13:I62,"Đã giao",J13:J62,"Chưa xuất")</f>
        <v>0</v>
      </c>
      <c r="E10" s="15"/>
      <c r="F10" s="15"/>
      <c r="G10" s="15"/>
      <c r="H10" s="15">
        <f>"Chưa thu đủ: "&amp;COUNTIF(H13:H62,"&gt;0")&amp;" đơn"</f>
        <v>0</v>
      </c>
      <c r="I10" s="15"/>
      <c r="J10" s="15"/>
      <c r="K10" s="15">
        <f>"Thiếu giá: "&amp;COUNTIF(L13:L62,"*CHƯA CÓ GIÁ*")&amp;" đơn"</f>
        <v>0</v>
      </c>
      <c r="L10" s="15"/>
      <c r="M10" s="15"/>
      <c r="O10" s="15">
        <f>"Tổng các lần thu: "&amp;TEXT(SUM(Q13:Q212),"#,##0")&amp;IF(SUM(Q13:Q212)&lt;&gt;SUM(G13:G62),"  ·  "&amp;TEXT(SUM(Q13:Q212)-SUM(G13:G62),"#,##0")&amp;" CHƯA KHỚP MÃ ĐƠN","")</f>
        <v>0</v>
      </c>
      <c r="P10" s="15"/>
      <c r="Q10" s="15"/>
      <c r="R10" s="15"/>
      <c r="S10" s="15"/>
    </row>
    <row r="11" spans="1:19" x14ac:dyDescent="0.25">
      <c r="A11" s="16" t="s">
        <v>83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O11" s="17" t="s">
        <v>92</v>
      </c>
      <c r="P11" s="17"/>
      <c r="Q11" s="17"/>
      <c r="R11" s="17"/>
      <c r="S11" s="17"/>
    </row>
    <row r="12" spans="1:19" ht="30" customHeight="1" x14ac:dyDescent="0.25">
      <c r="A12" s="18" t="s">
        <v>53</v>
      </c>
      <c r="B12" s="18" t="s">
        <v>35</v>
      </c>
      <c r="C12" s="18" t="s">
        <v>36</v>
      </c>
      <c r="D12" s="18" t="s">
        <v>84</v>
      </c>
      <c r="E12" s="18" t="s">
        <v>39</v>
      </c>
      <c r="F12" s="18" t="s">
        <v>85</v>
      </c>
      <c r="G12" s="18" t="s">
        <v>86</v>
      </c>
      <c r="H12" s="18" t="s">
        <v>87</v>
      </c>
      <c r="I12" s="18" t="s">
        <v>40</v>
      </c>
      <c r="J12" s="18" t="s">
        <v>88</v>
      </c>
      <c r="K12" s="18" t="s">
        <v>89</v>
      </c>
      <c r="L12" s="18" t="s">
        <v>90</v>
      </c>
      <c r="M12" s="18" t="s">
        <v>91</v>
      </c>
      <c r="O12" s="19" t="s">
        <v>93</v>
      </c>
      <c r="P12" s="19" t="s">
        <v>35</v>
      </c>
      <c r="Q12" s="19" t="s">
        <v>94</v>
      </c>
      <c r="R12" s="19" t="s">
        <v>95</v>
      </c>
      <c r="S12" s="19" t="s">
        <v>96</v>
      </c>
    </row>
    <row r="13" spans="1:19" x14ac:dyDescent="0.25">
      <c r="A13" s="20">
        <f>IF(B13="","",ROW()-12)</f>
        <v>0</v>
      </c>
      <c r="B13" s="21" t="s">
        <v>68</v>
      </c>
      <c r="C13" s="22">
        <f>IF($B13="","",IFERROR(IF(INDIRECT("'"&amp;$B13&amp;"'!C5")="","",INDIRECT("'"&amp;$B13&amp;"'!C5")),"Không thấy sheet"))</f>
        <v>0</v>
      </c>
      <c r="D13" s="23">
        <f>IF($B13="","",IFERROR(IF(INDIRECT("'"&amp;$B13&amp;"'!C6")="","",INDIRECT("'"&amp;$B13&amp;"'!C6")),"Không thấy sheet"))</f>
        <v>0</v>
      </c>
      <c r="E13" s="20">
        <f>IF($B13="","",IFERROR(IF(INDIRECT("'"&amp;$B13&amp;"'!C9")="",0,INDIRECT("'"&amp;$B13&amp;"'!C9")),"Không thấy sheet"))</f>
        <v>0</v>
      </c>
      <c r="F13" s="24">
        <f>IF($B13="","",IFERROR(IF(INDIRECT("'"&amp;$B13&amp;"'!L6")="",0,INDIRECT("'"&amp;$B13&amp;"'!L6")),"Không thấy sheet"))</f>
        <v>0</v>
      </c>
      <c r="G13" s="24">
        <f>IF($B13="","",IFERROR(IF(INDIRECT("'"&amp;$B13&amp;"'!L7")="",0,INDIRECT("'"&amp;$B13&amp;"'!L7")),"Không thấy sheet"))</f>
        <v>0</v>
      </c>
      <c r="H13" s="24">
        <f>IF($B13="","",IFERROR(IF(INDIRECT("'"&amp;$B13&amp;"'!L8")="",0,INDIRECT("'"&amp;$B13&amp;"'!L8")),"Không thấy sheet"))</f>
        <v>0</v>
      </c>
      <c r="I13" s="20">
        <f>IF($B13="","",IFERROR(IF(INDIRECT("'"&amp;$B13&amp;"'!F4")="","",INDIRECT("'"&amp;$B13&amp;"'!F4")),"Không thấy sheet"))</f>
        <v>0</v>
      </c>
      <c r="J13" s="20">
        <f>IF($B13="","",IFERROR(IF(INDIRECT("'"&amp;$B13&amp;"'!F6")="Đã xuất","HĐ "&amp;INDIRECT("'"&amp;$B13&amp;"'!F7"),"Chưa xuất"),"Không thấy sheet"))</f>
        <v>0</v>
      </c>
      <c r="K13" s="22">
        <f>IF($B13="","",IFERROR(IF(INDIRECT("'"&amp;$B13&amp;"'!F8")="","",INDIRECT("'"&amp;$B13&amp;"'!F8")),"Không thấy sheet"))</f>
        <v>0</v>
      </c>
      <c r="L13" s="23">
        <f>IF(B13="","",IFERROR(SUBSTITUTE(INDIRECT("'"&amp;$B13&amp;"'!A10"),"CẦN LÀM:  ",""),"Không thấy sheet"))</f>
        <v>0</v>
      </c>
      <c r="M13" s="20">
        <f>IF(AND(ISNUMBER(K13),ISNUMBER(H13)),IF(AND(H13&gt;0,TODAY()&gt;K13),TODAY()-K13,""),"")</f>
        <v>0</v>
      </c>
      <c r="O13" s="22"/>
      <c r="P13" s="21"/>
      <c r="Q13" s="24"/>
      <c r="R13" s="20"/>
      <c r="S13" s="23"/>
    </row>
    <row r="14" spans="1:19" x14ac:dyDescent="0.25">
      <c r="A14" s="25">
        <f>IF(B14="","",ROW()-12)</f>
        <v>0</v>
      </c>
      <c r="B14" s="26"/>
      <c r="C14" s="27">
        <f>IF($B14="","",IFERROR(IF(INDIRECT("'"&amp;$B14&amp;"'!C5")="","",INDIRECT("'"&amp;$B14&amp;"'!C5")),"Không thấy sheet"))</f>
        <v>0</v>
      </c>
      <c r="D14" s="28">
        <f>IF($B14="","",IFERROR(IF(INDIRECT("'"&amp;$B14&amp;"'!C6")="","",INDIRECT("'"&amp;$B14&amp;"'!C6")),"Không thấy sheet"))</f>
        <v>0</v>
      </c>
      <c r="E14" s="25">
        <f>IF($B14="","",IFERROR(IF(INDIRECT("'"&amp;$B14&amp;"'!C9")="",0,INDIRECT("'"&amp;$B14&amp;"'!C9")),"Không thấy sheet"))</f>
        <v>0</v>
      </c>
      <c r="F14" s="29">
        <f>IF($B14="","",IFERROR(IF(INDIRECT("'"&amp;$B14&amp;"'!L6")="",0,INDIRECT("'"&amp;$B14&amp;"'!L6")),"Không thấy sheet"))</f>
        <v>0</v>
      </c>
      <c r="G14" s="29">
        <f>IF($B14="","",IFERROR(IF(INDIRECT("'"&amp;$B14&amp;"'!L7")="",0,INDIRECT("'"&amp;$B14&amp;"'!L7")),"Không thấy sheet"))</f>
        <v>0</v>
      </c>
      <c r="H14" s="29">
        <f>IF($B14="","",IFERROR(IF(INDIRECT("'"&amp;$B14&amp;"'!L8")="",0,INDIRECT("'"&amp;$B14&amp;"'!L8")),"Không thấy sheet"))</f>
        <v>0</v>
      </c>
      <c r="I14" s="25">
        <f>IF($B14="","",IFERROR(IF(INDIRECT("'"&amp;$B14&amp;"'!F4")="","",INDIRECT("'"&amp;$B14&amp;"'!F4")),"Không thấy sheet"))</f>
        <v>0</v>
      </c>
      <c r="J14" s="25">
        <f>IF($B14="","",IFERROR(IF(INDIRECT("'"&amp;$B14&amp;"'!F6")="Đã xuất","HĐ "&amp;INDIRECT("'"&amp;$B14&amp;"'!F7"),"Chưa xuất"),"Không thấy sheet"))</f>
        <v>0</v>
      </c>
      <c r="K14" s="27">
        <f>IF($B14="","",IFERROR(IF(INDIRECT("'"&amp;$B14&amp;"'!F8")="","",INDIRECT("'"&amp;$B14&amp;"'!F8")),"Không thấy sheet"))</f>
        <v>0</v>
      </c>
      <c r="L14" s="28">
        <f>IF(B14="","",IFERROR(SUBSTITUTE(INDIRECT("'"&amp;$B14&amp;"'!A10"),"CẦN LÀM:  ",""),"Không thấy sheet"))</f>
        <v>0</v>
      </c>
      <c r="M14" s="25">
        <f>IF(AND(ISNUMBER(K14),ISNUMBER(H14)),IF(AND(H14&gt;0,TODAY()&gt;K14),TODAY()-K14,""),"")</f>
        <v>0</v>
      </c>
      <c r="O14" s="30"/>
      <c r="P14" s="31"/>
      <c r="Q14" s="32"/>
      <c r="R14" s="33"/>
      <c r="S14" s="34"/>
    </row>
    <row r="15" spans="1:19" x14ac:dyDescent="0.25">
      <c r="A15" s="20">
        <f>IF(B15="","",ROW()-12)</f>
        <v>0</v>
      </c>
      <c r="B15" s="21"/>
      <c r="C15" s="22">
        <f>IF($B15="","",IFERROR(IF(INDIRECT("'"&amp;$B15&amp;"'!C5")="","",INDIRECT("'"&amp;$B15&amp;"'!C5")),"Không thấy sheet"))</f>
        <v>0</v>
      </c>
      <c r="D15" s="23">
        <f>IF($B15="","",IFERROR(IF(INDIRECT("'"&amp;$B15&amp;"'!C6")="","",INDIRECT("'"&amp;$B15&amp;"'!C6")),"Không thấy sheet"))</f>
        <v>0</v>
      </c>
      <c r="E15" s="20">
        <f>IF($B15="","",IFERROR(IF(INDIRECT("'"&amp;$B15&amp;"'!C9")="",0,INDIRECT("'"&amp;$B15&amp;"'!C9")),"Không thấy sheet"))</f>
        <v>0</v>
      </c>
      <c r="F15" s="24">
        <f>IF($B15="","",IFERROR(IF(INDIRECT("'"&amp;$B15&amp;"'!L6")="",0,INDIRECT("'"&amp;$B15&amp;"'!L6")),"Không thấy sheet"))</f>
        <v>0</v>
      </c>
      <c r="G15" s="24">
        <f>IF($B15="","",IFERROR(IF(INDIRECT("'"&amp;$B15&amp;"'!L7")="",0,INDIRECT("'"&amp;$B15&amp;"'!L7")),"Không thấy sheet"))</f>
        <v>0</v>
      </c>
      <c r="H15" s="24">
        <f>IF($B15="","",IFERROR(IF(INDIRECT("'"&amp;$B15&amp;"'!L8")="",0,INDIRECT("'"&amp;$B15&amp;"'!L8")),"Không thấy sheet"))</f>
        <v>0</v>
      </c>
      <c r="I15" s="20">
        <f>IF($B15="","",IFERROR(IF(INDIRECT("'"&amp;$B15&amp;"'!F4")="","",INDIRECT("'"&amp;$B15&amp;"'!F4")),"Không thấy sheet"))</f>
        <v>0</v>
      </c>
      <c r="J15" s="20">
        <f>IF($B15="","",IFERROR(IF(INDIRECT("'"&amp;$B15&amp;"'!F6")="Đã xuất","HĐ "&amp;INDIRECT("'"&amp;$B15&amp;"'!F7"),"Chưa xuất"),"Không thấy sheet"))</f>
        <v>0</v>
      </c>
      <c r="K15" s="22">
        <f>IF($B15="","",IFERROR(IF(INDIRECT("'"&amp;$B15&amp;"'!F8")="","",INDIRECT("'"&amp;$B15&amp;"'!F8")),"Không thấy sheet"))</f>
        <v>0</v>
      </c>
      <c r="L15" s="23">
        <f>IF(B15="","",IFERROR(SUBSTITUTE(INDIRECT("'"&amp;$B15&amp;"'!A10"),"CẦN LÀM:  ",""),"Không thấy sheet"))</f>
        <v>0</v>
      </c>
      <c r="M15" s="20">
        <f>IF(AND(ISNUMBER(K15),ISNUMBER(H15)),IF(AND(H15&gt;0,TODAY()&gt;K15),TODAY()-K15,""),"")</f>
        <v>0</v>
      </c>
      <c r="O15" s="22"/>
      <c r="P15" s="21"/>
      <c r="Q15" s="24"/>
      <c r="R15" s="20"/>
      <c r="S15" s="23"/>
    </row>
    <row r="16" spans="1:19" x14ac:dyDescent="0.25">
      <c r="A16" s="25">
        <f>IF(B16="","",ROW()-12)</f>
        <v>0</v>
      </c>
      <c r="B16" s="26"/>
      <c r="C16" s="27">
        <f>IF($B16="","",IFERROR(IF(INDIRECT("'"&amp;$B16&amp;"'!C5")="","",INDIRECT("'"&amp;$B16&amp;"'!C5")),"Không thấy sheet"))</f>
        <v>0</v>
      </c>
      <c r="D16" s="28">
        <f>IF($B16="","",IFERROR(IF(INDIRECT("'"&amp;$B16&amp;"'!C6")="","",INDIRECT("'"&amp;$B16&amp;"'!C6")),"Không thấy sheet"))</f>
        <v>0</v>
      </c>
      <c r="E16" s="25">
        <f>IF($B16="","",IFERROR(IF(INDIRECT("'"&amp;$B16&amp;"'!C9")="",0,INDIRECT("'"&amp;$B16&amp;"'!C9")),"Không thấy sheet"))</f>
        <v>0</v>
      </c>
      <c r="F16" s="29">
        <f>IF($B16="","",IFERROR(IF(INDIRECT("'"&amp;$B16&amp;"'!L6")="",0,INDIRECT("'"&amp;$B16&amp;"'!L6")),"Không thấy sheet"))</f>
        <v>0</v>
      </c>
      <c r="G16" s="29">
        <f>IF($B16="","",IFERROR(IF(INDIRECT("'"&amp;$B16&amp;"'!L7")="",0,INDIRECT("'"&amp;$B16&amp;"'!L7")),"Không thấy sheet"))</f>
        <v>0</v>
      </c>
      <c r="H16" s="29">
        <f>IF($B16="","",IFERROR(IF(INDIRECT("'"&amp;$B16&amp;"'!L8")="",0,INDIRECT("'"&amp;$B16&amp;"'!L8")),"Không thấy sheet"))</f>
        <v>0</v>
      </c>
      <c r="I16" s="25">
        <f>IF($B16="","",IFERROR(IF(INDIRECT("'"&amp;$B16&amp;"'!F4")="","",INDIRECT("'"&amp;$B16&amp;"'!F4")),"Không thấy sheet"))</f>
        <v>0</v>
      </c>
      <c r="J16" s="25">
        <f>IF($B16="","",IFERROR(IF(INDIRECT("'"&amp;$B16&amp;"'!F6")="Đã xuất","HĐ "&amp;INDIRECT("'"&amp;$B16&amp;"'!F7"),"Chưa xuất"),"Không thấy sheet"))</f>
        <v>0</v>
      </c>
      <c r="K16" s="27">
        <f>IF($B16="","",IFERROR(IF(INDIRECT("'"&amp;$B16&amp;"'!F8")="","",INDIRECT("'"&amp;$B16&amp;"'!F8")),"Không thấy sheet"))</f>
        <v>0</v>
      </c>
      <c r="L16" s="28">
        <f>IF(B16="","",IFERROR(SUBSTITUTE(INDIRECT("'"&amp;$B16&amp;"'!A10"),"CẦN LÀM:  ",""),"Không thấy sheet"))</f>
        <v>0</v>
      </c>
      <c r="M16" s="25">
        <f>IF(AND(ISNUMBER(K16),ISNUMBER(H16)),IF(AND(H16&gt;0,TODAY()&gt;K16),TODAY()-K16,""),"")</f>
        <v>0</v>
      </c>
      <c r="O16" s="30"/>
      <c r="P16" s="31"/>
      <c r="Q16" s="32"/>
      <c r="R16" s="33"/>
      <c r="S16" s="34"/>
    </row>
    <row r="17" spans="1:19" x14ac:dyDescent="0.25">
      <c r="A17" s="20">
        <f>IF(B17="","",ROW()-12)</f>
        <v>0</v>
      </c>
      <c r="B17" s="21"/>
      <c r="C17" s="22">
        <f>IF($B17="","",IFERROR(IF(INDIRECT("'"&amp;$B17&amp;"'!C5")="","",INDIRECT("'"&amp;$B17&amp;"'!C5")),"Không thấy sheet"))</f>
        <v>0</v>
      </c>
      <c r="D17" s="23">
        <f>IF($B17="","",IFERROR(IF(INDIRECT("'"&amp;$B17&amp;"'!C6")="","",INDIRECT("'"&amp;$B17&amp;"'!C6")),"Không thấy sheet"))</f>
        <v>0</v>
      </c>
      <c r="E17" s="20">
        <f>IF($B17="","",IFERROR(IF(INDIRECT("'"&amp;$B17&amp;"'!C9")="",0,INDIRECT("'"&amp;$B17&amp;"'!C9")),"Không thấy sheet"))</f>
        <v>0</v>
      </c>
      <c r="F17" s="24">
        <f>IF($B17="","",IFERROR(IF(INDIRECT("'"&amp;$B17&amp;"'!L6")="",0,INDIRECT("'"&amp;$B17&amp;"'!L6")),"Không thấy sheet"))</f>
        <v>0</v>
      </c>
      <c r="G17" s="24">
        <f>IF($B17="","",IFERROR(IF(INDIRECT("'"&amp;$B17&amp;"'!L7")="",0,INDIRECT("'"&amp;$B17&amp;"'!L7")),"Không thấy sheet"))</f>
        <v>0</v>
      </c>
      <c r="H17" s="24">
        <f>IF($B17="","",IFERROR(IF(INDIRECT("'"&amp;$B17&amp;"'!L8")="",0,INDIRECT("'"&amp;$B17&amp;"'!L8")),"Không thấy sheet"))</f>
        <v>0</v>
      </c>
      <c r="I17" s="20">
        <f>IF($B17="","",IFERROR(IF(INDIRECT("'"&amp;$B17&amp;"'!F4")="","",INDIRECT("'"&amp;$B17&amp;"'!F4")),"Không thấy sheet"))</f>
        <v>0</v>
      </c>
      <c r="J17" s="20">
        <f>IF($B17="","",IFERROR(IF(INDIRECT("'"&amp;$B17&amp;"'!F6")="Đã xuất","HĐ "&amp;INDIRECT("'"&amp;$B17&amp;"'!F7"),"Chưa xuất"),"Không thấy sheet"))</f>
        <v>0</v>
      </c>
      <c r="K17" s="22">
        <f>IF($B17="","",IFERROR(IF(INDIRECT("'"&amp;$B17&amp;"'!F8")="","",INDIRECT("'"&amp;$B17&amp;"'!F8")),"Không thấy sheet"))</f>
        <v>0</v>
      </c>
      <c r="L17" s="23">
        <f>IF(B17="","",IFERROR(SUBSTITUTE(INDIRECT("'"&amp;$B17&amp;"'!A10"),"CẦN LÀM:  ",""),"Không thấy sheet"))</f>
        <v>0</v>
      </c>
      <c r="M17" s="20">
        <f>IF(AND(ISNUMBER(K17),ISNUMBER(H17)),IF(AND(H17&gt;0,TODAY()&gt;K17),TODAY()-K17,""),"")</f>
        <v>0</v>
      </c>
      <c r="O17" s="22"/>
      <c r="P17" s="21"/>
      <c r="Q17" s="24"/>
      <c r="R17" s="20"/>
      <c r="S17" s="23"/>
    </row>
    <row r="18" spans="1:19" x14ac:dyDescent="0.25">
      <c r="A18" s="25">
        <f>IF(B18="","",ROW()-12)</f>
        <v>0</v>
      </c>
      <c r="B18" s="26"/>
      <c r="C18" s="27">
        <f>IF($B18="","",IFERROR(IF(INDIRECT("'"&amp;$B18&amp;"'!C5")="","",INDIRECT("'"&amp;$B18&amp;"'!C5")),"Không thấy sheet"))</f>
        <v>0</v>
      </c>
      <c r="D18" s="28">
        <f>IF($B18="","",IFERROR(IF(INDIRECT("'"&amp;$B18&amp;"'!C6")="","",INDIRECT("'"&amp;$B18&amp;"'!C6")),"Không thấy sheet"))</f>
        <v>0</v>
      </c>
      <c r="E18" s="25">
        <f>IF($B18="","",IFERROR(IF(INDIRECT("'"&amp;$B18&amp;"'!C9")="",0,INDIRECT("'"&amp;$B18&amp;"'!C9")),"Không thấy sheet"))</f>
        <v>0</v>
      </c>
      <c r="F18" s="29">
        <f>IF($B18="","",IFERROR(IF(INDIRECT("'"&amp;$B18&amp;"'!L6")="",0,INDIRECT("'"&amp;$B18&amp;"'!L6")),"Không thấy sheet"))</f>
        <v>0</v>
      </c>
      <c r="G18" s="29">
        <f>IF($B18="","",IFERROR(IF(INDIRECT("'"&amp;$B18&amp;"'!L7")="",0,INDIRECT("'"&amp;$B18&amp;"'!L7")),"Không thấy sheet"))</f>
        <v>0</v>
      </c>
      <c r="H18" s="29">
        <f>IF($B18="","",IFERROR(IF(INDIRECT("'"&amp;$B18&amp;"'!L8")="",0,INDIRECT("'"&amp;$B18&amp;"'!L8")),"Không thấy sheet"))</f>
        <v>0</v>
      </c>
      <c r="I18" s="25">
        <f>IF($B18="","",IFERROR(IF(INDIRECT("'"&amp;$B18&amp;"'!F4")="","",INDIRECT("'"&amp;$B18&amp;"'!F4")),"Không thấy sheet"))</f>
        <v>0</v>
      </c>
      <c r="J18" s="25">
        <f>IF($B18="","",IFERROR(IF(INDIRECT("'"&amp;$B18&amp;"'!F6")="Đã xuất","HĐ "&amp;INDIRECT("'"&amp;$B18&amp;"'!F7"),"Chưa xuất"),"Không thấy sheet"))</f>
        <v>0</v>
      </c>
      <c r="K18" s="27">
        <f>IF($B18="","",IFERROR(IF(INDIRECT("'"&amp;$B18&amp;"'!F8")="","",INDIRECT("'"&amp;$B18&amp;"'!F8")),"Không thấy sheet"))</f>
        <v>0</v>
      </c>
      <c r="L18" s="28">
        <f>IF(B18="","",IFERROR(SUBSTITUTE(INDIRECT("'"&amp;$B18&amp;"'!A10"),"CẦN LÀM:  ",""),"Không thấy sheet"))</f>
        <v>0</v>
      </c>
      <c r="M18" s="25">
        <f>IF(AND(ISNUMBER(K18),ISNUMBER(H18)),IF(AND(H18&gt;0,TODAY()&gt;K18),TODAY()-K18,""),"")</f>
        <v>0</v>
      </c>
      <c r="O18" s="30"/>
      <c r="P18" s="31"/>
      <c r="Q18" s="32"/>
      <c r="R18" s="33"/>
      <c r="S18" s="34"/>
    </row>
    <row r="19" spans="1:19" x14ac:dyDescent="0.25">
      <c r="A19" s="20">
        <f>IF(B19="","",ROW()-12)</f>
        <v>0</v>
      </c>
      <c r="B19" s="21"/>
      <c r="C19" s="22">
        <f>IF($B19="","",IFERROR(IF(INDIRECT("'"&amp;$B19&amp;"'!C5")="","",INDIRECT("'"&amp;$B19&amp;"'!C5")),"Không thấy sheet"))</f>
        <v>0</v>
      </c>
      <c r="D19" s="23">
        <f>IF($B19="","",IFERROR(IF(INDIRECT("'"&amp;$B19&amp;"'!C6")="","",INDIRECT("'"&amp;$B19&amp;"'!C6")),"Không thấy sheet"))</f>
        <v>0</v>
      </c>
      <c r="E19" s="20">
        <f>IF($B19="","",IFERROR(IF(INDIRECT("'"&amp;$B19&amp;"'!C9")="",0,INDIRECT("'"&amp;$B19&amp;"'!C9")),"Không thấy sheet"))</f>
        <v>0</v>
      </c>
      <c r="F19" s="24">
        <f>IF($B19="","",IFERROR(IF(INDIRECT("'"&amp;$B19&amp;"'!L6")="",0,INDIRECT("'"&amp;$B19&amp;"'!L6")),"Không thấy sheet"))</f>
        <v>0</v>
      </c>
      <c r="G19" s="24">
        <f>IF($B19="","",IFERROR(IF(INDIRECT("'"&amp;$B19&amp;"'!L7")="",0,INDIRECT("'"&amp;$B19&amp;"'!L7")),"Không thấy sheet"))</f>
        <v>0</v>
      </c>
      <c r="H19" s="24">
        <f>IF($B19="","",IFERROR(IF(INDIRECT("'"&amp;$B19&amp;"'!L8")="",0,INDIRECT("'"&amp;$B19&amp;"'!L8")),"Không thấy sheet"))</f>
        <v>0</v>
      </c>
      <c r="I19" s="20">
        <f>IF($B19="","",IFERROR(IF(INDIRECT("'"&amp;$B19&amp;"'!F4")="","",INDIRECT("'"&amp;$B19&amp;"'!F4")),"Không thấy sheet"))</f>
        <v>0</v>
      </c>
      <c r="J19" s="20">
        <f>IF($B19="","",IFERROR(IF(INDIRECT("'"&amp;$B19&amp;"'!F6")="Đã xuất","HĐ "&amp;INDIRECT("'"&amp;$B19&amp;"'!F7"),"Chưa xuất"),"Không thấy sheet"))</f>
        <v>0</v>
      </c>
      <c r="K19" s="22">
        <f>IF($B19="","",IFERROR(IF(INDIRECT("'"&amp;$B19&amp;"'!F8")="","",INDIRECT("'"&amp;$B19&amp;"'!F8")),"Không thấy sheet"))</f>
        <v>0</v>
      </c>
      <c r="L19" s="23">
        <f>IF(B19="","",IFERROR(SUBSTITUTE(INDIRECT("'"&amp;$B19&amp;"'!A10"),"CẦN LÀM:  ",""),"Không thấy sheet"))</f>
        <v>0</v>
      </c>
      <c r="M19" s="20">
        <f>IF(AND(ISNUMBER(K19),ISNUMBER(H19)),IF(AND(H19&gt;0,TODAY()&gt;K19),TODAY()-K19,""),"")</f>
        <v>0</v>
      </c>
      <c r="O19" s="22"/>
      <c r="P19" s="21"/>
      <c r="Q19" s="24"/>
      <c r="R19" s="20"/>
      <c r="S19" s="23"/>
    </row>
    <row r="20" spans="1:19" x14ac:dyDescent="0.25">
      <c r="A20" s="25">
        <f>IF(B20="","",ROW()-12)</f>
        <v>0</v>
      </c>
      <c r="B20" s="26"/>
      <c r="C20" s="27">
        <f>IF($B20="","",IFERROR(IF(INDIRECT("'"&amp;$B20&amp;"'!C5")="","",INDIRECT("'"&amp;$B20&amp;"'!C5")),"Không thấy sheet"))</f>
        <v>0</v>
      </c>
      <c r="D20" s="28">
        <f>IF($B20="","",IFERROR(IF(INDIRECT("'"&amp;$B20&amp;"'!C6")="","",INDIRECT("'"&amp;$B20&amp;"'!C6")),"Không thấy sheet"))</f>
        <v>0</v>
      </c>
      <c r="E20" s="25">
        <f>IF($B20="","",IFERROR(IF(INDIRECT("'"&amp;$B20&amp;"'!C9")="",0,INDIRECT("'"&amp;$B20&amp;"'!C9")),"Không thấy sheet"))</f>
        <v>0</v>
      </c>
      <c r="F20" s="29">
        <f>IF($B20="","",IFERROR(IF(INDIRECT("'"&amp;$B20&amp;"'!L6")="",0,INDIRECT("'"&amp;$B20&amp;"'!L6")),"Không thấy sheet"))</f>
        <v>0</v>
      </c>
      <c r="G20" s="29">
        <f>IF($B20="","",IFERROR(IF(INDIRECT("'"&amp;$B20&amp;"'!L7")="",0,INDIRECT("'"&amp;$B20&amp;"'!L7")),"Không thấy sheet"))</f>
        <v>0</v>
      </c>
      <c r="H20" s="29">
        <f>IF($B20="","",IFERROR(IF(INDIRECT("'"&amp;$B20&amp;"'!L8")="",0,INDIRECT("'"&amp;$B20&amp;"'!L8")),"Không thấy sheet"))</f>
        <v>0</v>
      </c>
      <c r="I20" s="25">
        <f>IF($B20="","",IFERROR(IF(INDIRECT("'"&amp;$B20&amp;"'!F4")="","",INDIRECT("'"&amp;$B20&amp;"'!F4")),"Không thấy sheet"))</f>
        <v>0</v>
      </c>
      <c r="J20" s="25">
        <f>IF($B20="","",IFERROR(IF(INDIRECT("'"&amp;$B20&amp;"'!F6")="Đã xuất","HĐ "&amp;INDIRECT("'"&amp;$B20&amp;"'!F7"),"Chưa xuất"),"Không thấy sheet"))</f>
        <v>0</v>
      </c>
      <c r="K20" s="27">
        <f>IF($B20="","",IFERROR(IF(INDIRECT("'"&amp;$B20&amp;"'!F8")="","",INDIRECT("'"&amp;$B20&amp;"'!F8")),"Không thấy sheet"))</f>
        <v>0</v>
      </c>
      <c r="L20" s="28">
        <f>IF(B20="","",IFERROR(SUBSTITUTE(INDIRECT("'"&amp;$B20&amp;"'!A10"),"CẦN LÀM:  ",""),"Không thấy sheet"))</f>
        <v>0</v>
      </c>
      <c r="M20" s="25">
        <f>IF(AND(ISNUMBER(K20),ISNUMBER(H20)),IF(AND(H20&gt;0,TODAY()&gt;K20),TODAY()-K20,""),"")</f>
        <v>0</v>
      </c>
      <c r="O20" s="30"/>
      <c r="P20" s="31"/>
      <c r="Q20" s="32"/>
      <c r="R20" s="33"/>
      <c r="S20" s="34"/>
    </row>
    <row r="21" spans="1:19" x14ac:dyDescent="0.25">
      <c r="A21" s="20">
        <f>IF(B21="","",ROW()-12)</f>
        <v>0</v>
      </c>
      <c r="B21" s="21"/>
      <c r="C21" s="22">
        <f>IF($B21="","",IFERROR(IF(INDIRECT("'"&amp;$B21&amp;"'!C5")="","",INDIRECT("'"&amp;$B21&amp;"'!C5")),"Không thấy sheet"))</f>
        <v>0</v>
      </c>
      <c r="D21" s="23">
        <f>IF($B21="","",IFERROR(IF(INDIRECT("'"&amp;$B21&amp;"'!C6")="","",INDIRECT("'"&amp;$B21&amp;"'!C6")),"Không thấy sheet"))</f>
        <v>0</v>
      </c>
      <c r="E21" s="20">
        <f>IF($B21="","",IFERROR(IF(INDIRECT("'"&amp;$B21&amp;"'!C9")="",0,INDIRECT("'"&amp;$B21&amp;"'!C9")),"Không thấy sheet"))</f>
        <v>0</v>
      </c>
      <c r="F21" s="24">
        <f>IF($B21="","",IFERROR(IF(INDIRECT("'"&amp;$B21&amp;"'!L6")="",0,INDIRECT("'"&amp;$B21&amp;"'!L6")),"Không thấy sheet"))</f>
        <v>0</v>
      </c>
      <c r="G21" s="24">
        <f>IF($B21="","",IFERROR(IF(INDIRECT("'"&amp;$B21&amp;"'!L7")="",0,INDIRECT("'"&amp;$B21&amp;"'!L7")),"Không thấy sheet"))</f>
        <v>0</v>
      </c>
      <c r="H21" s="24">
        <f>IF($B21="","",IFERROR(IF(INDIRECT("'"&amp;$B21&amp;"'!L8")="",0,INDIRECT("'"&amp;$B21&amp;"'!L8")),"Không thấy sheet"))</f>
        <v>0</v>
      </c>
      <c r="I21" s="20">
        <f>IF($B21="","",IFERROR(IF(INDIRECT("'"&amp;$B21&amp;"'!F4")="","",INDIRECT("'"&amp;$B21&amp;"'!F4")),"Không thấy sheet"))</f>
        <v>0</v>
      </c>
      <c r="J21" s="20">
        <f>IF($B21="","",IFERROR(IF(INDIRECT("'"&amp;$B21&amp;"'!F6")="Đã xuất","HĐ "&amp;INDIRECT("'"&amp;$B21&amp;"'!F7"),"Chưa xuất"),"Không thấy sheet"))</f>
        <v>0</v>
      </c>
      <c r="K21" s="22">
        <f>IF($B21="","",IFERROR(IF(INDIRECT("'"&amp;$B21&amp;"'!F8")="","",INDIRECT("'"&amp;$B21&amp;"'!F8")),"Không thấy sheet"))</f>
        <v>0</v>
      </c>
      <c r="L21" s="23">
        <f>IF(B21="","",IFERROR(SUBSTITUTE(INDIRECT("'"&amp;$B21&amp;"'!A10"),"CẦN LÀM:  ",""),"Không thấy sheet"))</f>
        <v>0</v>
      </c>
      <c r="M21" s="20">
        <f>IF(AND(ISNUMBER(K21),ISNUMBER(H21)),IF(AND(H21&gt;0,TODAY()&gt;K21),TODAY()-K21,""),"")</f>
        <v>0</v>
      </c>
      <c r="O21" s="22"/>
      <c r="P21" s="21"/>
      <c r="Q21" s="24"/>
      <c r="R21" s="20"/>
      <c r="S21" s="23"/>
    </row>
    <row r="22" spans="1:19" x14ac:dyDescent="0.25">
      <c r="A22" s="25">
        <f>IF(B22="","",ROW()-12)</f>
        <v>0</v>
      </c>
      <c r="B22" s="26"/>
      <c r="C22" s="27">
        <f>IF($B22="","",IFERROR(IF(INDIRECT("'"&amp;$B22&amp;"'!C5")="","",INDIRECT("'"&amp;$B22&amp;"'!C5")),"Không thấy sheet"))</f>
        <v>0</v>
      </c>
      <c r="D22" s="28">
        <f>IF($B22="","",IFERROR(IF(INDIRECT("'"&amp;$B22&amp;"'!C6")="","",INDIRECT("'"&amp;$B22&amp;"'!C6")),"Không thấy sheet"))</f>
        <v>0</v>
      </c>
      <c r="E22" s="25">
        <f>IF($B22="","",IFERROR(IF(INDIRECT("'"&amp;$B22&amp;"'!C9")="",0,INDIRECT("'"&amp;$B22&amp;"'!C9")),"Không thấy sheet"))</f>
        <v>0</v>
      </c>
      <c r="F22" s="29">
        <f>IF($B22="","",IFERROR(IF(INDIRECT("'"&amp;$B22&amp;"'!L6")="",0,INDIRECT("'"&amp;$B22&amp;"'!L6")),"Không thấy sheet"))</f>
        <v>0</v>
      </c>
      <c r="G22" s="29">
        <f>IF($B22="","",IFERROR(IF(INDIRECT("'"&amp;$B22&amp;"'!L7")="",0,INDIRECT("'"&amp;$B22&amp;"'!L7")),"Không thấy sheet"))</f>
        <v>0</v>
      </c>
      <c r="H22" s="29">
        <f>IF($B22="","",IFERROR(IF(INDIRECT("'"&amp;$B22&amp;"'!L8")="",0,INDIRECT("'"&amp;$B22&amp;"'!L8")),"Không thấy sheet"))</f>
        <v>0</v>
      </c>
      <c r="I22" s="25">
        <f>IF($B22="","",IFERROR(IF(INDIRECT("'"&amp;$B22&amp;"'!F4")="","",INDIRECT("'"&amp;$B22&amp;"'!F4")),"Không thấy sheet"))</f>
        <v>0</v>
      </c>
      <c r="J22" s="25">
        <f>IF($B22="","",IFERROR(IF(INDIRECT("'"&amp;$B22&amp;"'!F6")="Đã xuất","HĐ "&amp;INDIRECT("'"&amp;$B22&amp;"'!F7"),"Chưa xuất"),"Không thấy sheet"))</f>
        <v>0</v>
      </c>
      <c r="K22" s="27">
        <f>IF($B22="","",IFERROR(IF(INDIRECT("'"&amp;$B22&amp;"'!F8")="","",INDIRECT("'"&amp;$B22&amp;"'!F8")),"Không thấy sheet"))</f>
        <v>0</v>
      </c>
      <c r="L22" s="28">
        <f>IF(B22="","",IFERROR(SUBSTITUTE(INDIRECT("'"&amp;$B22&amp;"'!A10"),"CẦN LÀM:  ",""),"Không thấy sheet"))</f>
        <v>0</v>
      </c>
      <c r="M22" s="25">
        <f>IF(AND(ISNUMBER(K22),ISNUMBER(H22)),IF(AND(H22&gt;0,TODAY()&gt;K22),TODAY()-K22,""),"")</f>
        <v>0</v>
      </c>
      <c r="O22" s="30"/>
      <c r="P22" s="31"/>
      <c r="Q22" s="32"/>
      <c r="R22" s="33"/>
      <c r="S22" s="34"/>
    </row>
    <row r="23" spans="1:19" x14ac:dyDescent="0.25">
      <c r="A23" s="20">
        <f>IF(B23="","",ROW()-12)</f>
        <v>0</v>
      </c>
      <c r="B23" s="21"/>
      <c r="C23" s="22">
        <f>IF($B23="","",IFERROR(IF(INDIRECT("'"&amp;$B23&amp;"'!C5")="","",INDIRECT("'"&amp;$B23&amp;"'!C5")),"Không thấy sheet"))</f>
        <v>0</v>
      </c>
      <c r="D23" s="23">
        <f>IF($B23="","",IFERROR(IF(INDIRECT("'"&amp;$B23&amp;"'!C6")="","",INDIRECT("'"&amp;$B23&amp;"'!C6")),"Không thấy sheet"))</f>
        <v>0</v>
      </c>
      <c r="E23" s="20">
        <f>IF($B23="","",IFERROR(IF(INDIRECT("'"&amp;$B23&amp;"'!C9")="",0,INDIRECT("'"&amp;$B23&amp;"'!C9")),"Không thấy sheet"))</f>
        <v>0</v>
      </c>
      <c r="F23" s="24">
        <f>IF($B23="","",IFERROR(IF(INDIRECT("'"&amp;$B23&amp;"'!L6")="",0,INDIRECT("'"&amp;$B23&amp;"'!L6")),"Không thấy sheet"))</f>
        <v>0</v>
      </c>
      <c r="G23" s="24">
        <f>IF($B23="","",IFERROR(IF(INDIRECT("'"&amp;$B23&amp;"'!L7")="",0,INDIRECT("'"&amp;$B23&amp;"'!L7")),"Không thấy sheet"))</f>
        <v>0</v>
      </c>
      <c r="H23" s="24">
        <f>IF($B23="","",IFERROR(IF(INDIRECT("'"&amp;$B23&amp;"'!L8")="",0,INDIRECT("'"&amp;$B23&amp;"'!L8")),"Không thấy sheet"))</f>
        <v>0</v>
      </c>
      <c r="I23" s="20">
        <f>IF($B23="","",IFERROR(IF(INDIRECT("'"&amp;$B23&amp;"'!F4")="","",INDIRECT("'"&amp;$B23&amp;"'!F4")),"Không thấy sheet"))</f>
        <v>0</v>
      </c>
      <c r="J23" s="20">
        <f>IF($B23="","",IFERROR(IF(INDIRECT("'"&amp;$B23&amp;"'!F6")="Đã xuất","HĐ "&amp;INDIRECT("'"&amp;$B23&amp;"'!F7"),"Chưa xuất"),"Không thấy sheet"))</f>
        <v>0</v>
      </c>
      <c r="K23" s="22">
        <f>IF($B23="","",IFERROR(IF(INDIRECT("'"&amp;$B23&amp;"'!F8")="","",INDIRECT("'"&amp;$B23&amp;"'!F8")),"Không thấy sheet"))</f>
        <v>0</v>
      </c>
      <c r="L23" s="23">
        <f>IF(B23="","",IFERROR(SUBSTITUTE(INDIRECT("'"&amp;$B23&amp;"'!A10"),"CẦN LÀM:  ",""),"Không thấy sheet"))</f>
        <v>0</v>
      </c>
      <c r="M23" s="20">
        <f>IF(AND(ISNUMBER(K23),ISNUMBER(H23)),IF(AND(H23&gt;0,TODAY()&gt;K23),TODAY()-K23,""),"")</f>
        <v>0</v>
      </c>
      <c r="O23" s="22"/>
      <c r="P23" s="21"/>
      <c r="Q23" s="24"/>
      <c r="R23" s="20"/>
      <c r="S23" s="23"/>
    </row>
    <row r="24" spans="1:19" x14ac:dyDescent="0.25">
      <c r="A24" s="25">
        <f>IF(B24="","",ROW()-12)</f>
        <v>0</v>
      </c>
      <c r="B24" s="26"/>
      <c r="C24" s="27">
        <f>IF($B24="","",IFERROR(IF(INDIRECT("'"&amp;$B24&amp;"'!C5")="","",INDIRECT("'"&amp;$B24&amp;"'!C5")),"Không thấy sheet"))</f>
        <v>0</v>
      </c>
      <c r="D24" s="28">
        <f>IF($B24="","",IFERROR(IF(INDIRECT("'"&amp;$B24&amp;"'!C6")="","",INDIRECT("'"&amp;$B24&amp;"'!C6")),"Không thấy sheet"))</f>
        <v>0</v>
      </c>
      <c r="E24" s="25">
        <f>IF($B24="","",IFERROR(IF(INDIRECT("'"&amp;$B24&amp;"'!C9")="",0,INDIRECT("'"&amp;$B24&amp;"'!C9")),"Không thấy sheet"))</f>
        <v>0</v>
      </c>
      <c r="F24" s="29">
        <f>IF($B24="","",IFERROR(IF(INDIRECT("'"&amp;$B24&amp;"'!L6")="",0,INDIRECT("'"&amp;$B24&amp;"'!L6")),"Không thấy sheet"))</f>
        <v>0</v>
      </c>
      <c r="G24" s="29">
        <f>IF($B24="","",IFERROR(IF(INDIRECT("'"&amp;$B24&amp;"'!L7")="",0,INDIRECT("'"&amp;$B24&amp;"'!L7")),"Không thấy sheet"))</f>
        <v>0</v>
      </c>
      <c r="H24" s="29">
        <f>IF($B24="","",IFERROR(IF(INDIRECT("'"&amp;$B24&amp;"'!L8")="",0,INDIRECT("'"&amp;$B24&amp;"'!L8")),"Không thấy sheet"))</f>
        <v>0</v>
      </c>
      <c r="I24" s="25">
        <f>IF($B24="","",IFERROR(IF(INDIRECT("'"&amp;$B24&amp;"'!F4")="","",INDIRECT("'"&amp;$B24&amp;"'!F4")),"Không thấy sheet"))</f>
        <v>0</v>
      </c>
      <c r="J24" s="25">
        <f>IF($B24="","",IFERROR(IF(INDIRECT("'"&amp;$B24&amp;"'!F6")="Đã xuất","HĐ "&amp;INDIRECT("'"&amp;$B24&amp;"'!F7"),"Chưa xuất"),"Không thấy sheet"))</f>
        <v>0</v>
      </c>
      <c r="K24" s="27">
        <f>IF($B24="","",IFERROR(IF(INDIRECT("'"&amp;$B24&amp;"'!F8")="","",INDIRECT("'"&amp;$B24&amp;"'!F8")),"Không thấy sheet"))</f>
        <v>0</v>
      </c>
      <c r="L24" s="28">
        <f>IF(B24="","",IFERROR(SUBSTITUTE(INDIRECT("'"&amp;$B24&amp;"'!A10"),"CẦN LÀM:  ",""),"Không thấy sheet"))</f>
        <v>0</v>
      </c>
      <c r="M24" s="25">
        <f>IF(AND(ISNUMBER(K24),ISNUMBER(H24)),IF(AND(H24&gt;0,TODAY()&gt;K24),TODAY()-K24,""),"")</f>
        <v>0</v>
      </c>
      <c r="O24" s="30"/>
      <c r="P24" s="31"/>
      <c r="Q24" s="32"/>
      <c r="R24" s="33"/>
      <c r="S24" s="34"/>
    </row>
    <row r="25" spans="1:19" x14ac:dyDescent="0.25">
      <c r="A25" s="20">
        <f>IF(B25="","",ROW()-12)</f>
        <v>0</v>
      </c>
      <c r="B25" s="21"/>
      <c r="C25" s="22">
        <f>IF($B25="","",IFERROR(IF(INDIRECT("'"&amp;$B25&amp;"'!C5")="","",INDIRECT("'"&amp;$B25&amp;"'!C5")),"Không thấy sheet"))</f>
        <v>0</v>
      </c>
      <c r="D25" s="23">
        <f>IF($B25="","",IFERROR(IF(INDIRECT("'"&amp;$B25&amp;"'!C6")="","",INDIRECT("'"&amp;$B25&amp;"'!C6")),"Không thấy sheet"))</f>
        <v>0</v>
      </c>
      <c r="E25" s="20">
        <f>IF($B25="","",IFERROR(IF(INDIRECT("'"&amp;$B25&amp;"'!C9")="",0,INDIRECT("'"&amp;$B25&amp;"'!C9")),"Không thấy sheet"))</f>
        <v>0</v>
      </c>
      <c r="F25" s="24">
        <f>IF($B25="","",IFERROR(IF(INDIRECT("'"&amp;$B25&amp;"'!L6")="",0,INDIRECT("'"&amp;$B25&amp;"'!L6")),"Không thấy sheet"))</f>
        <v>0</v>
      </c>
      <c r="G25" s="24">
        <f>IF($B25="","",IFERROR(IF(INDIRECT("'"&amp;$B25&amp;"'!L7")="",0,INDIRECT("'"&amp;$B25&amp;"'!L7")),"Không thấy sheet"))</f>
        <v>0</v>
      </c>
      <c r="H25" s="24">
        <f>IF($B25="","",IFERROR(IF(INDIRECT("'"&amp;$B25&amp;"'!L8")="",0,INDIRECT("'"&amp;$B25&amp;"'!L8")),"Không thấy sheet"))</f>
        <v>0</v>
      </c>
      <c r="I25" s="20">
        <f>IF($B25="","",IFERROR(IF(INDIRECT("'"&amp;$B25&amp;"'!F4")="","",INDIRECT("'"&amp;$B25&amp;"'!F4")),"Không thấy sheet"))</f>
        <v>0</v>
      </c>
      <c r="J25" s="20">
        <f>IF($B25="","",IFERROR(IF(INDIRECT("'"&amp;$B25&amp;"'!F6")="Đã xuất","HĐ "&amp;INDIRECT("'"&amp;$B25&amp;"'!F7"),"Chưa xuất"),"Không thấy sheet"))</f>
        <v>0</v>
      </c>
      <c r="K25" s="22">
        <f>IF($B25="","",IFERROR(IF(INDIRECT("'"&amp;$B25&amp;"'!F8")="","",INDIRECT("'"&amp;$B25&amp;"'!F8")),"Không thấy sheet"))</f>
        <v>0</v>
      </c>
      <c r="L25" s="23">
        <f>IF(B25="","",IFERROR(SUBSTITUTE(INDIRECT("'"&amp;$B25&amp;"'!A10"),"CẦN LÀM:  ",""),"Không thấy sheet"))</f>
        <v>0</v>
      </c>
      <c r="M25" s="20">
        <f>IF(AND(ISNUMBER(K25),ISNUMBER(H25)),IF(AND(H25&gt;0,TODAY()&gt;K25),TODAY()-K25,""),"")</f>
        <v>0</v>
      </c>
      <c r="O25" s="22"/>
      <c r="P25" s="21"/>
      <c r="Q25" s="24"/>
      <c r="R25" s="20"/>
      <c r="S25" s="23"/>
    </row>
    <row r="26" spans="1:19" x14ac:dyDescent="0.25">
      <c r="A26" s="25">
        <f>IF(B26="","",ROW()-12)</f>
        <v>0</v>
      </c>
      <c r="B26" s="26"/>
      <c r="C26" s="27">
        <f>IF($B26="","",IFERROR(IF(INDIRECT("'"&amp;$B26&amp;"'!C5")="","",INDIRECT("'"&amp;$B26&amp;"'!C5")),"Không thấy sheet"))</f>
        <v>0</v>
      </c>
      <c r="D26" s="28">
        <f>IF($B26="","",IFERROR(IF(INDIRECT("'"&amp;$B26&amp;"'!C6")="","",INDIRECT("'"&amp;$B26&amp;"'!C6")),"Không thấy sheet"))</f>
        <v>0</v>
      </c>
      <c r="E26" s="25">
        <f>IF($B26="","",IFERROR(IF(INDIRECT("'"&amp;$B26&amp;"'!C9")="",0,INDIRECT("'"&amp;$B26&amp;"'!C9")),"Không thấy sheet"))</f>
        <v>0</v>
      </c>
      <c r="F26" s="29">
        <f>IF($B26="","",IFERROR(IF(INDIRECT("'"&amp;$B26&amp;"'!L6")="",0,INDIRECT("'"&amp;$B26&amp;"'!L6")),"Không thấy sheet"))</f>
        <v>0</v>
      </c>
      <c r="G26" s="29">
        <f>IF($B26="","",IFERROR(IF(INDIRECT("'"&amp;$B26&amp;"'!L7")="",0,INDIRECT("'"&amp;$B26&amp;"'!L7")),"Không thấy sheet"))</f>
        <v>0</v>
      </c>
      <c r="H26" s="29">
        <f>IF($B26="","",IFERROR(IF(INDIRECT("'"&amp;$B26&amp;"'!L8")="",0,INDIRECT("'"&amp;$B26&amp;"'!L8")),"Không thấy sheet"))</f>
        <v>0</v>
      </c>
      <c r="I26" s="25">
        <f>IF($B26="","",IFERROR(IF(INDIRECT("'"&amp;$B26&amp;"'!F4")="","",INDIRECT("'"&amp;$B26&amp;"'!F4")),"Không thấy sheet"))</f>
        <v>0</v>
      </c>
      <c r="J26" s="25">
        <f>IF($B26="","",IFERROR(IF(INDIRECT("'"&amp;$B26&amp;"'!F6")="Đã xuất","HĐ "&amp;INDIRECT("'"&amp;$B26&amp;"'!F7"),"Chưa xuất"),"Không thấy sheet"))</f>
        <v>0</v>
      </c>
      <c r="K26" s="27">
        <f>IF($B26="","",IFERROR(IF(INDIRECT("'"&amp;$B26&amp;"'!F8")="","",INDIRECT("'"&amp;$B26&amp;"'!F8")),"Không thấy sheet"))</f>
        <v>0</v>
      </c>
      <c r="L26" s="28">
        <f>IF(B26="","",IFERROR(SUBSTITUTE(INDIRECT("'"&amp;$B26&amp;"'!A10"),"CẦN LÀM:  ",""),"Không thấy sheet"))</f>
        <v>0</v>
      </c>
      <c r="M26" s="25">
        <f>IF(AND(ISNUMBER(K26),ISNUMBER(H26)),IF(AND(H26&gt;0,TODAY()&gt;K26),TODAY()-K26,""),"")</f>
        <v>0</v>
      </c>
      <c r="O26" s="30"/>
      <c r="P26" s="31"/>
      <c r="Q26" s="32"/>
      <c r="R26" s="33"/>
      <c r="S26" s="34"/>
    </row>
    <row r="27" spans="1:19" x14ac:dyDescent="0.25">
      <c r="A27" s="20">
        <f>IF(B27="","",ROW()-12)</f>
        <v>0</v>
      </c>
      <c r="B27" s="21"/>
      <c r="C27" s="22">
        <f>IF($B27="","",IFERROR(IF(INDIRECT("'"&amp;$B27&amp;"'!C5")="","",INDIRECT("'"&amp;$B27&amp;"'!C5")),"Không thấy sheet"))</f>
        <v>0</v>
      </c>
      <c r="D27" s="23">
        <f>IF($B27="","",IFERROR(IF(INDIRECT("'"&amp;$B27&amp;"'!C6")="","",INDIRECT("'"&amp;$B27&amp;"'!C6")),"Không thấy sheet"))</f>
        <v>0</v>
      </c>
      <c r="E27" s="20">
        <f>IF($B27="","",IFERROR(IF(INDIRECT("'"&amp;$B27&amp;"'!C9")="",0,INDIRECT("'"&amp;$B27&amp;"'!C9")),"Không thấy sheet"))</f>
        <v>0</v>
      </c>
      <c r="F27" s="24">
        <f>IF($B27="","",IFERROR(IF(INDIRECT("'"&amp;$B27&amp;"'!L6")="",0,INDIRECT("'"&amp;$B27&amp;"'!L6")),"Không thấy sheet"))</f>
        <v>0</v>
      </c>
      <c r="G27" s="24">
        <f>IF($B27="","",IFERROR(IF(INDIRECT("'"&amp;$B27&amp;"'!L7")="",0,INDIRECT("'"&amp;$B27&amp;"'!L7")),"Không thấy sheet"))</f>
        <v>0</v>
      </c>
      <c r="H27" s="24">
        <f>IF($B27="","",IFERROR(IF(INDIRECT("'"&amp;$B27&amp;"'!L8")="",0,INDIRECT("'"&amp;$B27&amp;"'!L8")),"Không thấy sheet"))</f>
        <v>0</v>
      </c>
      <c r="I27" s="20">
        <f>IF($B27="","",IFERROR(IF(INDIRECT("'"&amp;$B27&amp;"'!F4")="","",INDIRECT("'"&amp;$B27&amp;"'!F4")),"Không thấy sheet"))</f>
        <v>0</v>
      </c>
      <c r="J27" s="20">
        <f>IF($B27="","",IFERROR(IF(INDIRECT("'"&amp;$B27&amp;"'!F6")="Đã xuất","HĐ "&amp;INDIRECT("'"&amp;$B27&amp;"'!F7"),"Chưa xuất"),"Không thấy sheet"))</f>
        <v>0</v>
      </c>
      <c r="K27" s="22">
        <f>IF($B27="","",IFERROR(IF(INDIRECT("'"&amp;$B27&amp;"'!F8")="","",INDIRECT("'"&amp;$B27&amp;"'!F8")),"Không thấy sheet"))</f>
        <v>0</v>
      </c>
      <c r="L27" s="23">
        <f>IF(B27="","",IFERROR(SUBSTITUTE(INDIRECT("'"&amp;$B27&amp;"'!A10"),"CẦN LÀM:  ",""),"Không thấy sheet"))</f>
        <v>0</v>
      </c>
      <c r="M27" s="20">
        <f>IF(AND(ISNUMBER(K27),ISNUMBER(H27)),IF(AND(H27&gt;0,TODAY()&gt;K27),TODAY()-K27,""),"")</f>
        <v>0</v>
      </c>
      <c r="O27" s="22"/>
      <c r="P27" s="21"/>
      <c r="Q27" s="24"/>
      <c r="R27" s="20"/>
      <c r="S27" s="23"/>
    </row>
    <row r="28" spans="1:19" x14ac:dyDescent="0.25">
      <c r="A28" s="25">
        <f>IF(B28="","",ROW()-12)</f>
        <v>0</v>
      </c>
      <c r="B28" s="26"/>
      <c r="C28" s="27">
        <f>IF($B28="","",IFERROR(IF(INDIRECT("'"&amp;$B28&amp;"'!C5")="","",INDIRECT("'"&amp;$B28&amp;"'!C5")),"Không thấy sheet"))</f>
        <v>0</v>
      </c>
      <c r="D28" s="28">
        <f>IF($B28="","",IFERROR(IF(INDIRECT("'"&amp;$B28&amp;"'!C6")="","",INDIRECT("'"&amp;$B28&amp;"'!C6")),"Không thấy sheet"))</f>
        <v>0</v>
      </c>
      <c r="E28" s="25">
        <f>IF($B28="","",IFERROR(IF(INDIRECT("'"&amp;$B28&amp;"'!C9")="",0,INDIRECT("'"&amp;$B28&amp;"'!C9")),"Không thấy sheet"))</f>
        <v>0</v>
      </c>
      <c r="F28" s="29">
        <f>IF($B28="","",IFERROR(IF(INDIRECT("'"&amp;$B28&amp;"'!L6")="",0,INDIRECT("'"&amp;$B28&amp;"'!L6")),"Không thấy sheet"))</f>
        <v>0</v>
      </c>
      <c r="G28" s="29">
        <f>IF($B28="","",IFERROR(IF(INDIRECT("'"&amp;$B28&amp;"'!L7")="",0,INDIRECT("'"&amp;$B28&amp;"'!L7")),"Không thấy sheet"))</f>
        <v>0</v>
      </c>
      <c r="H28" s="29">
        <f>IF($B28="","",IFERROR(IF(INDIRECT("'"&amp;$B28&amp;"'!L8")="",0,INDIRECT("'"&amp;$B28&amp;"'!L8")),"Không thấy sheet"))</f>
        <v>0</v>
      </c>
      <c r="I28" s="25">
        <f>IF($B28="","",IFERROR(IF(INDIRECT("'"&amp;$B28&amp;"'!F4")="","",INDIRECT("'"&amp;$B28&amp;"'!F4")),"Không thấy sheet"))</f>
        <v>0</v>
      </c>
      <c r="J28" s="25">
        <f>IF($B28="","",IFERROR(IF(INDIRECT("'"&amp;$B28&amp;"'!F6")="Đã xuất","HĐ "&amp;INDIRECT("'"&amp;$B28&amp;"'!F7"),"Chưa xuất"),"Không thấy sheet"))</f>
        <v>0</v>
      </c>
      <c r="K28" s="27">
        <f>IF($B28="","",IFERROR(IF(INDIRECT("'"&amp;$B28&amp;"'!F8")="","",INDIRECT("'"&amp;$B28&amp;"'!F8")),"Không thấy sheet"))</f>
        <v>0</v>
      </c>
      <c r="L28" s="28">
        <f>IF(B28="","",IFERROR(SUBSTITUTE(INDIRECT("'"&amp;$B28&amp;"'!A10"),"CẦN LÀM:  ",""),"Không thấy sheet"))</f>
        <v>0</v>
      </c>
      <c r="M28" s="25">
        <f>IF(AND(ISNUMBER(K28),ISNUMBER(H28)),IF(AND(H28&gt;0,TODAY()&gt;K28),TODAY()-K28,""),"")</f>
        <v>0</v>
      </c>
      <c r="O28" s="30"/>
      <c r="P28" s="31"/>
      <c r="Q28" s="32"/>
      <c r="R28" s="33"/>
      <c r="S28" s="34"/>
    </row>
    <row r="29" spans="1:19" x14ac:dyDescent="0.25">
      <c r="A29" s="20">
        <f>IF(B29="","",ROW()-12)</f>
        <v>0</v>
      </c>
      <c r="B29" s="21"/>
      <c r="C29" s="22">
        <f>IF($B29="","",IFERROR(IF(INDIRECT("'"&amp;$B29&amp;"'!C5")="","",INDIRECT("'"&amp;$B29&amp;"'!C5")),"Không thấy sheet"))</f>
        <v>0</v>
      </c>
      <c r="D29" s="23">
        <f>IF($B29="","",IFERROR(IF(INDIRECT("'"&amp;$B29&amp;"'!C6")="","",INDIRECT("'"&amp;$B29&amp;"'!C6")),"Không thấy sheet"))</f>
        <v>0</v>
      </c>
      <c r="E29" s="20">
        <f>IF($B29="","",IFERROR(IF(INDIRECT("'"&amp;$B29&amp;"'!C9")="",0,INDIRECT("'"&amp;$B29&amp;"'!C9")),"Không thấy sheet"))</f>
        <v>0</v>
      </c>
      <c r="F29" s="24">
        <f>IF($B29="","",IFERROR(IF(INDIRECT("'"&amp;$B29&amp;"'!L6")="",0,INDIRECT("'"&amp;$B29&amp;"'!L6")),"Không thấy sheet"))</f>
        <v>0</v>
      </c>
      <c r="G29" s="24">
        <f>IF($B29="","",IFERROR(IF(INDIRECT("'"&amp;$B29&amp;"'!L7")="",0,INDIRECT("'"&amp;$B29&amp;"'!L7")),"Không thấy sheet"))</f>
        <v>0</v>
      </c>
      <c r="H29" s="24">
        <f>IF($B29="","",IFERROR(IF(INDIRECT("'"&amp;$B29&amp;"'!L8")="",0,INDIRECT("'"&amp;$B29&amp;"'!L8")),"Không thấy sheet"))</f>
        <v>0</v>
      </c>
      <c r="I29" s="20">
        <f>IF($B29="","",IFERROR(IF(INDIRECT("'"&amp;$B29&amp;"'!F4")="","",INDIRECT("'"&amp;$B29&amp;"'!F4")),"Không thấy sheet"))</f>
        <v>0</v>
      </c>
      <c r="J29" s="20">
        <f>IF($B29="","",IFERROR(IF(INDIRECT("'"&amp;$B29&amp;"'!F6")="Đã xuất","HĐ "&amp;INDIRECT("'"&amp;$B29&amp;"'!F7"),"Chưa xuất"),"Không thấy sheet"))</f>
        <v>0</v>
      </c>
      <c r="K29" s="22">
        <f>IF($B29="","",IFERROR(IF(INDIRECT("'"&amp;$B29&amp;"'!F8")="","",INDIRECT("'"&amp;$B29&amp;"'!F8")),"Không thấy sheet"))</f>
        <v>0</v>
      </c>
      <c r="L29" s="23">
        <f>IF(B29="","",IFERROR(SUBSTITUTE(INDIRECT("'"&amp;$B29&amp;"'!A10"),"CẦN LÀM:  ",""),"Không thấy sheet"))</f>
        <v>0</v>
      </c>
      <c r="M29" s="20">
        <f>IF(AND(ISNUMBER(K29),ISNUMBER(H29)),IF(AND(H29&gt;0,TODAY()&gt;K29),TODAY()-K29,""),"")</f>
        <v>0</v>
      </c>
      <c r="O29" s="22"/>
      <c r="P29" s="21"/>
      <c r="Q29" s="24"/>
      <c r="R29" s="20"/>
      <c r="S29" s="23"/>
    </row>
    <row r="30" spans="1:19" x14ac:dyDescent="0.25">
      <c r="A30" s="25">
        <f>IF(B30="","",ROW()-12)</f>
        <v>0</v>
      </c>
      <c r="B30" s="26"/>
      <c r="C30" s="27">
        <f>IF($B30="","",IFERROR(IF(INDIRECT("'"&amp;$B30&amp;"'!C5")="","",INDIRECT("'"&amp;$B30&amp;"'!C5")),"Không thấy sheet"))</f>
        <v>0</v>
      </c>
      <c r="D30" s="28">
        <f>IF($B30="","",IFERROR(IF(INDIRECT("'"&amp;$B30&amp;"'!C6")="","",INDIRECT("'"&amp;$B30&amp;"'!C6")),"Không thấy sheet"))</f>
        <v>0</v>
      </c>
      <c r="E30" s="25">
        <f>IF($B30="","",IFERROR(IF(INDIRECT("'"&amp;$B30&amp;"'!C9")="",0,INDIRECT("'"&amp;$B30&amp;"'!C9")),"Không thấy sheet"))</f>
        <v>0</v>
      </c>
      <c r="F30" s="29">
        <f>IF($B30="","",IFERROR(IF(INDIRECT("'"&amp;$B30&amp;"'!L6")="",0,INDIRECT("'"&amp;$B30&amp;"'!L6")),"Không thấy sheet"))</f>
        <v>0</v>
      </c>
      <c r="G30" s="29">
        <f>IF($B30="","",IFERROR(IF(INDIRECT("'"&amp;$B30&amp;"'!L7")="",0,INDIRECT("'"&amp;$B30&amp;"'!L7")),"Không thấy sheet"))</f>
        <v>0</v>
      </c>
      <c r="H30" s="29">
        <f>IF($B30="","",IFERROR(IF(INDIRECT("'"&amp;$B30&amp;"'!L8")="",0,INDIRECT("'"&amp;$B30&amp;"'!L8")),"Không thấy sheet"))</f>
        <v>0</v>
      </c>
      <c r="I30" s="25">
        <f>IF($B30="","",IFERROR(IF(INDIRECT("'"&amp;$B30&amp;"'!F4")="","",INDIRECT("'"&amp;$B30&amp;"'!F4")),"Không thấy sheet"))</f>
        <v>0</v>
      </c>
      <c r="J30" s="25">
        <f>IF($B30="","",IFERROR(IF(INDIRECT("'"&amp;$B30&amp;"'!F6")="Đã xuất","HĐ "&amp;INDIRECT("'"&amp;$B30&amp;"'!F7"),"Chưa xuất"),"Không thấy sheet"))</f>
        <v>0</v>
      </c>
      <c r="K30" s="27">
        <f>IF($B30="","",IFERROR(IF(INDIRECT("'"&amp;$B30&amp;"'!F8")="","",INDIRECT("'"&amp;$B30&amp;"'!F8")),"Không thấy sheet"))</f>
        <v>0</v>
      </c>
      <c r="L30" s="28">
        <f>IF(B30="","",IFERROR(SUBSTITUTE(INDIRECT("'"&amp;$B30&amp;"'!A10"),"CẦN LÀM:  ",""),"Không thấy sheet"))</f>
        <v>0</v>
      </c>
      <c r="M30" s="25">
        <f>IF(AND(ISNUMBER(K30),ISNUMBER(H30)),IF(AND(H30&gt;0,TODAY()&gt;K30),TODAY()-K30,""),"")</f>
        <v>0</v>
      </c>
      <c r="O30" s="30"/>
      <c r="P30" s="31"/>
      <c r="Q30" s="32"/>
      <c r="R30" s="33"/>
      <c r="S30" s="34"/>
    </row>
    <row r="31" spans="1:19" x14ac:dyDescent="0.25">
      <c r="A31" s="20">
        <f>IF(B31="","",ROW()-12)</f>
        <v>0</v>
      </c>
      <c r="B31" s="21"/>
      <c r="C31" s="22">
        <f>IF($B31="","",IFERROR(IF(INDIRECT("'"&amp;$B31&amp;"'!C5")="","",INDIRECT("'"&amp;$B31&amp;"'!C5")),"Không thấy sheet"))</f>
        <v>0</v>
      </c>
      <c r="D31" s="23">
        <f>IF($B31="","",IFERROR(IF(INDIRECT("'"&amp;$B31&amp;"'!C6")="","",INDIRECT("'"&amp;$B31&amp;"'!C6")),"Không thấy sheet"))</f>
        <v>0</v>
      </c>
      <c r="E31" s="20">
        <f>IF($B31="","",IFERROR(IF(INDIRECT("'"&amp;$B31&amp;"'!C9")="",0,INDIRECT("'"&amp;$B31&amp;"'!C9")),"Không thấy sheet"))</f>
        <v>0</v>
      </c>
      <c r="F31" s="24">
        <f>IF($B31="","",IFERROR(IF(INDIRECT("'"&amp;$B31&amp;"'!L6")="",0,INDIRECT("'"&amp;$B31&amp;"'!L6")),"Không thấy sheet"))</f>
        <v>0</v>
      </c>
      <c r="G31" s="24">
        <f>IF($B31="","",IFERROR(IF(INDIRECT("'"&amp;$B31&amp;"'!L7")="",0,INDIRECT("'"&amp;$B31&amp;"'!L7")),"Không thấy sheet"))</f>
        <v>0</v>
      </c>
      <c r="H31" s="24">
        <f>IF($B31="","",IFERROR(IF(INDIRECT("'"&amp;$B31&amp;"'!L8")="",0,INDIRECT("'"&amp;$B31&amp;"'!L8")),"Không thấy sheet"))</f>
        <v>0</v>
      </c>
      <c r="I31" s="20">
        <f>IF($B31="","",IFERROR(IF(INDIRECT("'"&amp;$B31&amp;"'!F4")="","",INDIRECT("'"&amp;$B31&amp;"'!F4")),"Không thấy sheet"))</f>
        <v>0</v>
      </c>
      <c r="J31" s="20">
        <f>IF($B31="","",IFERROR(IF(INDIRECT("'"&amp;$B31&amp;"'!F6")="Đã xuất","HĐ "&amp;INDIRECT("'"&amp;$B31&amp;"'!F7"),"Chưa xuất"),"Không thấy sheet"))</f>
        <v>0</v>
      </c>
      <c r="K31" s="22">
        <f>IF($B31="","",IFERROR(IF(INDIRECT("'"&amp;$B31&amp;"'!F8")="","",INDIRECT("'"&amp;$B31&amp;"'!F8")),"Không thấy sheet"))</f>
        <v>0</v>
      </c>
      <c r="L31" s="23">
        <f>IF(B31="","",IFERROR(SUBSTITUTE(INDIRECT("'"&amp;$B31&amp;"'!A10"),"CẦN LÀM:  ",""),"Không thấy sheet"))</f>
        <v>0</v>
      </c>
      <c r="M31" s="20">
        <f>IF(AND(ISNUMBER(K31),ISNUMBER(H31)),IF(AND(H31&gt;0,TODAY()&gt;K31),TODAY()-K31,""),"")</f>
        <v>0</v>
      </c>
      <c r="O31" s="22"/>
      <c r="P31" s="21"/>
      <c r="Q31" s="24"/>
      <c r="R31" s="20"/>
      <c r="S31" s="23"/>
    </row>
    <row r="32" spans="1:19" x14ac:dyDescent="0.25">
      <c r="A32" s="25">
        <f>IF(B32="","",ROW()-12)</f>
        <v>0</v>
      </c>
      <c r="B32" s="26"/>
      <c r="C32" s="27">
        <f>IF($B32="","",IFERROR(IF(INDIRECT("'"&amp;$B32&amp;"'!C5")="","",INDIRECT("'"&amp;$B32&amp;"'!C5")),"Không thấy sheet"))</f>
        <v>0</v>
      </c>
      <c r="D32" s="28">
        <f>IF($B32="","",IFERROR(IF(INDIRECT("'"&amp;$B32&amp;"'!C6")="","",INDIRECT("'"&amp;$B32&amp;"'!C6")),"Không thấy sheet"))</f>
        <v>0</v>
      </c>
      <c r="E32" s="25">
        <f>IF($B32="","",IFERROR(IF(INDIRECT("'"&amp;$B32&amp;"'!C9")="",0,INDIRECT("'"&amp;$B32&amp;"'!C9")),"Không thấy sheet"))</f>
        <v>0</v>
      </c>
      <c r="F32" s="29">
        <f>IF($B32="","",IFERROR(IF(INDIRECT("'"&amp;$B32&amp;"'!L6")="",0,INDIRECT("'"&amp;$B32&amp;"'!L6")),"Không thấy sheet"))</f>
        <v>0</v>
      </c>
      <c r="G32" s="29">
        <f>IF($B32="","",IFERROR(IF(INDIRECT("'"&amp;$B32&amp;"'!L7")="",0,INDIRECT("'"&amp;$B32&amp;"'!L7")),"Không thấy sheet"))</f>
        <v>0</v>
      </c>
      <c r="H32" s="29">
        <f>IF($B32="","",IFERROR(IF(INDIRECT("'"&amp;$B32&amp;"'!L8")="",0,INDIRECT("'"&amp;$B32&amp;"'!L8")),"Không thấy sheet"))</f>
        <v>0</v>
      </c>
      <c r="I32" s="25">
        <f>IF($B32="","",IFERROR(IF(INDIRECT("'"&amp;$B32&amp;"'!F4")="","",INDIRECT("'"&amp;$B32&amp;"'!F4")),"Không thấy sheet"))</f>
        <v>0</v>
      </c>
      <c r="J32" s="25">
        <f>IF($B32="","",IFERROR(IF(INDIRECT("'"&amp;$B32&amp;"'!F6")="Đã xuất","HĐ "&amp;INDIRECT("'"&amp;$B32&amp;"'!F7"),"Chưa xuất"),"Không thấy sheet"))</f>
        <v>0</v>
      </c>
      <c r="K32" s="27">
        <f>IF($B32="","",IFERROR(IF(INDIRECT("'"&amp;$B32&amp;"'!F8")="","",INDIRECT("'"&amp;$B32&amp;"'!F8")),"Không thấy sheet"))</f>
        <v>0</v>
      </c>
      <c r="L32" s="28">
        <f>IF(B32="","",IFERROR(SUBSTITUTE(INDIRECT("'"&amp;$B32&amp;"'!A10"),"CẦN LÀM:  ",""),"Không thấy sheet"))</f>
        <v>0</v>
      </c>
      <c r="M32" s="25">
        <f>IF(AND(ISNUMBER(K32),ISNUMBER(H32)),IF(AND(H32&gt;0,TODAY()&gt;K32),TODAY()-K32,""),"")</f>
        <v>0</v>
      </c>
      <c r="O32" s="30"/>
      <c r="P32" s="31"/>
      <c r="Q32" s="32"/>
      <c r="R32" s="33"/>
      <c r="S32" s="34"/>
    </row>
    <row r="33" spans="1:19" x14ac:dyDescent="0.25">
      <c r="A33" s="20">
        <f>IF(B33="","",ROW()-12)</f>
        <v>0</v>
      </c>
      <c r="B33" s="21"/>
      <c r="C33" s="22">
        <f>IF($B33="","",IFERROR(IF(INDIRECT("'"&amp;$B33&amp;"'!C5")="","",INDIRECT("'"&amp;$B33&amp;"'!C5")),"Không thấy sheet"))</f>
        <v>0</v>
      </c>
      <c r="D33" s="23">
        <f>IF($B33="","",IFERROR(IF(INDIRECT("'"&amp;$B33&amp;"'!C6")="","",INDIRECT("'"&amp;$B33&amp;"'!C6")),"Không thấy sheet"))</f>
        <v>0</v>
      </c>
      <c r="E33" s="20">
        <f>IF($B33="","",IFERROR(IF(INDIRECT("'"&amp;$B33&amp;"'!C9")="",0,INDIRECT("'"&amp;$B33&amp;"'!C9")),"Không thấy sheet"))</f>
        <v>0</v>
      </c>
      <c r="F33" s="24">
        <f>IF($B33="","",IFERROR(IF(INDIRECT("'"&amp;$B33&amp;"'!L6")="",0,INDIRECT("'"&amp;$B33&amp;"'!L6")),"Không thấy sheet"))</f>
        <v>0</v>
      </c>
      <c r="G33" s="24">
        <f>IF($B33="","",IFERROR(IF(INDIRECT("'"&amp;$B33&amp;"'!L7")="",0,INDIRECT("'"&amp;$B33&amp;"'!L7")),"Không thấy sheet"))</f>
        <v>0</v>
      </c>
      <c r="H33" s="24">
        <f>IF($B33="","",IFERROR(IF(INDIRECT("'"&amp;$B33&amp;"'!L8")="",0,INDIRECT("'"&amp;$B33&amp;"'!L8")),"Không thấy sheet"))</f>
        <v>0</v>
      </c>
      <c r="I33" s="20">
        <f>IF($B33="","",IFERROR(IF(INDIRECT("'"&amp;$B33&amp;"'!F4")="","",INDIRECT("'"&amp;$B33&amp;"'!F4")),"Không thấy sheet"))</f>
        <v>0</v>
      </c>
      <c r="J33" s="20">
        <f>IF($B33="","",IFERROR(IF(INDIRECT("'"&amp;$B33&amp;"'!F6")="Đã xuất","HĐ "&amp;INDIRECT("'"&amp;$B33&amp;"'!F7"),"Chưa xuất"),"Không thấy sheet"))</f>
        <v>0</v>
      </c>
      <c r="K33" s="22">
        <f>IF($B33="","",IFERROR(IF(INDIRECT("'"&amp;$B33&amp;"'!F8")="","",INDIRECT("'"&amp;$B33&amp;"'!F8")),"Không thấy sheet"))</f>
        <v>0</v>
      </c>
      <c r="L33" s="23">
        <f>IF(B33="","",IFERROR(SUBSTITUTE(INDIRECT("'"&amp;$B33&amp;"'!A10"),"CẦN LÀM:  ",""),"Không thấy sheet"))</f>
        <v>0</v>
      </c>
      <c r="M33" s="20">
        <f>IF(AND(ISNUMBER(K33),ISNUMBER(H33)),IF(AND(H33&gt;0,TODAY()&gt;K33),TODAY()-K33,""),"")</f>
        <v>0</v>
      </c>
      <c r="O33" s="22"/>
      <c r="P33" s="21"/>
      <c r="Q33" s="24"/>
      <c r="R33" s="20"/>
      <c r="S33" s="23"/>
    </row>
    <row r="34" spans="1:19" x14ac:dyDescent="0.25">
      <c r="A34" s="25">
        <f>IF(B34="","",ROW()-12)</f>
        <v>0</v>
      </c>
      <c r="B34" s="26"/>
      <c r="C34" s="27">
        <f>IF($B34="","",IFERROR(IF(INDIRECT("'"&amp;$B34&amp;"'!C5")="","",INDIRECT("'"&amp;$B34&amp;"'!C5")),"Không thấy sheet"))</f>
        <v>0</v>
      </c>
      <c r="D34" s="28">
        <f>IF($B34="","",IFERROR(IF(INDIRECT("'"&amp;$B34&amp;"'!C6")="","",INDIRECT("'"&amp;$B34&amp;"'!C6")),"Không thấy sheet"))</f>
        <v>0</v>
      </c>
      <c r="E34" s="25">
        <f>IF($B34="","",IFERROR(IF(INDIRECT("'"&amp;$B34&amp;"'!C9")="",0,INDIRECT("'"&amp;$B34&amp;"'!C9")),"Không thấy sheet"))</f>
        <v>0</v>
      </c>
      <c r="F34" s="29">
        <f>IF($B34="","",IFERROR(IF(INDIRECT("'"&amp;$B34&amp;"'!L6")="",0,INDIRECT("'"&amp;$B34&amp;"'!L6")),"Không thấy sheet"))</f>
        <v>0</v>
      </c>
      <c r="G34" s="29">
        <f>IF($B34="","",IFERROR(IF(INDIRECT("'"&amp;$B34&amp;"'!L7")="",0,INDIRECT("'"&amp;$B34&amp;"'!L7")),"Không thấy sheet"))</f>
        <v>0</v>
      </c>
      <c r="H34" s="29">
        <f>IF($B34="","",IFERROR(IF(INDIRECT("'"&amp;$B34&amp;"'!L8")="",0,INDIRECT("'"&amp;$B34&amp;"'!L8")),"Không thấy sheet"))</f>
        <v>0</v>
      </c>
      <c r="I34" s="25">
        <f>IF($B34="","",IFERROR(IF(INDIRECT("'"&amp;$B34&amp;"'!F4")="","",INDIRECT("'"&amp;$B34&amp;"'!F4")),"Không thấy sheet"))</f>
        <v>0</v>
      </c>
      <c r="J34" s="25">
        <f>IF($B34="","",IFERROR(IF(INDIRECT("'"&amp;$B34&amp;"'!F6")="Đã xuất","HĐ "&amp;INDIRECT("'"&amp;$B34&amp;"'!F7"),"Chưa xuất"),"Không thấy sheet"))</f>
        <v>0</v>
      </c>
      <c r="K34" s="27">
        <f>IF($B34="","",IFERROR(IF(INDIRECT("'"&amp;$B34&amp;"'!F8")="","",INDIRECT("'"&amp;$B34&amp;"'!F8")),"Không thấy sheet"))</f>
        <v>0</v>
      </c>
      <c r="L34" s="28">
        <f>IF(B34="","",IFERROR(SUBSTITUTE(INDIRECT("'"&amp;$B34&amp;"'!A10"),"CẦN LÀM:  ",""),"Không thấy sheet"))</f>
        <v>0</v>
      </c>
      <c r="M34" s="25">
        <f>IF(AND(ISNUMBER(K34),ISNUMBER(H34)),IF(AND(H34&gt;0,TODAY()&gt;K34),TODAY()-K34,""),"")</f>
        <v>0</v>
      </c>
      <c r="O34" s="30"/>
      <c r="P34" s="31"/>
      <c r="Q34" s="32"/>
      <c r="R34" s="33"/>
      <c r="S34" s="34"/>
    </row>
    <row r="35" spans="1:19" x14ac:dyDescent="0.25">
      <c r="A35" s="20">
        <f>IF(B35="","",ROW()-12)</f>
        <v>0</v>
      </c>
      <c r="B35" s="21"/>
      <c r="C35" s="22">
        <f>IF($B35="","",IFERROR(IF(INDIRECT("'"&amp;$B35&amp;"'!C5")="","",INDIRECT("'"&amp;$B35&amp;"'!C5")),"Không thấy sheet"))</f>
        <v>0</v>
      </c>
      <c r="D35" s="23">
        <f>IF($B35="","",IFERROR(IF(INDIRECT("'"&amp;$B35&amp;"'!C6")="","",INDIRECT("'"&amp;$B35&amp;"'!C6")),"Không thấy sheet"))</f>
        <v>0</v>
      </c>
      <c r="E35" s="20">
        <f>IF($B35="","",IFERROR(IF(INDIRECT("'"&amp;$B35&amp;"'!C9")="",0,INDIRECT("'"&amp;$B35&amp;"'!C9")),"Không thấy sheet"))</f>
        <v>0</v>
      </c>
      <c r="F35" s="24">
        <f>IF($B35="","",IFERROR(IF(INDIRECT("'"&amp;$B35&amp;"'!L6")="",0,INDIRECT("'"&amp;$B35&amp;"'!L6")),"Không thấy sheet"))</f>
        <v>0</v>
      </c>
      <c r="G35" s="24">
        <f>IF($B35="","",IFERROR(IF(INDIRECT("'"&amp;$B35&amp;"'!L7")="",0,INDIRECT("'"&amp;$B35&amp;"'!L7")),"Không thấy sheet"))</f>
        <v>0</v>
      </c>
      <c r="H35" s="24">
        <f>IF($B35="","",IFERROR(IF(INDIRECT("'"&amp;$B35&amp;"'!L8")="",0,INDIRECT("'"&amp;$B35&amp;"'!L8")),"Không thấy sheet"))</f>
        <v>0</v>
      </c>
      <c r="I35" s="20">
        <f>IF($B35="","",IFERROR(IF(INDIRECT("'"&amp;$B35&amp;"'!F4")="","",INDIRECT("'"&amp;$B35&amp;"'!F4")),"Không thấy sheet"))</f>
        <v>0</v>
      </c>
      <c r="J35" s="20">
        <f>IF($B35="","",IFERROR(IF(INDIRECT("'"&amp;$B35&amp;"'!F6")="Đã xuất","HĐ "&amp;INDIRECT("'"&amp;$B35&amp;"'!F7"),"Chưa xuất"),"Không thấy sheet"))</f>
        <v>0</v>
      </c>
      <c r="K35" s="22">
        <f>IF($B35="","",IFERROR(IF(INDIRECT("'"&amp;$B35&amp;"'!F8")="","",INDIRECT("'"&amp;$B35&amp;"'!F8")),"Không thấy sheet"))</f>
        <v>0</v>
      </c>
      <c r="L35" s="23">
        <f>IF(B35="","",IFERROR(SUBSTITUTE(INDIRECT("'"&amp;$B35&amp;"'!A10"),"CẦN LÀM:  ",""),"Không thấy sheet"))</f>
        <v>0</v>
      </c>
      <c r="M35" s="20">
        <f>IF(AND(ISNUMBER(K35),ISNUMBER(H35)),IF(AND(H35&gt;0,TODAY()&gt;K35),TODAY()-K35,""),"")</f>
        <v>0</v>
      </c>
      <c r="O35" s="22"/>
      <c r="P35" s="21"/>
      <c r="Q35" s="24"/>
      <c r="R35" s="20"/>
      <c r="S35" s="23"/>
    </row>
    <row r="36" spans="1:19" x14ac:dyDescent="0.25">
      <c r="A36" s="25">
        <f>IF(B36="","",ROW()-12)</f>
        <v>0</v>
      </c>
      <c r="B36" s="26"/>
      <c r="C36" s="27">
        <f>IF($B36="","",IFERROR(IF(INDIRECT("'"&amp;$B36&amp;"'!C5")="","",INDIRECT("'"&amp;$B36&amp;"'!C5")),"Không thấy sheet"))</f>
        <v>0</v>
      </c>
      <c r="D36" s="28">
        <f>IF($B36="","",IFERROR(IF(INDIRECT("'"&amp;$B36&amp;"'!C6")="","",INDIRECT("'"&amp;$B36&amp;"'!C6")),"Không thấy sheet"))</f>
        <v>0</v>
      </c>
      <c r="E36" s="25">
        <f>IF($B36="","",IFERROR(IF(INDIRECT("'"&amp;$B36&amp;"'!C9")="",0,INDIRECT("'"&amp;$B36&amp;"'!C9")),"Không thấy sheet"))</f>
        <v>0</v>
      </c>
      <c r="F36" s="29">
        <f>IF($B36="","",IFERROR(IF(INDIRECT("'"&amp;$B36&amp;"'!L6")="",0,INDIRECT("'"&amp;$B36&amp;"'!L6")),"Không thấy sheet"))</f>
        <v>0</v>
      </c>
      <c r="G36" s="29">
        <f>IF($B36="","",IFERROR(IF(INDIRECT("'"&amp;$B36&amp;"'!L7")="",0,INDIRECT("'"&amp;$B36&amp;"'!L7")),"Không thấy sheet"))</f>
        <v>0</v>
      </c>
      <c r="H36" s="29">
        <f>IF($B36="","",IFERROR(IF(INDIRECT("'"&amp;$B36&amp;"'!L8")="",0,INDIRECT("'"&amp;$B36&amp;"'!L8")),"Không thấy sheet"))</f>
        <v>0</v>
      </c>
      <c r="I36" s="25">
        <f>IF($B36="","",IFERROR(IF(INDIRECT("'"&amp;$B36&amp;"'!F4")="","",INDIRECT("'"&amp;$B36&amp;"'!F4")),"Không thấy sheet"))</f>
        <v>0</v>
      </c>
      <c r="J36" s="25">
        <f>IF($B36="","",IFERROR(IF(INDIRECT("'"&amp;$B36&amp;"'!F6")="Đã xuất","HĐ "&amp;INDIRECT("'"&amp;$B36&amp;"'!F7"),"Chưa xuất"),"Không thấy sheet"))</f>
        <v>0</v>
      </c>
      <c r="K36" s="27">
        <f>IF($B36="","",IFERROR(IF(INDIRECT("'"&amp;$B36&amp;"'!F8")="","",INDIRECT("'"&amp;$B36&amp;"'!F8")),"Không thấy sheet"))</f>
        <v>0</v>
      </c>
      <c r="L36" s="28">
        <f>IF(B36="","",IFERROR(SUBSTITUTE(INDIRECT("'"&amp;$B36&amp;"'!A10"),"CẦN LÀM:  ",""),"Không thấy sheet"))</f>
        <v>0</v>
      </c>
      <c r="M36" s="25">
        <f>IF(AND(ISNUMBER(K36),ISNUMBER(H36)),IF(AND(H36&gt;0,TODAY()&gt;K36),TODAY()-K36,""),"")</f>
        <v>0</v>
      </c>
      <c r="O36" s="30"/>
      <c r="P36" s="31"/>
      <c r="Q36" s="32"/>
      <c r="R36" s="33"/>
      <c r="S36" s="34"/>
    </row>
    <row r="37" spans="1:19" x14ac:dyDescent="0.25">
      <c r="A37" s="20">
        <f>IF(B37="","",ROW()-12)</f>
        <v>0</v>
      </c>
      <c r="B37" s="21"/>
      <c r="C37" s="22">
        <f>IF($B37="","",IFERROR(IF(INDIRECT("'"&amp;$B37&amp;"'!C5")="","",INDIRECT("'"&amp;$B37&amp;"'!C5")),"Không thấy sheet"))</f>
        <v>0</v>
      </c>
      <c r="D37" s="23">
        <f>IF($B37="","",IFERROR(IF(INDIRECT("'"&amp;$B37&amp;"'!C6")="","",INDIRECT("'"&amp;$B37&amp;"'!C6")),"Không thấy sheet"))</f>
        <v>0</v>
      </c>
      <c r="E37" s="20">
        <f>IF($B37="","",IFERROR(IF(INDIRECT("'"&amp;$B37&amp;"'!C9")="",0,INDIRECT("'"&amp;$B37&amp;"'!C9")),"Không thấy sheet"))</f>
        <v>0</v>
      </c>
      <c r="F37" s="24">
        <f>IF($B37="","",IFERROR(IF(INDIRECT("'"&amp;$B37&amp;"'!L6")="",0,INDIRECT("'"&amp;$B37&amp;"'!L6")),"Không thấy sheet"))</f>
        <v>0</v>
      </c>
      <c r="G37" s="24">
        <f>IF($B37="","",IFERROR(IF(INDIRECT("'"&amp;$B37&amp;"'!L7")="",0,INDIRECT("'"&amp;$B37&amp;"'!L7")),"Không thấy sheet"))</f>
        <v>0</v>
      </c>
      <c r="H37" s="24">
        <f>IF($B37="","",IFERROR(IF(INDIRECT("'"&amp;$B37&amp;"'!L8")="",0,INDIRECT("'"&amp;$B37&amp;"'!L8")),"Không thấy sheet"))</f>
        <v>0</v>
      </c>
      <c r="I37" s="20">
        <f>IF($B37="","",IFERROR(IF(INDIRECT("'"&amp;$B37&amp;"'!F4")="","",INDIRECT("'"&amp;$B37&amp;"'!F4")),"Không thấy sheet"))</f>
        <v>0</v>
      </c>
      <c r="J37" s="20">
        <f>IF($B37="","",IFERROR(IF(INDIRECT("'"&amp;$B37&amp;"'!F6")="Đã xuất","HĐ "&amp;INDIRECT("'"&amp;$B37&amp;"'!F7"),"Chưa xuất"),"Không thấy sheet"))</f>
        <v>0</v>
      </c>
      <c r="K37" s="22">
        <f>IF($B37="","",IFERROR(IF(INDIRECT("'"&amp;$B37&amp;"'!F8")="","",INDIRECT("'"&amp;$B37&amp;"'!F8")),"Không thấy sheet"))</f>
        <v>0</v>
      </c>
      <c r="L37" s="23">
        <f>IF(B37="","",IFERROR(SUBSTITUTE(INDIRECT("'"&amp;$B37&amp;"'!A10"),"CẦN LÀM:  ",""),"Không thấy sheet"))</f>
        <v>0</v>
      </c>
      <c r="M37" s="20">
        <f>IF(AND(ISNUMBER(K37),ISNUMBER(H37)),IF(AND(H37&gt;0,TODAY()&gt;K37),TODAY()-K37,""),"")</f>
        <v>0</v>
      </c>
      <c r="O37" s="22"/>
      <c r="P37" s="21"/>
      <c r="Q37" s="24"/>
      <c r="R37" s="20"/>
      <c r="S37" s="23"/>
    </row>
    <row r="38" spans="1:19" x14ac:dyDescent="0.25">
      <c r="A38" s="25">
        <f>IF(B38="","",ROW()-12)</f>
        <v>0</v>
      </c>
      <c r="B38" s="26"/>
      <c r="C38" s="27">
        <f>IF($B38="","",IFERROR(IF(INDIRECT("'"&amp;$B38&amp;"'!C5")="","",INDIRECT("'"&amp;$B38&amp;"'!C5")),"Không thấy sheet"))</f>
        <v>0</v>
      </c>
      <c r="D38" s="28">
        <f>IF($B38="","",IFERROR(IF(INDIRECT("'"&amp;$B38&amp;"'!C6")="","",INDIRECT("'"&amp;$B38&amp;"'!C6")),"Không thấy sheet"))</f>
        <v>0</v>
      </c>
      <c r="E38" s="25">
        <f>IF($B38="","",IFERROR(IF(INDIRECT("'"&amp;$B38&amp;"'!C9")="",0,INDIRECT("'"&amp;$B38&amp;"'!C9")),"Không thấy sheet"))</f>
        <v>0</v>
      </c>
      <c r="F38" s="29">
        <f>IF($B38="","",IFERROR(IF(INDIRECT("'"&amp;$B38&amp;"'!L6")="",0,INDIRECT("'"&amp;$B38&amp;"'!L6")),"Không thấy sheet"))</f>
        <v>0</v>
      </c>
      <c r="G38" s="29">
        <f>IF($B38="","",IFERROR(IF(INDIRECT("'"&amp;$B38&amp;"'!L7")="",0,INDIRECT("'"&amp;$B38&amp;"'!L7")),"Không thấy sheet"))</f>
        <v>0</v>
      </c>
      <c r="H38" s="29">
        <f>IF($B38="","",IFERROR(IF(INDIRECT("'"&amp;$B38&amp;"'!L8")="",0,INDIRECT("'"&amp;$B38&amp;"'!L8")),"Không thấy sheet"))</f>
        <v>0</v>
      </c>
      <c r="I38" s="25">
        <f>IF($B38="","",IFERROR(IF(INDIRECT("'"&amp;$B38&amp;"'!F4")="","",INDIRECT("'"&amp;$B38&amp;"'!F4")),"Không thấy sheet"))</f>
        <v>0</v>
      </c>
      <c r="J38" s="25">
        <f>IF($B38="","",IFERROR(IF(INDIRECT("'"&amp;$B38&amp;"'!F6")="Đã xuất","HĐ "&amp;INDIRECT("'"&amp;$B38&amp;"'!F7"),"Chưa xuất"),"Không thấy sheet"))</f>
        <v>0</v>
      </c>
      <c r="K38" s="27">
        <f>IF($B38="","",IFERROR(IF(INDIRECT("'"&amp;$B38&amp;"'!F8")="","",INDIRECT("'"&amp;$B38&amp;"'!F8")),"Không thấy sheet"))</f>
        <v>0</v>
      </c>
      <c r="L38" s="28">
        <f>IF(B38="","",IFERROR(SUBSTITUTE(INDIRECT("'"&amp;$B38&amp;"'!A10"),"CẦN LÀM:  ",""),"Không thấy sheet"))</f>
        <v>0</v>
      </c>
      <c r="M38" s="25">
        <f>IF(AND(ISNUMBER(K38),ISNUMBER(H38)),IF(AND(H38&gt;0,TODAY()&gt;K38),TODAY()-K38,""),"")</f>
        <v>0</v>
      </c>
      <c r="O38" s="30"/>
      <c r="P38" s="31"/>
      <c r="Q38" s="32"/>
      <c r="R38" s="33"/>
      <c r="S38" s="34"/>
    </row>
    <row r="39" spans="1:19" x14ac:dyDescent="0.25">
      <c r="A39" s="20">
        <f>IF(B39="","",ROW()-12)</f>
        <v>0</v>
      </c>
      <c r="B39" s="21"/>
      <c r="C39" s="22">
        <f>IF($B39="","",IFERROR(IF(INDIRECT("'"&amp;$B39&amp;"'!C5")="","",INDIRECT("'"&amp;$B39&amp;"'!C5")),"Không thấy sheet"))</f>
        <v>0</v>
      </c>
      <c r="D39" s="23">
        <f>IF($B39="","",IFERROR(IF(INDIRECT("'"&amp;$B39&amp;"'!C6")="","",INDIRECT("'"&amp;$B39&amp;"'!C6")),"Không thấy sheet"))</f>
        <v>0</v>
      </c>
      <c r="E39" s="20">
        <f>IF($B39="","",IFERROR(IF(INDIRECT("'"&amp;$B39&amp;"'!C9")="",0,INDIRECT("'"&amp;$B39&amp;"'!C9")),"Không thấy sheet"))</f>
        <v>0</v>
      </c>
      <c r="F39" s="24">
        <f>IF($B39="","",IFERROR(IF(INDIRECT("'"&amp;$B39&amp;"'!L6")="",0,INDIRECT("'"&amp;$B39&amp;"'!L6")),"Không thấy sheet"))</f>
        <v>0</v>
      </c>
      <c r="G39" s="24">
        <f>IF($B39="","",IFERROR(IF(INDIRECT("'"&amp;$B39&amp;"'!L7")="",0,INDIRECT("'"&amp;$B39&amp;"'!L7")),"Không thấy sheet"))</f>
        <v>0</v>
      </c>
      <c r="H39" s="24">
        <f>IF($B39="","",IFERROR(IF(INDIRECT("'"&amp;$B39&amp;"'!L8")="",0,INDIRECT("'"&amp;$B39&amp;"'!L8")),"Không thấy sheet"))</f>
        <v>0</v>
      </c>
      <c r="I39" s="20">
        <f>IF($B39="","",IFERROR(IF(INDIRECT("'"&amp;$B39&amp;"'!F4")="","",INDIRECT("'"&amp;$B39&amp;"'!F4")),"Không thấy sheet"))</f>
        <v>0</v>
      </c>
      <c r="J39" s="20">
        <f>IF($B39="","",IFERROR(IF(INDIRECT("'"&amp;$B39&amp;"'!F6")="Đã xuất","HĐ "&amp;INDIRECT("'"&amp;$B39&amp;"'!F7"),"Chưa xuất"),"Không thấy sheet"))</f>
        <v>0</v>
      </c>
      <c r="K39" s="22">
        <f>IF($B39="","",IFERROR(IF(INDIRECT("'"&amp;$B39&amp;"'!F8")="","",INDIRECT("'"&amp;$B39&amp;"'!F8")),"Không thấy sheet"))</f>
        <v>0</v>
      </c>
      <c r="L39" s="23">
        <f>IF(B39="","",IFERROR(SUBSTITUTE(INDIRECT("'"&amp;$B39&amp;"'!A10"),"CẦN LÀM:  ",""),"Không thấy sheet"))</f>
        <v>0</v>
      </c>
      <c r="M39" s="20">
        <f>IF(AND(ISNUMBER(K39),ISNUMBER(H39)),IF(AND(H39&gt;0,TODAY()&gt;K39),TODAY()-K39,""),"")</f>
        <v>0</v>
      </c>
      <c r="O39" s="22"/>
      <c r="P39" s="21"/>
      <c r="Q39" s="24"/>
      <c r="R39" s="20"/>
      <c r="S39" s="23"/>
    </row>
    <row r="40" spans="1:19" x14ac:dyDescent="0.25">
      <c r="A40" s="25">
        <f>IF(B40="","",ROW()-12)</f>
        <v>0</v>
      </c>
      <c r="B40" s="26"/>
      <c r="C40" s="27">
        <f>IF($B40="","",IFERROR(IF(INDIRECT("'"&amp;$B40&amp;"'!C5")="","",INDIRECT("'"&amp;$B40&amp;"'!C5")),"Không thấy sheet"))</f>
        <v>0</v>
      </c>
      <c r="D40" s="28">
        <f>IF($B40="","",IFERROR(IF(INDIRECT("'"&amp;$B40&amp;"'!C6")="","",INDIRECT("'"&amp;$B40&amp;"'!C6")),"Không thấy sheet"))</f>
        <v>0</v>
      </c>
      <c r="E40" s="25">
        <f>IF($B40="","",IFERROR(IF(INDIRECT("'"&amp;$B40&amp;"'!C9")="",0,INDIRECT("'"&amp;$B40&amp;"'!C9")),"Không thấy sheet"))</f>
        <v>0</v>
      </c>
      <c r="F40" s="29">
        <f>IF($B40="","",IFERROR(IF(INDIRECT("'"&amp;$B40&amp;"'!L6")="",0,INDIRECT("'"&amp;$B40&amp;"'!L6")),"Không thấy sheet"))</f>
        <v>0</v>
      </c>
      <c r="G40" s="29">
        <f>IF($B40="","",IFERROR(IF(INDIRECT("'"&amp;$B40&amp;"'!L7")="",0,INDIRECT("'"&amp;$B40&amp;"'!L7")),"Không thấy sheet"))</f>
        <v>0</v>
      </c>
      <c r="H40" s="29">
        <f>IF($B40="","",IFERROR(IF(INDIRECT("'"&amp;$B40&amp;"'!L8")="",0,INDIRECT("'"&amp;$B40&amp;"'!L8")),"Không thấy sheet"))</f>
        <v>0</v>
      </c>
      <c r="I40" s="25">
        <f>IF($B40="","",IFERROR(IF(INDIRECT("'"&amp;$B40&amp;"'!F4")="","",INDIRECT("'"&amp;$B40&amp;"'!F4")),"Không thấy sheet"))</f>
        <v>0</v>
      </c>
      <c r="J40" s="25">
        <f>IF($B40="","",IFERROR(IF(INDIRECT("'"&amp;$B40&amp;"'!F6")="Đã xuất","HĐ "&amp;INDIRECT("'"&amp;$B40&amp;"'!F7"),"Chưa xuất"),"Không thấy sheet"))</f>
        <v>0</v>
      </c>
      <c r="K40" s="27">
        <f>IF($B40="","",IFERROR(IF(INDIRECT("'"&amp;$B40&amp;"'!F8")="","",INDIRECT("'"&amp;$B40&amp;"'!F8")),"Không thấy sheet"))</f>
        <v>0</v>
      </c>
      <c r="L40" s="28">
        <f>IF(B40="","",IFERROR(SUBSTITUTE(INDIRECT("'"&amp;$B40&amp;"'!A10"),"CẦN LÀM:  ",""),"Không thấy sheet"))</f>
        <v>0</v>
      </c>
      <c r="M40" s="25">
        <f>IF(AND(ISNUMBER(K40),ISNUMBER(H40)),IF(AND(H40&gt;0,TODAY()&gt;K40),TODAY()-K40,""),"")</f>
        <v>0</v>
      </c>
      <c r="O40" s="30"/>
      <c r="P40" s="31"/>
      <c r="Q40" s="32"/>
      <c r="R40" s="33"/>
      <c r="S40" s="34"/>
    </row>
    <row r="41" spans="1:19" x14ac:dyDescent="0.25">
      <c r="A41" s="20">
        <f>IF(B41="","",ROW()-12)</f>
        <v>0</v>
      </c>
      <c r="B41" s="21"/>
      <c r="C41" s="22">
        <f>IF($B41="","",IFERROR(IF(INDIRECT("'"&amp;$B41&amp;"'!C5")="","",INDIRECT("'"&amp;$B41&amp;"'!C5")),"Không thấy sheet"))</f>
        <v>0</v>
      </c>
      <c r="D41" s="23">
        <f>IF($B41="","",IFERROR(IF(INDIRECT("'"&amp;$B41&amp;"'!C6")="","",INDIRECT("'"&amp;$B41&amp;"'!C6")),"Không thấy sheet"))</f>
        <v>0</v>
      </c>
      <c r="E41" s="20">
        <f>IF($B41="","",IFERROR(IF(INDIRECT("'"&amp;$B41&amp;"'!C9")="",0,INDIRECT("'"&amp;$B41&amp;"'!C9")),"Không thấy sheet"))</f>
        <v>0</v>
      </c>
      <c r="F41" s="24">
        <f>IF($B41="","",IFERROR(IF(INDIRECT("'"&amp;$B41&amp;"'!L6")="",0,INDIRECT("'"&amp;$B41&amp;"'!L6")),"Không thấy sheet"))</f>
        <v>0</v>
      </c>
      <c r="G41" s="24">
        <f>IF($B41="","",IFERROR(IF(INDIRECT("'"&amp;$B41&amp;"'!L7")="",0,INDIRECT("'"&amp;$B41&amp;"'!L7")),"Không thấy sheet"))</f>
        <v>0</v>
      </c>
      <c r="H41" s="24">
        <f>IF($B41="","",IFERROR(IF(INDIRECT("'"&amp;$B41&amp;"'!L8")="",0,INDIRECT("'"&amp;$B41&amp;"'!L8")),"Không thấy sheet"))</f>
        <v>0</v>
      </c>
      <c r="I41" s="20">
        <f>IF($B41="","",IFERROR(IF(INDIRECT("'"&amp;$B41&amp;"'!F4")="","",INDIRECT("'"&amp;$B41&amp;"'!F4")),"Không thấy sheet"))</f>
        <v>0</v>
      </c>
      <c r="J41" s="20">
        <f>IF($B41="","",IFERROR(IF(INDIRECT("'"&amp;$B41&amp;"'!F6")="Đã xuất","HĐ "&amp;INDIRECT("'"&amp;$B41&amp;"'!F7"),"Chưa xuất"),"Không thấy sheet"))</f>
        <v>0</v>
      </c>
      <c r="K41" s="22">
        <f>IF($B41="","",IFERROR(IF(INDIRECT("'"&amp;$B41&amp;"'!F8")="","",INDIRECT("'"&amp;$B41&amp;"'!F8")),"Không thấy sheet"))</f>
        <v>0</v>
      </c>
      <c r="L41" s="23">
        <f>IF(B41="","",IFERROR(SUBSTITUTE(INDIRECT("'"&amp;$B41&amp;"'!A10"),"CẦN LÀM:  ",""),"Không thấy sheet"))</f>
        <v>0</v>
      </c>
      <c r="M41" s="20">
        <f>IF(AND(ISNUMBER(K41),ISNUMBER(H41)),IF(AND(H41&gt;0,TODAY()&gt;K41),TODAY()-K41,""),"")</f>
        <v>0</v>
      </c>
      <c r="O41" s="22"/>
      <c r="P41" s="21"/>
      <c r="Q41" s="24"/>
      <c r="R41" s="20"/>
      <c r="S41" s="23"/>
    </row>
    <row r="42" spans="1:19" x14ac:dyDescent="0.25">
      <c r="A42" s="25">
        <f>IF(B42="","",ROW()-12)</f>
        <v>0</v>
      </c>
      <c r="B42" s="26"/>
      <c r="C42" s="27">
        <f>IF($B42="","",IFERROR(IF(INDIRECT("'"&amp;$B42&amp;"'!C5")="","",INDIRECT("'"&amp;$B42&amp;"'!C5")),"Không thấy sheet"))</f>
        <v>0</v>
      </c>
      <c r="D42" s="28">
        <f>IF($B42="","",IFERROR(IF(INDIRECT("'"&amp;$B42&amp;"'!C6")="","",INDIRECT("'"&amp;$B42&amp;"'!C6")),"Không thấy sheet"))</f>
        <v>0</v>
      </c>
      <c r="E42" s="25">
        <f>IF($B42="","",IFERROR(IF(INDIRECT("'"&amp;$B42&amp;"'!C9")="",0,INDIRECT("'"&amp;$B42&amp;"'!C9")),"Không thấy sheet"))</f>
        <v>0</v>
      </c>
      <c r="F42" s="29">
        <f>IF($B42="","",IFERROR(IF(INDIRECT("'"&amp;$B42&amp;"'!L6")="",0,INDIRECT("'"&amp;$B42&amp;"'!L6")),"Không thấy sheet"))</f>
        <v>0</v>
      </c>
      <c r="G42" s="29">
        <f>IF($B42="","",IFERROR(IF(INDIRECT("'"&amp;$B42&amp;"'!L7")="",0,INDIRECT("'"&amp;$B42&amp;"'!L7")),"Không thấy sheet"))</f>
        <v>0</v>
      </c>
      <c r="H42" s="29">
        <f>IF($B42="","",IFERROR(IF(INDIRECT("'"&amp;$B42&amp;"'!L8")="",0,INDIRECT("'"&amp;$B42&amp;"'!L8")),"Không thấy sheet"))</f>
        <v>0</v>
      </c>
      <c r="I42" s="25">
        <f>IF($B42="","",IFERROR(IF(INDIRECT("'"&amp;$B42&amp;"'!F4")="","",INDIRECT("'"&amp;$B42&amp;"'!F4")),"Không thấy sheet"))</f>
        <v>0</v>
      </c>
      <c r="J42" s="25">
        <f>IF($B42="","",IFERROR(IF(INDIRECT("'"&amp;$B42&amp;"'!F6")="Đã xuất","HĐ "&amp;INDIRECT("'"&amp;$B42&amp;"'!F7"),"Chưa xuất"),"Không thấy sheet"))</f>
        <v>0</v>
      </c>
      <c r="K42" s="27">
        <f>IF($B42="","",IFERROR(IF(INDIRECT("'"&amp;$B42&amp;"'!F8")="","",INDIRECT("'"&amp;$B42&amp;"'!F8")),"Không thấy sheet"))</f>
        <v>0</v>
      </c>
      <c r="L42" s="28">
        <f>IF(B42="","",IFERROR(SUBSTITUTE(INDIRECT("'"&amp;$B42&amp;"'!A10"),"CẦN LÀM:  ",""),"Không thấy sheet"))</f>
        <v>0</v>
      </c>
      <c r="M42" s="25">
        <f>IF(AND(ISNUMBER(K42),ISNUMBER(H42)),IF(AND(H42&gt;0,TODAY()&gt;K42),TODAY()-K42,""),"")</f>
        <v>0</v>
      </c>
      <c r="O42" s="30"/>
      <c r="P42" s="31"/>
      <c r="Q42" s="32"/>
      <c r="R42" s="33"/>
      <c r="S42" s="34"/>
    </row>
    <row r="43" spans="1:19" x14ac:dyDescent="0.25">
      <c r="A43" s="20">
        <f>IF(B43="","",ROW()-12)</f>
        <v>0</v>
      </c>
      <c r="B43" s="21"/>
      <c r="C43" s="22">
        <f>IF($B43="","",IFERROR(IF(INDIRECT("'"&amp;$B43&amp;"'!C5")="","",INDIRECT("'"&amp;$B43&amp;"'!C5")),"Không thấy sheet"))</f>
        <v>0</v>
      </c>
      <c r="D43" s="23">
        <f>IF($B43="","",IFERROR(IF(INDIRECT("'"&amp;$B43&amp;"'!C6")="","",INDIRECT("'"&amp;$B43&amp;"'!C6")),"Không thấy sheet"))</f>
        <v>0</v>
      </c>
      <c r="E43" s="20">
        <f>IF($B43="","",IFERROR(IF(INDIRECT("'"&amp;$B43&amp;"'!C9")="",0,INDIRECT("'"&amp;$B43&amp;"'!C9")),"Không thấy sheet"))</f>
        <v>0</v>
      </c>
      <c r="F43" s="24">
        <f>IF($B43="","",IFERROR(IF(INDIRECT("'"&amp;$B43&amp;"'!L6")="",0,INDIRECT("'"&amp;$B43&amp;"'!L6")),"Không thấy sheet"))</f>
        <v>0</v>
      </c>
      <c r="G43" s="24">
        <f>IF($B43="","",IFERROR(IF(INDIRECT("'"&amp;$B43&amp;"'!L7")="",0,INDIRECT("'"&amp;$B43&amp;"'!L7")),"Không thấy sheet"))</f>
        <v>0</v>
      </c>
      <c r="H43" s="24">
        <f>IF($B43="","",IFERROR(IF(INDIRECT("'"&amp;$B43&amp;"'!L8")="",0,INDIRECT("'"&amp;$B43&amp;"'!L8")),"Không thấy sheet"))</f>
        <v>0</v>
      </c>
      <c r="I43" s="20">
        <f>IF($B43="","",IFERROR(IF(INDIRECT("'"&amp;$B43&amp;"'!F4")="","",INDIRECT("'"&amp;$B43&amp;"'!F4")),"Không thấy sheet"))</f>
        <v>0</v>
      </c>
      <c r="J43" s="20">
        <f>IF($B43="","",IFERROR(IF(INDIRECT("'"&amp;$B43&amp;"'!F6")="Đã xuất","HĐ "&amp;INDIRECT("'"&amp;$B43&amp;"'!F7"),"Chưa xuất"),"Không thấy sheet"))</f>
        <v>0</v>
      </c>
      <c r="K43" s="22">
        <f>IF($B43="","",IFERROR(IF(INDIRECT("'"&amp;$B43&amp;"'!F8")="","",INDIRECT("'"&amp;$B43&amp;"'!F8")),"Không thấy sheet"))</f>
        <v>0</v>
      </c>
      <c r="L43" s="23">
        <f>IF(B43="","",IFERROR(SUBSTITUTE(INDIRECT("'"&amp;$B43&amp;"'!A10"),"CẦN LÀM:  ",""),"Không thấy sheet"))</f>
        <v>0</v>
      </c>
      <c r="M43" s="20">
        <f>IF(AND(ISNUMBER(K43),ISNUMBER(H43)),IF(AND(H43&gt;0,TODAY()&gt;K43),TODAY()-K43,""),"")</f>
        <v>0</v>
      </c>
      <c r="O43" s="22"/>
      <c r="P43" s="21"/>
      <c r="Q43" s="24"/>
      <c r="R43" s="20"/>
      <c r="S43" s="23"/>
    </row>
    <row r="44" spans="1:19" x14ac:dyDescent="0.25">
      <c r="A44" s="25">
        <f>IF(B44="","",ROW()-12)</f>
        <v>0</v>
      </c>
      <c r="B44" s="26"/>
      <c r="C44" s="27">
        <f>IF($B44="","",IFERROR(IF(INDIRECT("'"&amp;$B44&amp;"'!C5")="","",INDIRECT("'"&amp;$B44&amp;"'!C5")),"Không thấy sheet"))</f>
        <v>0</v>
      </c>
      <c r="D44" s="28">
        <f>IF($B44="","",IFERROR(IF(INDIRECT("'"&amp;$B44&amp;"'!C6")="","",INDIRECT("'"&amp;$B44&amp;"'!C6")),"Không thấy sheet"))</f>
        <v>0</v>
      </c>
      <c r="E44" s="25">
        <f>IF($B44="","",IFERROR(IF(INDIRECT("'"&amp;$B44&amp;"'!C9")="",0,INDIRECT("'"&amp;$B44&amp;"'!C9")),"Không thấy sheet"))</f>
        <v>0</v>
      </c>
      <c r="F44" s="29">
        <f>IF($B44="","",IFERROR(IF(INDIRECT("'"&amp;$B44&amp;"'!L6")="",0,INDIRECT("'"&amp;$B44&amp;"'!L6")),"Không thấy sheet"))</f>
        <v>0</v>
      </c>
      <c r="G44" s="29">
        <f>IF($B44="","",IFERROR(IF(INDIRECT("'"&amp;$B44&amp;"'!L7")="",0,INDIRECT("'"&amp;$B44&amp;"'!L7")),"Không thấy sheet"))</f>
        <v>0</v>
      </c>
      <c r="H44" s="29">
        <f>IF($B44="","",IFERROR(IF(INDIRECT("'"&amp;$B44&amp;"'!L8")="",0,INDIRECT("'"&amp;$B44&amp;"'!L8")),"Không thấy sheet"))</f>
        <v>0</v>
      </c>
      <c r="I44" s="25">
        <f>IF($B44="","",IFERROR(IF(INDIRECT("'"&amp;$B44&amp;"'!F4")="","",INDIRECT("'"&amp;$B44&amp;"'!F4")),"Không thấy sheet"))</f>
        <v>0</v>
      </c>
      <c r="J44" s="25">
        <f>IF($B44="","",IFERROR(IF(INDIRECT("'"&amp;$B44&amp;"'!F6")="Đã xuất","HĐ "&amp;INDIRECT("'"&amp;$B44&amp;"'!F7"),"Chưa xuất"),"Không thấy sheet"))</f>
        <v>0</v>
      </c>
      <c r="K44" s="27">
        <f>IF($B44="","",IFERROR(IF(INDIRECT("'"&amp;$B44&amp;"'!F8")="","",INDIRECT("'"&amp;$B44&amp;"'!F8")),"Không thấy sheet"))</f>
        <v>0</v>
      </c>
      <c r="L44" s="28">
        <f>IF(B44="","",IFERROR(SUBSTITUTE(INDIRECT("'"&amp;$B44&amp;"'!A10"),"CẦN LÀM:  ",""),"Không thấy sheet"))</f>
        <v>0</v>
      </c>
      <c r="M44" s="25">
        <f>IF(AND(ISNUMBER(K44),ISNUMBER(H44)),IF(AND(H44&gt;0,TODAY()&gt;K44),TODAY()-K44,""),"")</f>
        <v>0</v>
      </c>
      <c r="O44" s="30"/>
      <c r="P44" s="31"/>
      <c r="Q44" s="32"/>
      <c r="R44" s="33"/>
      <c r="S44" s="34"/>
    </row>
    <row r="45" spans="1:19" x14ac:dyDescent="0.25">
      <c r="A45" s="20">
        <f>IF(B45="","",ROW()-12)</f>
        <v>0</v>
      </c>
      <c r="B45" s="21"/>
      <c r="C45" s="22">
        <f>IF($B45="","",IFERROR(IF(INDIRECT("'"&amp;$B45&amp;"'!C5")="","",INDIRECT("'"&amp;$B45&amp;"'!C5")),"Không thấy sheet"))</f>
        <v>0</v>
      </c>
      <c r="D45" s="23">
        <f>IF($B45="","",IFERROR(IF(INDIRECT("'"&amp;$B45&amp;"'!C6")="","",INDIRECT("'"&amp;$B45&amp;"'!C6")),"Không thấy sheet"))</f>
        <v>0</v>
      </c>
      <c r="E45" s="20">
        <f>IF($B45="","",IFERROR(IF(INDIRECT("'"&amp;$B45&amp;"'!C9")="",0,INDIRECT("'"&amp;$B45&amp;"'!C9")),"Không thấy sheet"))</f>
        <v>0</v>
      </c>
      <c r="F45" s="24">
        <f>IF($B45="","",IFERROR(IF(INDIRECT("'"&amp;$B45&amp;"'!L6")="",0,INDIRECT("'"&amp;$B45&amp;"'!L6")),"Không thấy sheet"))</f>
        <v>0</v>
      </c>
      <c r="G45" s="24">
        <f>IF($B45="","",IFERROR(IF(INDIRECT("'"&amp;$B45&amp;"'!L7")="",0,INDIRECT("'"&amp;$B45&amp;"'!L7")),"Không thấy sheet"))</f>
        <v>0</v>
      </c>
      <c r="H45" s="24">
        <f>IF($B45="","",IFERROR(IF(INDIRECT("'"&amp;$B45&amp;"'!L8")="",0,INDIRECT("'"&amp;$B45&amp;"'!L8")),"Không thấy sheet"))</f>
        <v>0</v>
      </c>
      <c r="I45" s="20">
        <f>IF($B45="","",IFERROR(IF(INDIRECT("'"&amp;$B45&amp;"'!F4")="","",INDIRECT("'"&amp;$B45&amp;"'!F4")),"Không thấy sheet"))</f>
        <v>0</v>
      </c>
      <c r="J45" s="20">
        <f>IF($B45="","",IFERROR(IF(INDIRECT("'"&amp;$B45&amp;"'!F6")="Đã xuất","HĐ "&amp;INDIRECT("'"&amp;$B45&amp;"'!F7"),"Chưa xuất"),"Không thấy sheet"))</f>
        <v>0</v>
      </c>
      <c r="K45" s="22">
        <f>IF($B45="","",IFERROR(IF(INDIRECT("'"&amp;$B45&amp;"'!F8")="","",INDIRECT("'"&amp;$B45&amp;"'!F8")),"Không thấy sheet"))</f>
        <v>0</v>
      </c>
      <c r="L45" s="23">
        <f>IF(B45="","",IFERROR(SUBSTITUTE(INDIRECT("'"&amp;$B45&amp;"'!A10"),"CẦN LÀM:  ",""),"Không thấy sheet"))</f>
        <v>0</v>
      </c>
      <c r="M45" s="20">
        <f>IF(AND(ISNUMBER(K45),ISNUMBER(H45)),IF(AND(H45&gt;0,TODAY()&gt;K45),TODAY()-K45,""),"")</f>
        <v>0</v>
      </c>
      <c r="O45" s="22"/>
      <c r="P45" s="21"/>
      <c r="Q45" s="24"/>
      <c r="R45" s="20"/>
      <c r="S45" s="23"/>
    </row>
    <row r="46" spans="1:19" x14ac:dyDescent="0.25">
      <c r="A46" s="25">
        <f>IF(B46="","",ROW()-12)</f>
        <v>0</v>
      </c>
      <c r="B46" s="26"/>
      <c r="C46" s="27">
        <f>IF($B46="","",IFERROR(IF(INDIRECT("'"&amp;$B46&amp;"'!C5")="","",INDIRECT("'"&amp;$B46&amp;"'!C5")),"Không thấy sheet"))</f>
        <v>0</v>
      </c>
      <c r="D46" s="28">
        <f>IF($B46="","",IFERROR(IF(INDIRECT("'"&amp;$B46&amp;"'!C6")="","",INDIRECT("'"&amp;$B46&amp;"'!C6")),"Không thấy sheet"))</f>
        <v>0</v>
      </c>
      <c r="E46" s="25">
        <f>IF($B46="","",IFERROR(IF(INDIRECT("'"&amp;$B46&amp;"'!C9")="",0,INDIRECT("'"&amp;$B46&amp;"'!C9")),"Không thấy sheet"))</f>
        <v>0</v>
      </c>
      <c r="F46" s="29">
        <f>IF($B46="","",IFERROR(IF(INDIRECT("'"&amp;$B46&amp;"'!L6")="",0,INDIRECT("'"&amp;$B46&amp;"'!L6")),"Không thấy sheet"))</f>
        <v>0</v>
      </c>
      <c r="G46" s="29">
        <f>IF($B46="","",IFERROR(IF(INDIRECT("'"&amp;$B46&amp;"'!L7")="",0,INDIRECT("'"&amp;$B46&amp;"'!L7")),"Không thấy sheet"))</f>
        <v>0</v>
      </c>
      <c r="H46" s="29">
        <f>IF($B46="","",IFERROR(IF(INDIRECT("'"&amp;$B46&amp;"'!L8")="",0,INDIRECT("'"&amp;$B46&amp;"'!L8")),"Không thấy sheet"))</f>
        <v>0</v>
      </c>
      <c r="I46" s="25">
        <f>IF($B46="","",IFERROR(IF(INDIRECT("'"&amp;$B46&amp;"'!F4")="","",INDIRECT("'"&amp;$B46&amp;"'!F4")),"Không thấy sheet"))</f>
        <v>0</v>
      </c>
      <c r="J46" s="25">
        <f>IF($B46="","",IFERROR(IF(INDIRECT("'"&amp;$B46&amp;"'!F6")="Đã xuất","HĐ "&amp;INDIRECT("'"&amp;$B46&amp;"'!F7"),"Chưa xuất"),"Không thấy sheet"))</f>
        <v>0</v>
      </c>
      <c r="K46" s="27">
        <f>IF($B46="","",IFERROR(IF(INDIRECT("'"&amp;$B46&amp;"'!F8")="","",INDIRECT("'"&amp;$B46&amp;"'!F8")),"Không thấy sheet"))</f>
        <v>0</v>
      </c>
      <c r="L46" s="28">
        <f>IF(B46="","",IFERROR(SUBSTITUTE(INDIRECT("'"&amp;$B46&amp;"'!A10"),"CẦN LÀM:  ",""),"Không thấy sheet"))</f>
        <v>0</v>
      </c>
      <c r="M46" s="25">
        <f>IF(AND(ISNUMBER(K46),ISNUMBER(H46)),IF(AND(H46&gt;0,TODAY()&gt;K46),TODAY()-K46,""),"")</f>
        <v>0</v>
      </c>
      <c r="O46" s="30"/>
      <c r="P46" s="31"/>
      <c r="Q46" s="32"/>
      <c r="R46" s="33"/>
      <c r="S46" s="34"/>
    </row>
    <row r="47" spans="1:19" x14ac:dyDescent="0.25">
      <c r="A47" s="20">
        <f>IF(B47="","",ROW()-12)</f>
        <v>0</v>
      </c>
      <c r="B47" s="21"/>
      <c r="C47" s="22">
        <f>IF($B47="","",IFERROR(IF(INDIRECT("'"&amp;$B47&amp;"'!C5")="","",INDIRECT("'"&amp;$B47&amp;"'!C5")),"Không thấy sheet"))</f>
        <v>0</v>
      </c>
      <c r="D47" s="23">
        <f>IF($B47="","",IFERROR(IF(INDIRECT("'"&amp;$B47&amp;"'!C6")="","",INDIRECT("'"&amp;$B47&amp;"'!C6")),"Không thấy sheet"))</f>
        <v>0</v>
      </c>
      <c r="E47" s="20">
        <f>IF($B47="","",IFERROR(IF(INDIRECT("'"&amp;$B47&amp;"'!C9")="",0,INDIRECT("'"&amp;$B47&amp;"'!C9")),"Không thấy sheet"))</f>
        <v>0</v>
      </c>
      <c r="F47" s="24">
        <f>IF($B47="","",IFERROR(IF(INDIRECT("'"&amp;$B47&amp;"'!L6")="",0,INDIRECT("'"&amp;$B47&amp;"'!L6")),"Không thấy sheet"))</f>
        <v>0</v>
      </c>
      <c r="G47" s="24">
        <f>IF($B47="","",IFERROR(IF(INDIRECT("'"&amp;$B47&amp;"'!L7")="",0,INDIRECT("'"&amp;$B47&amp;"'!L7")),"Không thấy sheet"))</f>
        <v>0</v>
      </c>
      <c r="H47" s="24">
        <f>IF($B47="","",IFERROR(IF(INDIRECT("'"&amp;$B47&amp;"'!L8")="",0,INDIRECT("'"&amp;$B47&amp;"'!L8")),"Không thấy sheet"))</f>
        <v>0</v>
      </c>
      <c r="I47" s="20">
        <f>IF($B47="","",IFERROR(IF(INDIRECT("'"&amp;$B47&amp;"'!F4")="","",INDIRECT("'"&amp;$B47&amp;"'!F4")),"Không thấy sheet"))</f>
        <v>0</v>
      </c>
      <c r="J47" s="20">
        <f>IF($B47="","",IFERROR(IF(INDIRECT("'"&amp;$B47&amp;"'!F6")="Đã xuất","HĐ "&amp;INDIRECT("'"&amp;$B47&amp;"'!F7"),"Chưa xuất"),"Không thấy sheet"))</f>
        <v>0</v>
      </c>
      <c r="K47" s="22">
        <f>IF($B47="","",IFERROR(IF(INDIRECT("'"&amp;$B47&amp;"'!F8")="","",INDIRECT("'"&amp;$B47&amp;"'!F8")),"Không thấy sheet"))</f>
        <v>0</v>
      </c>
      <c r="L47" s="23">
        <f>IF(B47="","",IFERROR(SUBSTITUTE(INDIRECT("'"&amp;$B47&amp;"'!A10"),"CẦN LÀM:  ",""),"Không thấy sheet"))</f>
        <v>0</v>
      </c>
      <c r="M47" s="20">
        <f>IF(AND(ISNUMBER(K47),ISNUMBER(H47)),IF(AND(H47&gt;0,TODAY()&gt;K47),TODAY()-K47,""),"")</f>
        <v>0</v>
      </c>
      <c r="O47" s="22"/>
      <c r="P47" s="21"/>
      <c r="Q47" s="24"/>
      <c r="R47" s="20"/>
      <c r="S47" s="23"/>
    </row>
    <row r="48" spans="1:19" x14ac:dyDescent="0.25">
      <c r="A48" s="25">
        <f>IF(B48="","",ROW()-12)</f>
        <v>0</v>
      </c>
      <c r="B48" s="26"/>
      <c r="C48" s="27">
        <f>IF($B48="","",IFERROR(IF(INDIRECT("'"&amp;$B48&amp;"'!C5")="","",INDIRECT("'"&amp;$B48&amp;"'!C5")),"Không thấy sheet"))</f>
        <v>0</v>
      </c>
      <c r="D48" s="28">
        <f>IF($B48="","",IFERROR(IF(INDIRECT("'"&amp;$B48&amp;"'!C6")="","",INDIRECT("'"&amp;$B48&amp;"'!C6")),"Không thấy sheet"))</f>
        <v>0</v>
      </c>
      <c r="E48" s="25">
        <f>IF($B48="","",IFERROR(IF(INDIRECT("'"&amp;$B48&amp;"'!C9")="",0,INDIRECT("'"&amp;$B48&amp;"'!C9")),"Không thấy sheet"))</f>
        <v>0</v>
      </c>
      <c r="F48" s="29">
        <f>IF($B48="","",IFERROR(IF(INDIRECT("'"&amp;$B48&amp;"'!L6")="",0,INDIRECT("'"&amp;$B48&amp;"'!L6")),"Không thấy sheet"))</f>
        <v>0</v>
      </c>
      <c r="G48" s="29">
        <f>IF($B48="","",IFERROR(IF(INDIRECT("'"&amp;$B48&amp;"'!L7")="",0,INDIRECT("'"&amp;$B48&amp;"'!L7")),"Không thấy sheet"))</f>
        <v>0</v>
      </c>
      <c r="H48" s="29">
        <f>IF($B48="","",IFERROR(IF(INDIRECT("'"&amp;$B48&amp;"'!L8")="",0,INDIRECT("'"&amp;$B48&amp;"'!L8")),"Không thấy sheet"))</f>
        <v>0</v>
      </c>
      <c r="I48" s="25">
        <f>IF($B48="","",IFERROR(IF(INDIRECT("'"&amp;$B48&amp;"'!F4")="","",INDIRECT("'"&amp;$B48&amp;"'!F4")),"Không thấy sheet"))</f>
        <v>0</v>
      </c>
      <c r="J48" s="25">
        <f>IF($B48="","",IFERROR(IF(INDIRECT("'"&amp;$B48&amp;"'!F6")="Đã xuất","HĐ "&amp;INDIRECT("'"&amp;$B48&amp;"'!F7"),"Chưa xuất"),"Không thấy sheet"))</f>
        <v>0</v>
      </c>
      <c r="K48" s="27">
        <f>IF($B48="","",IFERROR(IF(INDIRECT("'"&amp;$B48&amp;"'!F8")="","",INDIRECT("'"&amp;$B48&amp;"'!F8")),"Không thấy sheet"))</f>
        <v>0</v>
      </c>
      <c r="L48" s="28">
        <f>IF(B48="","",IFERROR(SUBSTITUTE(INDIRECT("'"&amp;$B48&amp;"'!A10"),"CẦN LÀM:  ",""),"Không thấy sheet"))</f>
        <v>0</v>
      </c>
      <c r="M48" s="25">
        <f>IF(AND(ISNUMBER(K48),ISNUMBER(H48)),IF(AND(H48&gt;0,TODAY()&gt;K48),TODAY()-K48,""),"")</f>
        <v>0</v>
      </c>
      <c r="O48" s="30"/>
      <c r="P48" s="31"/>
      <c r="Q48" s="32"/>
      <c r="R48" s="33"/>
      <c r="S48" s="34"/>
    </row>
    <row r="49" spans="1:19" x14ac:dyDescent="0.25">
      <c r="A49" s="20">
        <f>IF(B49="","",ROW()-12)</f>
        <v>0</v>
      </c>
      <c r="B49" s="21"/>
      <c r="C49" s="22">
        <f>IF($B49="","",IFERROR(IF(INDIRECT("'"&amp;$B49&amp;"'!C5")="","",INDIRECT("'"&amp;$B49&amp;"'!C5")),"Không thấy sheet"))</f>
        <v>0</v>
      </c>
      <c r="D49" s="23">
        <f>IF($B49="","",IFERROR(IF(INDIRECT("'"&amp;$B49&amp;"'!C6")="","",INDIRECT("'"&amp;$B49&amp;"'!C6")),"Không thấy sheet"))</f>
        <v>0</v>
      </c>
      <c r="E49" s="20">
        <f>IF($B49="","",IFERROR(IF(INDIRECT("'"&amp;$B49&amp;"'!C9")="",0,INDIRECT("'"&amp;$B49&amp;"'!C9")),"Không thấy sheet"))</f>
        <v>0</v>
      </c>
      <c r="F49" s="24">
        <f>IF($B49="","",IFERROR(IF(INDIRECT("'"&amp;$B49&amp;"'!L6")="",0,INDIRECT("'"&amp;$B49&amp;"'!L6")),"Không thấy sheet"))</f>
        <v>0</v>
      </c>
      <c r="G49" s="24">
        <f>IF($B49="","",IFERROR(IF(INDIRECT("'"&amp;$B49&amp;"'!L7")="",0,INDIRECT("'"&amp;$B49&amp;"'!L7")),"Không thấy sheet"))</f>
        <v>0</v>
      </c>
      <c r="H49" s="24">
        <f>IF($B49="","",IFERROR(IF(INDIRECT("'"&amp;$B49&amp;"'!L8")="",0,INDIRECT("'"&amp;$B49&amp;"'!L8")),"Không thấy sheet"))</f>
        <v>0</v>
      </c>
      <c r="I49" s="20">
        <f>IF($B49="","",IFERROR(IF(INDIRECT("'"&amp;$B49&amp;"'!F4")="","",INDIRECT("'"&amp;$B49&amp;"'!F4")),"Không thấy sheet"))</f>
        <v>0</v>
      </c>
      <c r="J49" s="20">
        <f>IF($B49="","",IFERROR(IF(INDIRECT("'"&amp;$B49&amp;"'!F6")="Đã xuất","HĐ "&amp;INDIRECT("'"&amp;$B49&amp;"'!F7"),"Chưa xuất"),"Không thấy sheet"))</f>
        <v>0</v>
      </c>
      <c r="K49" s="22">
        <f>IF($B49="","",IFERROR(IF(INDIRECT("'"&amp;$B49&amp;"'!F8")="","",INDIRECT("'"&amp;$B49&amp;"'!F8")),"Không thấy sheet"))</f>
        <v>0</v>
      </c>
      <c r="L49" s="23">
        <f>IF(B49="","",IFERROR(SUBSTITUTE(INDIRECT("'"&amp;$B49&amp;"'!A10"),"CẦN LÀM:  ",""),"Không thấy sheet"))</f>
        <v>0</v>
      </c>
      <c r="M49" s="20">
        <f>IF(AND(ISNUMBER(K49),ISNUMBER(H49)),IF(AND(H49&gt;0,TODAY()&gt;K49),TODAY()-K49,""),"")</f>
        <v>0</v>
      </c>
      <c r="O49" s="22"/>
      <c r="P49" s="21"/>
      <c r="Q49" s="24"/>
      <c r="R49" s="20"/>
      <c r="S49" s="23"/>
    </row>
    <row r="50" spans="1:19" x14ac:dyDescent="0.25">
      <c r="A50" s="25">
        <f>IF(B50="","",ROW()-12)</f>
        <v>0</v>
      </c>
      <c r="B50" s="26"/>
      <c r="C50" s="27">
        <f>IF($B50="","",IFERROR(IF(INDIRECT("'"&amp;$B50&amp;"'!C5")="","",INDIRECT("'"&amp;$B50&amp;"'!C5")),"Không thấy sheet"))</f>
        <v>0</v>
      </c>
      <c r="D50" s="28">
        <f>IF($B50="","",IFERROR(IF(INDIRECT("'"&amp;$B50&amp;"'!C6")="","",INDIRECT("'"&amp;$B50&amp;"'!C6")),"Không thấy sheet"))</f>
        <v>0</v>
      </c>
      <c r="E50" s="25">
        <f>IF($B50="","",IFERROR(IF(INDIRECT("'"&amp;$B50&amp;"'!C9")="",0,INDIRECT("'"&amp;$B50&amp;"'!C9")),"Không thấy sheet"))</f>
        <v>0</v>
      </c>
      <c r="F50" s="29">
        <f>IF($B50="","",IFERROR(IF(INDIRECT("'"&amp;$B50&amp;"'!L6")="",0,INDIRECT("'"&amp;$B50&amp;"'!L6")),"Không thấy sheet"))</f>
        <v>0</v>
      </c>
      <c r="G50" s="29">
        <f>IF($B50="","",IFERROR(IF(INDIRECT("'"&amp;$B50&amp;"'!L7")="",0,INDIRECT("'"&amp;$B50&amp;"'!L7")),"Không thấy sheet"))</f>
        <v>0</v>
      </c>
      <c r="H50" s="29">
        <f>IF($B50="","",IFERROR(IF(INDIRECT("'"&amp;$B50&amp;"'!L8")="",0,INDIRECT("'"&amp;$B50&amp;"'!L8")),"Không thấy sheet"))</f>
        <v>0</v>
      </c>
      <c r="I50" s="25">
        <f>IF($B50="","",IFERROR(IF(INDIRECT("'"&amp;$B50&amp;"'!F4")="","",INDIRECT("'"&amp;$B50&amp;"'!F4")),"Không thấy sheet"))</f>
        <v>0</v>
      </c>
      <c r="J50" s="25">
        <f>IF($B50="","",IFERROR(IF(INDIRECT("'"&amp;$B50&amp;"'!F6")="Đã xuất","HĐ "&amp;INDIRECT("'"&amp;$B50&amp;"'!F7"),"Chưa xuất"),"Không thấy sheet"))</f>
        <v>0</v>
      </c>
      <c r="K50" s="27">
        <f>IF($B50="","",IFERROR(IF(INDIRECT("'"&amp;$B50&amp;"'!F8")="","",INDIRECT("'"&amp;$B50&amp;"'!F8")),"Không thấy sheet"))</f>
        <v>0</v>
      </c>
      <c r="L50" s="28">
        <f>IF(B50="","",IFERROR(SUBSTITUTE(INDIRECT("'"&amp;$B50&amp;"'!A10"),"CẦN LÀM:  ",""),"Không thấy sheet"))</f>
        <v>0</v>
      </c>
      <c r="M50" s="25">
        <f>IF(AND(ISNUMBER(K50),ISNUMBER(H50)),IF(AND(H50&gt;0,TODAY()&gt;K50),TODAY()-K50,""),"")</f>
        <v>0</v>
      </c>
      <c r="O50" s="30"/>
      <c r="P50" s="31"/>
      <c r="Q50" s="32"/>
      <c r="R50" s="33"/>
      <c r="S50" s="34"/>
    </row>
    <row r="51" spans="1:19" x14ac:dyDescent="0.25">
      <c r="A51" s="20">
        <f>IF(B51="","",ROW()-12)</f>
        <v>0</v>
      </c>
      <c r="B51" s="21"/>
      <c r="C51" s="22">
        <f>IF($B51="","",IFERROR(IF(INDIRECT("'"&amp;$B51&amp;"'!C5")="","",INDIRECT("'"&amp;$B51&amp;"'!C5")),"Không thấy sheet"))</f>
        <v>0</v>
      </c>
      <c r="D51" s="23">
        <f>IF($B51="","",IFERROR(IF(INDIRECT("'"&amp;$B51&amp;"'!C6")="","",INDIRECT("'"&amp;$B51&amp;"'!C6")),"Không thấy sheet"))</f>
        <v>0</v>
      </c>
      <c r="E51" s="20">
        <f>IF($B51="","",IFERROR(IF(INDIRECT("'"&amp;$B51&amp;"'!C9")="",0,INDIRECT("'"&amp;$B51&amp;"'!C9")),"Không thấy sheet"))</f>
        <v>0</v>
      </c>
      <c r="F51" s="24">
        <f>IF($B51="","",IFERROR(IF(INDIRECT("'"&amp;$B51&amp;"'!L6")="",0,INDIRECT("'"&amp;$B51&amp;"'!L6")),"Không thấy sheet"))</f>
        <v>0</v>
      </c>
      <c r="G51" s="24">
        <f>IF($B51="","",IFERROR(IF(INDIRECT("'"&amp;$B51&amp;"'!L7")="",0,INDIRECT("'"&amp;$B51&amp;"'!L7")),"Không thấy sheet"))</f>
        <v>0</v>
      </c>
      <c r="H51" s="24">
        <f>IF($B51="","",IFERROR(IF(INDIRECT("'"&amp;$B51&amp;"'!L8")="",0,INDIRECT("'"&amp;$B51&amp;"'!L8")),"Không thấy sheet"))</f>
        <v>0</v>
      </c>
      <c r="I51" s="20">
        <f>IF($B51="","",IFERROR(IF(INDIRECT("'"&amp;$B51&amp;"'!F4")="","",INDIRECT("'"&amp;$B51&amp;"'!F4")),"Không thấy sheet"))</f>
        <v>0</v>
      </c>
      <c r="J51" s="20">
        <f>IF($B51="","",IFERROR(IF(INDIRECT("'"&amp;$B51&amp;"'!F6")="Đã xuất","HĐ "&amp;INDIRECT("'"&amp;$B51&amp;"'!F7"),"Chưa xuất"),"Không thấy sheet"))</f>
        <v>0</v>
      </c>
      <c r="K51" s="22">
        <f>IF($B51="","",IFERROR(IF(INDIRECT("'"&amp;$B51&amp;"'!F8")="","",INDIRECT("'"&amp;$B51&amp;"'!F8")),"Không thấy sheet"))</f>
        <v>0</v>
      </c>
      <c r="L51" s="23">
        <f>IF(B51="","",IFERROR(SUBSTITUTE(INDIRECT("'"&amp;$B51&amp;"'!A10"),"CẦN LÀM:  ",""),"Không thấy sheet"))</f>
        <v>0</v>
      </c>
      <c r="M51" s="20">
        <f>IF(AND(ISNUMBER(K51),ISNUMBER(H51)),IF(AND(H51&gt;0,TODAY()&gt;K51),TODAY()-K51,""),"")</f>
        <v>0</v>
      </c>
      <c r="O51" s="22"/>
      <c r="P51" s="21"/>
      <c r="Q51" s="24"/>
      <c r="R51" s="20"/>
      <c r="S51" s="23"/>
    </row>
    <row r="52" spans="1:19" x14ac:dyDescent="0.25">
      <c r="A52" s="25">
        <f>IF(B52="","",ROW()-12)</f>
        <v>0</v>
      </c>
      <c r="B52" s="26"/>
      <c r="C52" s="27">
        <f>IF($B52="","",IFERROR(IF(INDIRECT("'"&amp;$B52&amp;"'!C5")="","",INDIRECT("'"&amp;$B52&amp;"'!C5")),"Không thấy sheet"))</f>
        <v>0</v>
      </c>
      <c r="D52" s="28">
        <f>IF($B52="","",IFERROR(IF(INDIRECT("'"&amp;$B52&amp;"'!C6")="","",INDIRECT("'"&amp;$B52&amp;"'!C6")),"Không thấy sheet"))</f>
        <v>0</v>
      </c>
      <c r="E52" s="25">
        <f>IF($B52="","",IFERROR(IF(INDIRECT("'"&amp;$B52&amp;"'!C9")="",0,INDIRECT("'"&amp;$B52&amp;"'!C9")),"Không thấy sheet"))</f>
        <v>0</v>
      </c>
      <c r="F52" s="29">
        <f>IF($B52="","",IFERROR(IF(INDIRECT("'"&amp;$B52&amp;"'!L6")="",0,INDIRECT("'"&amp;$B52&amp;"'!L6")),"Không thấy sheet"))</f>
        <v>0</v>
      </c>
      <c r="G52" s="29">
        <f>IF($B52="","",IFERROR(IF(INDIRECT("'"&amp;$B52&amp;"'!L7")="",0,INDIRECT("'"&amp;$B52&amp;"'!L7")),"Không thấy sheet"))</f>
        <v>0</v>
      </c>
      <c r="H52" s="29">
        <f>IF($B52="","",IFERROR(IF(INDIRECT("'"&amp;$B52&amp;"'!L8")="",0,INDIRECT("'"&amp;$B52&amp;"'!L8")),"Không thấy sheet"))</f>
        <v>0</v>
      </c>
      <c r="I52" s="25">
        <f>IF($B52="","",IFERROR(IF(INDIRECT("'"&amp;$B52&amp;"'!F4")="","",INDIRECT("'"&amp;$B52&amp;"'!F4")),"Không thấy sheet"))</f>
        <v>0</v>
      </c>
      <c r="J52" s="25">
        <f>IF($B52="","",IFERROR(IF(INDIRECT("'"&amp;$B52&amp;"'!F6")="Đã xuất","HĐ "&amp;INDIRECT("'"&amp;$B52&amp;"'!F7"),"Chưa xuất"),"Không thấy sheet"))</f>
        <v>0</v>
      </c>
      <c r="K52" s="27">
        <f>IF($B52="","",IFERROR(IF(INDIRECT("'"&amp;$B52&amp;"'!F8")="","",INDIRECT("'"&amp;$B52&amp;"'!F8")),"Không thấy sheet"))</f>
        <v>0</v>
      </c>
      <c r="L52" s="28">
        <f>IF(B52="","",IFERROR(SUBSTITUTE(INDIRECT("'"&amp;$B52&amp;"'!A10"),"CẦN LÀM:  ",""),"Không thấy sheet"))</f>
        <v>0</v>
      </c>
      <c r="M52" s="25">
        <f>IF(AND(ISNUMBER(K52),ISNUMBER(H52)),IF(AND(H52&gt;0,TODAY()&gt;K52),TODAY()-K52,""),"")</f>
        <v>0</v>
      </c>
      <c r="O52" s="30"/>
      <c r="P52" s="31"/>
      <c r="Q52" s="32"/>
      <c r="R52" s="33"/>
      <c r="S52" s="34"/>
    </row>
    <row r="53" spans="1:19" x14ac:dyDescent="0.25">
      <c r="A53" s="20">
        <f>IF(B53="","",ROW()-12)</f>
        <v>0</v>
      </c>
      <c r="B53" s="21"/>
      <c r="C53" s="22">
        <f>IF($B53="","",IFERROR(IF(INDIRECT("'"&amp;$B53&amp;"'!C5")="","",INDIRECT("'"&amp;$B53&amp;"'!C5")),"Không thấy sheet"))</f>
        <v>0</v>
      </c>
      <c r="D53" s="23">
        <f>IF($B53="","",IFERROR(IF(INDIRECT("'"&amp;$B53&amp;"'!C6")="","",INDIRECT("'"&amp;$B53&amp;"'!C6")),"Không thấy sheet"))</f>
        <v>0</v>
      </c>
      <c r="E53" s="20">
        <f>IF($B53="","",IFERROR(IF(INDIRECT("'"&amp;$B53&amp;"'!C9")="",0,INDIRECT("'"&amp;$B53&amp;"'!C9")),"Không thấy sheet"))</f>
        <v>0</v>
      </c>
      <c r="F53" s="24">
        <f>IF($B53="","",IFERROR(IF(INDIRECT("'"&amp;$B53&amp;"'!L6")="",0,INDIRECT("'"&amp;$B53&amp;"'!L6")),"Không thấy sheet"))</f>
        <v>0</v>
      </c>
      <c r="G53" s="24">
        <f>IF($B53="","",IFERROR(IF(INDIRECT("'"&amp;$B53&amp;"'!L7")="",0,INDIRECT("'"&amp;$B53&amp;"'!L7")),"Không thấy sheet"))</f>
        <v>0</v>
      </c>
      <c r="H53" s="24">
        <f>IF($B53="","",IFERROR(IF(INDIRECT("'"&amp;$B53&amp;"'!L8")="",0,INDIRECT("'"&amp;$B53&amp;"'!L8")),"Không thấy sheet"))</f>
        <v>0</v>
      </c>
      <c r="I53" s="20">
        <f>IF($B53="","",IFERROR(IF(INDIRECT("'"&amp;$B53&amp;"'!F4")="","",INDIRECT("'"&amp;$B53&amp;"'!F4")),"Không thấy sheet"))</f>
        <v>0</v>
      </c>
      <c r="J53" s="20">
        <f>IF($B53="","",IFERROR(IF(INDIRECT("'"&amp;$B53&amp;"'!F6")="Đã xuất","HĐ "&amp;INDIRECT("'"&amp;$B53&amp;"'!F7"),"Chưa xuất"),"Không thấy sheet"))</f>
        <v>0</v>
      </c>
      <c r="K53" s="22">
        <f>IF($B53="","",IFERROR(IF(INDIRECT("'"&amp;$B53&amp;"'!F8")="","",INDIRECT("'"&amp;$B53&amp;"'!F8")),"Không thấy sheet"))</f>
        <v>0</v>
      </c>
      <c r="L53" s="23">
        <f>IF(B53="","",IFERROR(SUBSTITUTE(INDIRECT("'"&amp;$B53&amp;"'!A10"),"CẦN LÀM:  ",""),"Không thấy sheet"))</f>
        <v>0</v>
      </c>
      <c r="M53" s="20">
        <f>IF(AND(ISNUMBER(K53),ISNUMBER(H53)),IF(AND(H53&gt;0,TODAY()&gt;K53),TODAY()-K53,""),"")</f>
        <v>0</v>
      </c>
      <c r="O53" s="22"/>
      <c r="P53" s="21"/>
      <c r="Q53" s="24"/>
      <c r="R53" s="20"/>
      <c r="S53" s="23"/>
    </row>
    <row r="54" spans="1:19" x14ac:dyDescent="0.25">
      <c r="A54" s="25">
        <f>IF(B54="","",ROW()-12)</f>
        <v>0</v>
      </c>
      <c r="B54" s="26"/>
      <c r="C54" s="27">
        <f>IF($B54="","",IFERROR(IF(INDIRECT("'"&amp;$B54&amp;"'!C5")="","",INDIRECT("'"&amp;$B54&amp;"'!C5")),"Không thấy sheet"))</f>
        <v>0</v>
      </c>
      <c r="D54" s="28">
        <f>IF($B54="","",IFERROR(IF(INDIRECT("'"&amp;$B54&amp;"'!C6")="","",INDIRECT("'"&amp;$B54&amp;"'!C6")),"Không thấy sheet"))</f>
        <v>0</v>
      </c>
      <c r="E54" s="25">
        <f>IF($B54="","",IFERROR(IF(INDIRECT("'"&amp;$B54&amp;"'!C9")="",0,INDIRECT("'"&amp;$B54&amp;"'!C9")),"Không thấy sheet"))</f>
        <v>0</v>
      </c>
      <c r="F54" s="29">
        <f>IF($B54="","",IFERROR(IF(INDIRECT("'"&amp;$B54&amp;"'!L6")="",0,INDIRECT("'"&amp;$B54&amp;"'!L6")),"Không thấy sheet"))</f>
        <v>0</v>
      </c>
      <c r="G54" s="29">
        <f>IF($B54="","",IFERROR(IF(INDIRECT("'"&amp;$B54&amp;"'!L7")="",0,INDIRECT("'"&amp;$B54&amp;"'!L7")),"Không thấy sheet"))</f>
        <v>0</v>
      </c>
      <c r="H54" s="29">
        <f>IF($B54="","",IFERROR(IF(INDIRECT("'"&amp;$B54&amp;"'!L8")="",0,INDIRECT("'"&amp;$B54&amp;"'!L8")),"Không thấy sheet"))</f>
        <v>0</v>
      </c>
      <c r="I54" s="25">
        <f>IF($B54="","",IFERROR(IF(INDIRECT("'"&amp;$B54&amp;"'!F4")="","",INDIRECT("'"&amp;$B54&amp;"'!F4")),"Không thấy sheet"))</f>
        <v>0</v>
      </c>
      <c r="J54" s="25">
        <f>IF($B54="","",IFERROR(IF(INDIRECT("'"&amp;$B54&amp;"'!F6")="Đã xuất","HĐ "&amp;INDIRECT("'"&amp;$B54&amp;"'!F7"),"Chưa xuất"),"Không thấy sheet"))</f>
        <v>0</v>
      </c>
      <c r="K54" s="27">
        <f>IF($B54="","",IFERROR(IF(INDIRECT("'"&amp;$B54&amp;"'!F8")="","",INDIRECT("'"&amp;$B54&amp;"'!F8")),"Không thấy sheet"))</f>
        <v>0</v>
      </c>
      <c r="L54" s="28">
        <f>IF(B54="","",IFERROR(SUBSTITUTE(INDIRECT("'"&amp;$B54&amp;"'!A10"),"CẦN LÀM:  ",""),"Không thấy sheet"))</f>
        <v>0</v>
      </c>
      <c r="M54" s="25">
        <f>IF(AND(ISNUMBER(K54),ISNUMBER(H54)),IF(AND(H54&gt;0,TODAY()&gt;K54),TODAY()-K54,""),"")</f>
        <v>0</v>
      </c>
      <c r="O54" s="30"/>
      <c r="P54" s="31"/>
      <c r="Q54" s="32"/>
      <c r="R54" s="33"/>
      <c r="S54" s="34"/>
    </row>
    <row r="55" spans="1:19" x14ac:dyDescent="0.25">
      <c r="A55" s="20">
        <f>IF(B55="","",ROW()-12)</f>
        <v>0</v>
      </c>
      <c r="B55" s="21"/>
      <c r="C55" s="22">
        <f>IF($B55="","",IFERROR(IF(INDIRECT("'"&amp;$B55&amp;"'!C5")="","",INDIRECT("'"&amp;$B55&amp;"'!C5")),"Không thấy sheet"))</f>
        <v>0</v>
      </c>
      <c r="D55" s="23">
        <f>IF($B55="","",IFERROR(IF(INDIRECT("'"&amp;$B55&amp;"'!C6")="","",INDIRECT("'"&amp;$B55&amp;"'!C6")),"Không thấy sheet"))</f>
        <v>0</v>
      </c>
      <c r="E55" s="20">
        <f>IF($B55="","",IFERROR(IF(INDIRECT("'"&amp;$B55&amp;"'!C9")="",0,INDIRECT("'"&amp;$B55&amp;"'!C9")),"Không thấy sheet"))</f>
        <v>0</v>
      </c>
      <c r="F55" s="24">
        <f>IF($B55="","",IFERROR(IF(INDIRECT("'"&amp;$B55&amp;"'!L6")="",0,INDIRECT("'"&amp;$B55&amp;"'!L6")),"Không thấy sheet"))</f>
        <v>0</v>
      </c>
      <c r="G55" s="24">
        <f>IF($B55="","",IFERROR(IF(INDIRECT("'"&amp;$B55&amp;"'!L7")="",0,INDIRECT("'"&amp;$B55&amp;"'!L7")),"Không thấy sheet"))</f>
        <v>0</v>
      </c>
      <c r="H55" s="24">
        <f>IF($B55="","",IFERROR(IF(INDIRECT("'"&amp;$B55&amp;"'!L8")="",0,INDIRECT("'"&amp;$B55&amp;"'!L8")),"Không thấy sheet"))</f>
        <v>0</v>
      </c>
      <c r="I55" s="20">
        <f>IF($B55="","",IFERROR(IF(INDIRECT("'"&amp;$B55&amp;"'!F4")="","",INDIRECT("'"&amp;$B55&amp;"'!F4")),"Không thấy sheet"))</f>
        <v>0</v>
      </c>
      <c r="J55" s="20">
        <f>IF($B55="","",IFERROR(IF(INDIRECT("'"&amp;$B55&amp;"'!F6")="Đã xuất","HĐ "&amp;INDIRECT("'"&amp;$B55&amp;"'!F7"),"Chưa xuất"),"Không thấy sheet"))</f>
        <v>0</v>
      </c>
      <c r="K55" s="22">
        <f>IF($B55="","",IFERROR(IF(INDIRECT("'"&amp;$B55&amp;"'!F8")="","",INDIRECT("'"&amp;$B55&amp;"'!F8")),"Không thấy sheet"))</f>
        <v>0</v>
      </c>
      <c r="L55" s="23">
        <f>IF(B55="","",IFERROR(SUBSTITUTE(INDIRECT("'"&amp;$B55&amp;"'!A10"),"CẦN LÀM:  ",""),"Không thấy sheet"))</f>
        <v>0</v>
      </c>
      <c r="M55" s="20">
        <f>IF(AND(ISNUMBER(K55),ISNUMBER(H55)),IF(AND(H55&gt;0,TODAY()&gt;K55),TODAY()-K55,""),"")</f>
        <v>0</v>
      </c>
      <c r="O55" s="22"/>
      <c r="P55" s="21"/>
      <c r="Q55" s="24"/>
      <c r="R55" s="20"/>
      <c r="S55" s="23"/>
    </row>
    <row r="56" spans="1:19" x14ac:dyDescent="0.25">
      <c r="A56" s="25">
        <f>IF(B56="","",ROW()-12)</f>
        <v>0</v>
      </c>
      <c r="B56" s="26"/>
      <c r="C56" s="27">
        <f>IF($B56="","",IFERROR(IF(INDIRECT("'"&amp;$B56&amp;"'!C5")="","",INDIRECT("'"&amp;$B56&amp;"'!C5")),"Không thấy sheet"))</f>
        <v>0</v>
      </c>
      <c r="D56" s="28">
        <f>IF($B56="","",IFERROR(IF(INDIRECT("'"&amp;$B56&amp;"'!C6")="","",INDIRECT("'"&amp;$B56&amp;"'!C6")),"Không thấy sheet"))</f>
        <v>0</v>
      </c>
      <c r="E56" s="25">
        <f>IF($B56="","",IFERROR(IF(INDIRECT("'"&amp;$B56&amp;"'!C9")="",0,INDIRECT("'"&amp;$B56&amp;"'!C9")),"Không thấy sheet"))</f>
        <v>0</v>
      </c>
      <c r="F56" s="29">
        <f>IF($B56="","",IFERROR(IF(INDIRECT("'"&amp;$B56&amp;"'!L6")="",0,INDIRECT("'"&amp;$B56&amp;"'!L6")),"Không thấy sheet"))</f>
        <v>0</v>
      </c>
      <c r="G56" s="29">
        <f>IF($B56="","",IFERROR(IF(INDIRECT("'"&amp;$B56&amp;"'!L7")="",0,INDIRECT("'"&amp;$B56&amp;"'!L7")),"Không thấy sheet"))</f>
        <v>0</v>
      </c>
      <c r="H56" s="29">
        <f>IF($B56="","",IFERROR(IF(INDIRECT("'"&amp;$B56&amp;"'!L8")="",0,INDIRECT("'"&amp;$B56&amp;"'!L8")),"Không thấy sheet"))</f>
        <v>0</v>
      </c>
      <c r="I56" s="25">
        <f>IF($B56="","",IFERROR(IF(INDIRECT("'"&amp;$B56&amp;"'!F4")="","",INDIRECT("'"&amp;$B56&amp;"'!F4")),"Không thấy sheet"))</f>
        <v>0</v>
      </c>
      <c r="J56" s="25">
        <f>IF($B56="","",IFERROR(IF(INDIRECT("'"&amp;$B56&amp;"'!F6")="Đã xuất","HĐ "&amp;INDIRECT("'"&amp;$B56&amp;"'!F7"),"Chưa xuất"),"Không thấy sheet"))</f>
        <v>0</v>
      </c>
      <c r="K56" s="27">
        <f>IF($B56="","",IFERROR(IF(INDIRECT("'"&amp;$B56&amp;"'!F8")="","",INDIRECT("'"&amp;$B56&amp;"'!F8")),"Không thấy sheet"))</f>
        <v>0</v>
      </c>
      <c r="L56" s="28">
        <f>IF(B56="","",IFERROR(SUBSTITUTE(INDIRECT("'"&amp;$B56&amp;"'!A10"),"CẦN LÀM:  ",""),"Không thấy sheet"))</f>
        <v>0</v>
      </c>
      <c r="M56" s="25">
        <f>IF(AND(ISNUMBER(K56),ISNUMBER(H56)),IF(AND(H56&gt;0,TODAY()&gt;K56),TODAY()-K56,""),"")</f>
        <v>0</v>
      </c>
      <c r="O56" s="30"/>
      <c r="P56" s="31"/>
      <c r="Q56" s="32"/>
      <c r="R56" s="33"/>
      <c r="S56" s="34"/>
    </row>
    <row r="57" spans="1:19" x14ac:dyDescent="0.25">
      <c r="A57" s="20">
        <f>IF(B57="","",ROW()-12)</f>
        <v>0</v>
      </c>
      <c r="B57" s="21"/>
      <c r="C57" s="22">
        <f>IF($B57="","",IFERROR(IF(INDIRECT("'"&amp;$B57&amp;"'!C5")="","",INDIRECT("'"&amp;$B57&amp;"'!C5")),"Không thấy sheet"))</f>
        <v>0</v>
      </c>
      <c r="D57" s="23">
        <f>IF($B57="","",IFERROR(IF(INDIRECT("'"&amp;$B57&amp;"'!C6")="","",INDIRECT("'"&amp;$B57&amp;"'!C6")),"Không thấy sheet"))</f>
        <v>0</v>
      </c>
      <c r="E57" s="20">
        <f>IF($B57="","",IFERROR(IF(INDIRECT("'"&amp;$B57&amp;"'!C9")="",0,INDIRECT("'"&amp;$B57&amp;"'!C9")),"Không thấy sheet"))</f>
        <v>0</v>
      </c>
      <c r="F57" s="24">
        <f>IF($B57="","",IFERROR(IF(INDIRECT("'"&amp;$B57&amp;"'!L6")="",0,INDIRECT("'"&amp;$B57&amp;"'!L6")),"Không thấy sheet"))</f>
        <v>0</v>
      </c>
      <c r="G57" s="24">
        <f>IF($B57="","",IFERROR(IF(INDIRECT("'"&amp;$B57&amp;"'!L7")="",0,INDIRECT("'"&amp;$B57&amp;"'!L7")),"Không thấy sheet"))</f>
        <v>0</v>
      </c>
      <c r="H57" s="24">
        <f>IF($B57="","",IFERROR(IF(INDIRECT("'"&amp;$B57&amp;"'!L8")="",0,INDIRECT("'"&amp;$B57&amp;"'!L8")),"Không thấy sheet"))</f>
        <v>0</v>
      </c>
      <c r="I57" s="20">
        <f>IF($B57="","",IFERROR(IF(INDIRECT("'"&amp;$B57&amp;"'!F4")="","",INDIRECT("'"&amp;$B57&amp;"'!F4")),"Không thấy sheet"))</f>
        <v>0</v>
      </c>
      <c r="J57" s="20">
        <f>IF($B57="","",IFERROR(IF(INDIRECT("'"&amp;$B57&amp;"'!F6")="Đã xuất","HĐ "&amp;INDIRECT("'"&amp;$B57&amp;"'!F7"),"Chưa xuất"),"Không thấy sheet"))</f>
        <v>0</v>
      </c>
      <c r="K57" s="22">
        <f>IF($B57="","",IFERROR(IF(INDIRECT("'"&amp;$B57&amp;"'!F8")="","",INDIRECT("'"&amp;$B57&amp;"'!F8")),"Không thấy sheet"))</f>
        <v>0</v>
      </c>
      <c r="L57" s="23">
        <f>IF(B57="","",IFERROR(SUBSTITUTE(INDIRECT("'"&amp;$B57&amp;"'!A10"),"CẦN LÀM:  ",""),"Không thấy sheet"))</f>
        <v>0</v>
      </c>
      <c r="M57" s="20">
        <f>IF(AND(ISNUMBER(K57),ISNUMBER(H57)),IF(AND(H57&gt;0,TODAY()&gt;K57),TODAY()-K57,""),"")</f>
        <v>0</v>
      </c>
      <c r="O57" s="22"/>
      <c r="P57" s="21"/>
      <c r="Q57" s="24"/>
      <c r="R57" s="20"/>
      <c r="S57" s="23"/>
    </row>
    <row r="58" spans="1:19" x14ac:dyDescent="0.25">
      <c r="A58" s="25">
        <f>IF(B58="","",ROW()-12)</f>
        <v>0</v>
      </c>
      <c r="B58" s="26"/>
      <c r="C58" s="27">
        <f>IF($B58="","",IFERROR(IF(INDIRECT("'"&amp;$B58&amp;"'!C5")="","",INDIRECT("'"&amp;$B58&amp;"'!C5")),"Không thấy sheet"))</f>
        <v>0</v>
      </c>
      <c r="D58" s="28">
        <f>IF($B58="","",IFERROR(IF(INDIRECT("'"&amp;$B58&amp;"'!C6")="","",INDIRECT("'"&amp;$B58&amp;"'!C6")),"Không thấy sheet"))</f>
        <v>0</v>
      </c>
      <c r="E58" s="25">
        <f>IF($B58="","",IFERROR(IF(INDIRECT("'"&amp;$B58&amp;"'!C9")="",0,INDIRECT("'"&amp;$B58&amp;"'!C9")),"Không thấy sheet"))</f>
        <v>0</v>
      </c>
      <c r="F58" s="29">
        <f>IF($B58="","",IFERROR(IF(INDIRECT("'"&amp;$B58&amp;"'!L6")="",0,INDIRECT("'"&amp;$B58&amp;"'!L6")),"Không thấy sheet"))</f>
        <v>0</v>
      </c>
      <c r="G58" s="29">
        <f>IF($B58="","",IFERROR(IF(INDIRECT("'"&amp;$B58&amp;"'!L7")="",0,INDIRECT("'"&amp;$B58&amp;"'!L7")),"Không thấy sheet"))</f>
        <v>0</v>
      </c>
      <c r="H58" s="29">
        <f>IF($B58="","",IFERROR(IF(INDIRECT("'"&amp;$B58&amp;"'!L8")="",0,INDIRECT("'"&amp;$B58&amp;"'!L8")),"Không thấy sheet"))</f>
        <v>0</v>
      </c>
      <c r="I58" s="25">
        <f>IF($B58="","",IFERROR(IF(INDIRECT("'"&amp;$B58&amp;"'!F4")="","",INDIRECT("'"&amp;$B58&amp;"'!F4")),"Không thấy sheet"))</f>
        <v>0</v>
      </c>
      <c r="J58" s="25">
        <f>IF($B58="","",IFERROR(IF(INDIRECT("'"&amp;$B58&amp;"'!F6")="Đã xuất","HĐ "&amp;INDIRECT("'"&amp;$B58&amp;"'!F7"),"Chưa xuất"),"Không thấy sheet"))</f>
        <v>0</v>
      </c>
      <c r="K58" s="27">
        <f>IF($B58="","",IFERROR(IF(INDIRECT("'"&amp;$B58&amp;"'!F8")="","",INDIRECT("'"&amp;$B58&amp;"'!F8")),"Không thấy sheet"))</f>
        <v>0</v>
      </c>
      <c r="L58" s="28">
        <f>IF(B58="","",IFERROR(SUBSTITUTE(INDIRECT("'"&amp;$B58&amp;"'!A10"),"CẦN LÀM:  ",""),"Không thấy sheet"))</f>
        <v>0</v>
      </c>
      <c r="M58" s="25">
        <f>IF(AND(ISNUMBER(K58),ISNUMBER(H58)),IF(AND(H58&gt;0,TODAY()&gt;K58),TODAY()-K58,""),"")</f>
        <v>0</v>
      </c>
      <c r="O58" s="30"/>
      <c r="P58" s="31"/>
      <c r="Q58" s="32"/>
      <c r="R58" s="33"/>
      <c r="S58" s="34"/>
    </row>
    <row r="59" spans="1:19" x14ac:dyDescent="0.25">
      <c r="A59" s="20">
        <f>IF(B59="","",ROW()-12)</f>
        <v>0</v>
      </c>
      <c r="B59" s="21"/>
      <c r="C59" s="22">
        <f>IF($B59="","",IFERROR(IF(INDIRECT("'"&amp;$B59&amp;"'!C5")="","",INDIRECT("'"&amp;$B59&amp;"'!C5")),"Không thấy sheet"))</f>
        <v>0</v>
      </c>
      <c r="D59" s="23">
        <f>IF($B59="","",IFERROR(IF(INDIRECT("'"&amp;$B59&amp;"'!C6")="","",INDIRECT("'"&amp;$B59&amp;"'!C6")),"Không thấy sheet"))</f>
        <v>0</v>
      </c>
      <c r="E59" s="20">
        <f>IF($B59="","",IFERROR(IF(INDIRECT("'"&amp;$B59&amp;"'!C9")="",0,INDIRECT("'"&amp;$B59&amp;"'!C9")),"Không thấy sheet"))</f>
        <v>0</v>
      </c>
      <c r="F59" s="24">
        <f>IF($B59="","",IFERROR(IF(INDIRECT("'"&amp;$B59&amp;"'!L6")="",0,INDIRECT("'"&amp;$B59&amp;"'!L6")),"Không thấy sheet"))</f>
        <v>0</v>
      </c>
      <c r="G59" s="24">
        <f>IF($B59="","",IFERROR(IF(INDIRECT("'"&amp;$B59&amp;"'!L7")="",0,INDIRECT("'"&amp;$B59&amp;"'!L7")),"Không thấy sheet"))</f>
        <v>0</v>
      </c>
      <c r="H59" s="24">
        <f>IF($B59="","",IFERROR(IF(INDIRECT("'"&amp;$B59&amp;"'!L8")="",0,INDIRECT("'"&amp;$B59&amp;"'!L8")),"Không thấy sheet"))</f>
        <v>0</v>
      </c>
      <c r="I59" s="20">
        <f>IF($B59="","",IFERROR(IF(INDIRECT("'"&amp;$B59&amp;"'!F4")="","",INDIRECT("'"&amp;$B59&amp;"'!F4")),"Không thấy sheet"))</f>
        <v>0</v>
      </c>
      <c r="J59" s="20">
        <f>IF($B59="","",IFERROR(IF(INDIRECT("'"&amp;$B59&amp;"'!F6")="Đã xuất","HĐ "&amp;INDIRECT("'"&amp;$B59&amp;"'!F7"),"Chưa xuất"),"Không thấy sheet"))</f>
        <v>0</v>
      </c>
      <c r="K59" s="22">
        <f>IF($B59="","",IFERROR(IF(INDIRECT("'"&amp;$B59&amp;"'!F8")="","",INDIRECT("'"&amp;$B59&amp;"'!F8")),"Không thấy sheet"))</f>
        <v>0</v>
      </c>
      <c r="L59" s="23">
        <f>IF(B59="","",IFERROR(SUBSTITUTE(INDIRECT("'"&amp;$B59&amp;"'!A10"),"CẦN LÀM:  ",""),"Không thấy sheet"))</f>
        <v>0</v>
      </c>
      <c r="M59" s="20">
        <f>IF(AND(ISNUMBER(K59),ISNUMBER(H59)),IF(AND(H59&gt;0,TODAY()&gt;K59),TODAY()-K59,""),"")</f>
        <v>0</v>
      </c>
      <c r="O59" s="22"/>
      <c r="P59" s="21"/>
      <c r="Q59" s="24"/>
      <c r="R59" s="20"/>
      <c r="S59" s="23"/>
    </row>
    <row r="60" spans="1:19" x14ac:dyDescent="0.25">
      <c r="A60" s="25">
        <f>IF(B60="","",ROW()-12)</f>
        <v>0</v>
      </c>
      <c r="B60" s="26"/>
      <c r="C60" s="27">
        <f>IF($B60="","",IFERROR(IF(INDIRECT("'"&amp;$B60&amp;"'!C5")="","",INDIRECT("'"&amp;$B60&amp;"'!C5")),"Không thấy sheet"))</f>
        <v>0</v>
      </c>
      <c r="D60" s="28">
        <f>IF($B60="","",IFERROR(IF(INDIRECT("'"&amp;$B60&amp;"'!C6")="","",INDIRECT("'"&amp;$B60&amp;"'!C6")),"Không thấy sheet"))</f>
        <v>0</v>
      </c>
      <c r="E60" s="25">
        <f>IF($B60="","",IFERROR(IF(INDIRECT("'"&amp;$B60&amp;"'!C9")="",0,INDIRECT("'"&amp;$B60&amp;"'!C9")),"Không thấy sheet"))</f>
        <v>0</v>
      </c>
      <c r="F60" s="29">
        <f>IF($B60="","",IFERROR(IF(INDIRECT("'"&amp;$B60&amp;"'!L6")="",0,INDIRECT("'"&amp;$B60&amp;"'!L6")),"Không thấy sheet"))</f>
        <v>0</v>
      </c>
      <c r="G60" s="29">
        <f>IF($B60="","",IFERROR(IF(INDIRECT("'"&amp;$B60&amp;"'!L7")="",0,INDIRECT("'"&amp;$B60&amp;"'!L7")),"Không thấy sheet"))</f>
        <v>0</v>
      </c>
      <c r="H60" s="29">
        <f>IF($B60="","",IFERROR(IF(INDIRECT("'"&amp;$B60&amp;"'!L8")="",0,INDIRECT("'"&amp;$B60&amp;"'!L8")),"Không thấy sheet"))</f>
        <v>0</v>
      </c>
      <c r="I60" s="25">
        <f>IF($B60="","",IFERROR(IF(INDIRECT("'"&amp;$B60&amp;"'!F4")="","",INDIRECT("'"&amp;$B60&amp;"'!F4")),"Không thấy sheet"))</f>
        <v>0</v>
      </c>
      <c r="J60" s="25">
        <f>IF($B60="","",IFERROR(IF(INDIRECT("'"&amp;$B60&amp;"'!F6")="Đã xuất","HĐ "&amp;INDIRECT("'"&amp;$B60&amp;"'!F7"),"Chưa xuất"),"Không thấy sheet"))</f>
        <v>0</v>
      </c>
      <c r="K60" s="27">
        <f>IF($B60="","",IFERROR(IF(INDIRECT("'"&amp;$B60&amp;"'!F8")="","",INDIRECT("'"&amp;$B60&amp;"'!F8")),"Không thấy sheet"))</f>
        <v>0</v>
      </c>
      <c r="L60" s="28">
        <f>IF(B60="","",IFERROR(SUBSTITUTE(INDIRECT("'"&amp;$B60&amp;"'!A10"),"CẦN LÀM:  ",""),"Không thấy sheet"))</f>
        <v>0</v>
      </c>
      <c r="M60" s="25">
        <f>IF(AND(ISNUMBER(K60),ISNUMBER(H60)),IF(AND(H60&gt;0,TODAY()&gt;K60),TODAY()-K60,""),"")</f>
        <v>0</v>
      </c>
      <c r="O60" s="30"/>
      <c r="P60" s="31"/>
      <c r="Q60" s="32"/>
      <c r="R60" s="33"/>
      <c r="S60" s="34"/>
    </row>
    <row r="61" spans="1:19" x14ac:dyDescent="0.25">
      <c r="A61" s="20">
        <f>IF(B61="","",ROW()-12)</f>
        <v>0</v>
      </c>
      <c r="B61" s="21"/>
      <c r="C61" s="22">
        <f>IF($B61="","",IFERROR(IF(INDIRECT("'"&amp;$B61&amp;"'!C5")="","",INDIRECT("'"&amp;$B61&amp;"'!C5")),"Không thấy sheet"))</f>
        <v>0</v>
      </c>
      <c r="D61" s="23">
        <f>IF($B61="","",IFERROR(IF(INDIRECT("'"&amp;$B61&amp;"'!C6")="","",INDIRECT("'"&amp;$B61&amp;"'!C6")),"Không thấy sheet"))</f>
        <v>0</v>
      </c>
      <c r="E61" s="20">
        <f>IF($B61="","",IFERROR(IF(INDIRECT("'"&amp;$B61&amp;"'!C9")="",0,INDIRECT("'"&amp;$B61&amp;"'!C9")),"Không thấy sheet"))</f>
        <v>0</v>
      </c>
      <c r="F61" s="24">
        <f>IF($B61="","",IFERROR(IF(INDIRECT("'"&amp;$B61&amp;"'!L6")="",0,INDIRECT("'"&amp;$B61&amp;"'!L6")),"Không thấy sheet"))</f>
        <v>0</v>
      </c>
      <c r="G61" s="24">
        <f>IF($B61="","",IFERROR(IF(INDIRECT("'"&amp;$B61&amp;"'!L7")="",0,INDIRECT("'"&amp;$B61&amp;"'!L7")),"Không thấy sheet"))</f>
        <v>0</v>
      </c>
      <c r="H61" s="24">
        <f>IF($B61="","",IFERROR(IF(INDIRECT("'"&amp;$B61&amp;"'!L8")="",0,INDIRECT("'"&amp;$B61&amp;"'!L8")),"Không thấy sheet"))</f>
        <v>0</v>
      </c>
      <c r="I61" s="20">
        <f>IF($B61="","",IFERROR(IF(INDIRECT("'"&amp;$B61&amp;"'!F4")="","",INDIRECT("'"&amp;$B61&amp;"'!F4")),"Không thấy sheet"))</f>
        <v>0</v>
      </c>
      <c r="J61" s="20">
        <f>IF($B61="","",IFERROR(IF(INDIRECT("'"&amp;$B61&amp;"'!F6")="Đã xuất","HĐ "&amp;INDIRECT("'"&amp;$B61&amp;"'!F7"),"Chưa xuất"),"Không thấy sheet"))</f>
        <v>0</v>
      </c>
      <c r="K61" s="22">
        <f>IF($B61="","",IFERROR(IF(INDIRECT("'"&amp;$B61&amp;"'!F8")="","",INDIRECT("'"&amp;$B61&amp;"'!F8")),"Không thấy sheet"))</f>
        <v>0</v>
      </c>
      <c r="L61" s="23">
        <f>IF(B61="","",IFERROR(SUBSTITUTE(INDIRECT("'"&amp;$B61&amp;"'!A10"),"CẦN LÀM:  ",""),"Không thấy sheet"))</f>
        <v>0</v>
      </c>
      <c r="M61" s="20">
        <f>IF(AND(ISNUMBER(K61),ISNUMBER(H61)),IF(AND(H61&gt;0,TODAY()&gt;K61),TODAY()-K61,""),"")</f>
        <v>0</v>
      </c>
      <c r="O61" s="22"/>
      <c r="P61" s="21"/>
      <c r="Q61" s="24"/>
      <c r="R61" s="20"/>
      <c r="S61" s="23"/>
    </row>
    <row r="62" spans="1:19" x14ac:dyDescent="0.25">
      <c r="A62" s="25">
        <f>IF(B62="","",ROW()-12)</f>
        <v>0</v>
      </c>
      <c r="B62" s="26"/>
      <c r="C62" s="27">
        <f>IF($B62="","",IFERROR(IF(INDIRECT("'"&amp;$B62&amp;"'!C5")="","",INDIRECT("'"&amp;$B62&amp;"'!C5")),"Không thấy sheet"))</f>
        <v>0</v>
      </c>
      <c r="D62" s="28">
        <f>IF($B62="","",IFERROR(IF(INDIRECT("'"&amp;$B62&amp;"'!C6")="","",INDIRECT("'"&amp;$B62&amp;"'!C6")),"Không thấy sheet"))</f>
        <v>0</v>
      </c>
      <c r="E62" s="25">
        <f>IF($B62="","",IFERROR(IF(INDIRECT("'"&amp;$B62&amp;"'!C9")="",0,INDIRECT("'"&amp;$B62&amp;"'!C9")),"Không thấy sheet"))</f>
        <v>0</v>
      </c>
      <c r="F62" s="29">
        <f>IF($B62="","",IFERROR(IF(INDIRECT("'"&amp;$B62&amp;"'!L6")="",0,INDIRECT("'"&amp;$B62&amp;"'!L6")),"Không thấy sheet"))</f>
        <v>0</v>
      </c>
      <c r="G62" s="29">
        <f>IF($B62="","",IFERROR(IF(INDIRECT("'"&amp;$B62&amp;"'!L7")="",0,INDIRECT("'"&amp;$B62&amp;"'!L7")),"Không thấy sheet"))</f>
        <v>0</v>
      </c>
      <c r="H62" s="29">
        <f>IF($B62="","",IFERROR(IF(INDIRECT("'"&amp;$B62&amp;"'!L8")="",0,INDIRECT("'"&amp;$B62&amp;"'!L8")),"Không thấy sheet"))</f>
        <v>0</v>
      </c>
      <c r="I62" s="25">
        <f>IF($B62="","",IFERROR(IF(INDIRECT("'"&amp;$B62&amp;"'!F4")="","",INDIRECT("'"&amp;$B62&amp;"'!F4")),"Không thấy sheet"))</f>
        <v>0</v>
      </c>
      <c r="J62" s="25">
        <f>IF($B62="","",IFERROR(IF(INDIRECT("'"&amp;$B62&amp;"'!F6")="Đã xuất","HĐ "&amp;INDIRECT("'"&amp;$B62&amp;"'!F7"),"Chưa xuất"),"Không thấy sheet"))</f>
        <v>0</v>
      </c>
      <c r="K62" s="27">
        <f>IF($B62="","",IFERROR(IF(INDIRECT("'"&amp;$B62&amp;"'!F8")="","",INDIRECT("'"&amp;$B62&amp;"'!F8")),"Không thấy sheet"))</f>
        <v>0</v>
      </c>
      <c r="L62" s="28">
        <f>IF(B62="","",IFERROR(SUBSTITUTE(INDIRECT("'"&amp;$B62&amp;"'!A10"),"CẦN LÀM:  ",""),"Không thấy sheet"))</f>
        <v>0</v>
      </c>
      <c r="M62" s="25">
        <f>IF(AND(ISNUMBER(K62),ISNUMBER(H62)),IF(AND(H62&gt;0,TODAY()&gt;K62),TODAY()-K62,""),"")</f>
        <v>0</v>
      </c>
      <c r="O62" s="30"/>
      <c r="P62" s="31"/>
      <c r="Q62" s="32"/>
      <c r="R62" s="33"/>
      <c r="S62" s="34"/>
    </row>
    <row r="63" spans="1:19" x14ac:dyDescent="0.25">
      <c r="O63" s="22"/>
      <c r="P63" s="21"/>
      <c r="Q63" s="24"/>
      <c r="R63" s="20"/>
      <c r="S63" s="23"/>
    </row>
    <row r="64" spans="1:19" x14ac:dyDescent="0.25">
      <c r="O64" s="30"/>
      <c r="P64" s="31"/>
      <c r="Q64" s="32"/>
      <c r="R64" s="33"/>
      <c r="S64" s="34"/>
    </row>
    <row r="65" spans="15:19" x14ac:dyDescent="0.25">
      <c r="O65" s="22"/>
      <c r="P65" s="21"/>
      <c r="Q65" s="24"/>
      <c r="R65" s="20"/>
      <c r="S65" s="23"/>
    </row>
    <row r="66" spans="15:19" x14ac:dyDescent="0.25">
      <c r="O66" s="30"/>
      <c r="P66" s="31"/>
      <c r="Q66" s="32"/>
      <c r="R66" s="33"/>
      <c r="S66" s="34"/>
    </row>
    <row r="67" spans="15:19" x14ac:dyDescent="0.25">
      <c r="O67" s="22"/>
      <c r="P67" s="21"/>
      <c r="Q67" s="24"/>
      <c r="R67" s="20"/>
      <c r="S67" s="23"/>
    </row>
    <row r="68" spans="15:19" x14ac:dyDescent="0.25">
      <c r="O68" s="30"/>
      <c r="P68" s="31"/>
      <c r="Q68" s="32"/>
      <c r="R68" s="33"/>
      <c r="S68" s="34"/>
    </row>
    <row r="69" spans="15:19" x14ac:dyDescent="0.25">
      <c r="O69" s="22"/>
      <c r="P69" s="21"/>
      <c r="Q69" s="24"/>
      <c r="R69" s="20"/>
      <c r="S69" s="23"/>
    </row>
    <row r="70" spans="15:19" x14ac:dyDescent="0.25">
      <c r="O70" s="30"/>
      <c r="P70" s="31"/>
      <c r="Q70" s="32"/>
      <c r="R70" s="33"/>
      <c r="S70" s="34"/>
    </row>
    <row r="71" spans="15:19" x14ac:dyDescent="0.25">
      <c r="O71" s="22"/>
      <c r="P71" s="21"/>
      <c r="Q71" s="24"/>
      <c r="R71" s="20"/>
      <c r="S71" s="23"/>
    </row>
    <row r="72" spans="15:19" x14ac:dyDescent="0.25">
      <c r="O72" s="30"/>
      <c r="P72" s="31"/>
      <c r="Q72" s="32"/>
      <c r="R72" s="33"/>
      <c r="S72" s="34"/>
    </row>
    <row r="73" spans="15:19" x14ac:dyDescent="0.25">
      <c r="O73" s="22"/>
      <c r="P73" s="21"/>
      <c r="Q73" s="24"/>
      <c r="R73" s="20"/>
      <c r="S73" s="23"/>
    </row>
    <row r="74" spans="15:19" x14ac:dyDescent="0.25">
      <c r="O74" s="30"/>
      <c r="P74" s="31"/>
      <c r="Q74" s="32"/>
      <c r="R74" s="33"/>
      <c r="S74" s="34"/>
    </row>
    <row r="75" spans="15:19" x14ac:dyDescent="0.25">
      <c r="O75" s="22"/>
      <c r="P75" s="21"/>
      <c r="Q75" s="24"/>
      <c r="R75" s="20"/>
      <c r="S75" s="23"/>
    </row>
    <row r="76" spans="15:19" x14ac:dyDescent="0.25">
      <c r="O76" s="30"/>
      <c r="P76" s="31"/>
      <c r="Q76" s="32"/>
      <c r="R76" s="33"/>
      <c r="S76" s="34"/>
    </row>
    <row r="77" spans="15:19" x14ac:dyDescent="0.25">
      <c r="O77" s="22"/>
      <c r="P77" s="21"/>
      <c r="Q77" s="24"/>
      <c r="R77" s="20"/>
      <c r="S77" s="23"/>
    </row>
    <row r="78" spans="15:19" x14ac:dyDescent="0.25">
      <c r="O78" s="30"/>
      <c r="P78" s="31"/>
      <c r="Q78" s="32"/>
      <c r="R78" s="33"/>
      <c r="S78" s="34"/>
    </row>
    <row r="79" spans="15:19" x14ac:dyDescent="0.25">
      <c r="O79" s="22"/>
      <c r="P79" s="21"/>
      <c r="Q79" s="24"/>
      <c r="R79" s="20"/>
      <c r="S79" s="23"/>
    </row>
    <row r="80" spans="15:19" x14ac:dyDescent="0.25">
      <c r="O80" s="30"/>
      <c r="P80" s="31"/>
      <c r="Q80" s="32"/>
      <c r="R80" s="33"/>
      <c r="S80" s="34"/>
    </row>
    <row r="81" spans="15:19" x14ac:dyDescent="0.25">
      <c r="O81" s="22"/>
      <c r="P81" s="21"/>
      <c r="Q81" s="24"/>
      <c r="R81" s="20"/>
      <c r="S81" s="23"/>
    </row>
    <row r="82" spans="15:19" x14ac:dyDescent="0.25">
      <c r="O82" s="30"/>
      <c r="P82" s="31"/>
      <c r="Q82" s="32"/>
      <c r="R82" s="33"/>
      <c r="S82" s="34"/>
    </row>
    <row r="83" spans="15:19" x14ac:dyDescent="0.25">
      <c r="O83" s="22"/>
      <c r="P83" s="21"/>
      <c r="Q83" s="24"/>
      <c r="R83" s="20"/>
      <c r="S83" s="23"/>
    </row>
    <row r="84" spans="15:19" x14ac:dyDescent="0.25">
      <c r="O84" s="30"/>
      <c r="P84" s="31"/>
      <c r="Q84" s="32"/>
      <c r="R84" s="33"/>
      <c r="S84" s="34"/>
    </row>
    <row r="85" spans="15:19" x14ac:dyDescent="0.25">
      <c r="O85" s="22"/>
      <c r="P85" s="21"/>
      <c r="Q85" s="24"/>
      <c r="R85" s="20"/>
      <c r="S85" s="23"/>
    </row>
    <row r="86" spans="15:19" x14ac:dyDescent="0.25">
      <c r="O86" s="30"/>
      <c r="P86" s="31"/>
      <c r="Q86" s="32"/>
      <c r="R86" s="33"/>
      <c r="S86" s="34"/>
    </row>
    <row r="87" spans="15:19" x14ac:dyDescent="0.25">
      <c r="O87" s="22"/>
      <c r="P87" s="21"/>
      <c r="Q87" s="24"/>
      <c r="R87" s="20"/>
      <c r="S87" s="23"/>
    </row>
    <row r="88" spans="15:19" x14ac:dyDescent="0.25">
      <c r="O88" s="30"/>
      <c r="P88" s="31"/>
      <c r="Q88" s="32"/>
      <c r="R88" s="33"/>
      <c r="S88" s="34"/>
    </row>
    <row r="89" spans="15:19" x14ac:dyDescent="0.25">
      <c r="O89" s="22"/>
      <c r="P89" s="21"/>
      <c r="Q89" s="24"/>
      <c r="R89" s="20"/>
      <c r="S89" s="23"/>
    </row>
    <row r="90" spans="15:19" x14ac:dyDescent="0.25">
      <c r="O90" s="30"/>
      <c r="P90" s="31"/>
      <c r="Q90" s="32"/>
      <c r="R90" s="33"/>
      <c r="S90" s="34"/>
    </row>
    <row r="91" spans="15:19" x14ac:dyDescent="0.25">
      <c r="O91" s="22"/>
      <c r="P91" s="21"/>
      <c r="Q91" s="24"/>
      <c r="R91" s="20"/>
      <c r="S91" s="23"/>
    </row>
    <row r="92" spans="15:19" x14ac:dyDescent="0.25">
      <c r="O92" s="30"/>
      <c r="P92" s="31"/>
      <c r="Q92" s="32"/>
      <c r="R92" s="33"/>
      <c r="S92" s="34"/>
    </row>
    <row r="93" spans="15:19" x14ac:dyDescent="0.25">
      <c r="O93" s="22"/>
      <c r="P93" s="21"/>
      <c r="Q93" s="24"/>
      <c r="R93" s="20"/>
      <c r="S93" s="23"/>
    </row>
    <row r="94" spans="15:19" x14ac:dyDescent="0.25">
      <c r="O94" s="30"/>
      <c r="P94" s="31"/>
      <c r="Q94" s="32"/>
      <c r="R94" s="33"/>
      <c r="S94" s="34"/>
    </row>
    <row r="95" spans="15:19" x14ac:dyDescent="0.25">
      <c r="O95" s="22"/>
      <c r="P95" s="21"/>
      <c r="Q95" s="24"/>
      <c r="R95" s="20"/>
      <c r="S95" s="23"/>
    </row>
    <row r="96" spans="15:19" x14ac:dyDescent="0.25">
      <c r="O96" s="30"/>
      <c r="P96" s="31"/>
      <c r="Q96" s="32"/>
      <c r="R96" s="33"/>
      <c r="S96" s="34"/>
    </row>
    <row r="97" spans="15:19" x14ac:dyDescent="0.25">
      <c r="O97" s="22"/>
      <c r="P97" s="21"/>
      <c r="Q97" s="24"/>
      <c r="R97" s="20"/>
      <c r="S97" s="23"/>
    </row>
    <row r="98" spans="15:19" x14ac:dyDescent="0.25">
      <c r="O98" s="30"/>
      <c r="P98" s="31"/>
      <c r="Q98" s="32"/>
      <c r="R98" s="33"/>
      <c r="S98" s="34"/>
    </row>
    <row r="99" spans="15:19" x14ac:dyDescent="0.25">
      <c r="O99" s="22"/>
      <c r="P99" s="21"/>
      <c r="Q99" s="24"/>
      <c r="R99" s="20"/>
      <c r="S99" s="23"/>
    </row>
    <row r="100" spans="15:19" x14ac:dyDescent="0.25">
      <c r="O100" s="30"/>
      <c r="P100" s="31"/>
      <c r="Q100" s="32"/>
      <c r="R100" s="33"/>
      <c r="S100" s="34"/>
    </row>
    <row r="101" spans="15:19" x14ac:dyDescent="0.25">
      <c r="O101" s="22"/>
      <c r="P101" s="21"/>
      <c r="Q101" s="24"/>
      <c r="R101" s="20"/>
      <c r="S101" s="23"/>
    </row>
    <row r="102" spans="15:19" x14ac:dyDescent="0.25">
      <c r="O102" s="30"/>
      <c r="P102" s="31"/>
      <c r="Q102" s="32"/>
      <c r="R102" s="33"/>
      <c r="S102" s="34"/>
    </row>
    <row r="103" spans="15:19" x14ac:dyDescent="0.25">
      <c r="O103" s="22"/>
      <c r="P103" s="21"/>
      <c r="Q103" s="24"/>
      <c r="R103" s="20"/>
      <c r="S103" s="23"/>
    </row>
    <row r="104" spans="15:19" x14ac:dyDescent="0.25">
      <c r="O104" s="30"/>
      <c r="P104" s="31"/>
      <c r="Q104" s="32"/>
      <c r="R104" s="33"/>
      <c r="S104" s="34"/>
    </row>
    <row r="105" spans="15:19" x14ac:dyDescent="0.25">
      <c r="O105" s="22"/>
      <c r="P105" s="21"/>
      <c r="Q105" s="24"/>
      <c r="R105" s="20"/>
      <c r="S105" s="23"/>
    </row>
    <row r="106" spans="15:19" x14ac:dyDescent="0.25">
      <c r="O106" s="30"/>
      <c r="P106" s="31"/>
      <c r="Q106" s="32"/>
      <c r="R106" s="33"/>
      <c r="S106" s="34"/>
    </row>
    <row r="107" spans="15:19" x14ac:dyDescent="0.25">
      <c r="O107" s="22"/>
      <c r="P107" s="21"/>
      <c r="Q107" s="24"/>
      <c r="R107" s="20"/>
      <c r="S107" s="23"/>
    </row>
    <row r="108" spans="15:19" x14ac:dyDescent="0.25">
      <c r="O108" s="30"/>
      <c r="P108" s="31"/>
      <c r="Q108" s="32"/>
      <c r="R108" s="33"/>
      <c r="S108" s="34"/>
    </row>
    <row r="109" spans="15:19" x14ac:dyDescent="0.25">
      <c r="O109" s="22"/>
      <c r="P109" s="21"/>
      <c r="Q109" s="24"/>
      <c r="R109" s="20"/>
      <c r="S109" s="23"/>
    </row>
    <row r="110" spans="15:19" x14ac:dyDescent="0.25">
      <c r="O110" s="30"/>
      <c r="P110" s="31"/>
      <c r="Q110" s="32"/>
      <c r="R110" s="33"/>
      <c r="S110" s="34"/>
    </row>
    <row r="111" spans="15:19" x14ac:dyDescent="0.25">
      <c r="O111" s="22"/>
      <c r="P111" s="21"/>
      <c r="Q111" s="24"/>
      <c r="R111" s="20"/>
      <c r="S111" s="23"/>
    </row>
    <row r="112" spans="15:19" x14ac:dyDescent="0.25">
      <c r="O112" s="30"/>
      <c r="P112" s="31"/>
      <c r="Q112" s="32"/>
      <c r="R112" s="33"/>
      <c r="S112" s="34"/>
    </row>
    <row r="113" spans="15:19" x14ac:dyDescent="0.25">
      <c r="O113" s="22"/>
      <c r="P113" s="21"/>
      <c r="Q113" s="24"/>
      <c r="R113" s="20"/>
      <c r="S113" s="23"/>
    </row>
    <row r="114" spans="15:19" x14ac:dyDescent="0.25">
      <c r="O114" s="30"/>
      <c r="P114" s="31"/>
      <c r="Q114" s="32"/>
      <c r="R114" s="33"/>
      <c r="S114" s="34"/>
    </row>
    <row r="115" spans="15:19" x14ac:dyDescent="0.25">
      <c r="O115" s="22"/>
      <c r="P115" s="21"/>
      <c r="Q115" s="24"/>
      <c r="R115" s="20"/>
      <c r="S115" s="23"/>
    </row>
    <row r="116" spans="15:19" x14ac:dyDescent="0.25">
      <c r="O116" s="30"/>
      <c r="P116" s="31"/>
      <c r="Q116" s="32"/>
      <c r="R116" s="33"/>
      <c r="S116" s="34"/>
    </row>
    <row r="117" spans="15:19" x14ac:dyDescent="0.25">
      <c r="O117" s="22"/>
      <c r="P117" s="21"/>
      <c r="Q117" s="24"/>
      <c r="R117" s="20"/>
      <c r="S117" s="23"/>
    </row>
    <row r="118" spans="15:19" x14ac:dyDescent="0.25">
      <c r="O118" s="30"/>
      <c r="P118" s="31"/>
      <c r="Q118" s="32"/>
      <c r="R118" s="33"/>
      <c r="S118" s="34"/>
    </row>
    <row r="119" spans="15:19" x14ac:dyDescent="0.25">
      <c r="O119" s="22"/>
      <c r="P119" s="21"/>
      <c r="Q119" s="24"/>
      <c r="R119" s="20"/>
      <c r="S119" s="23"/>
    </row>
    <row r="120" spans="15:19" x14ac:dyDescent="0.25">
      <c r="O120" s="30"/>
      <c r="P120" s="31"/>
      <c r="Q120" s="32"/>
      <c r="R120" s="33"/>
      <c r="S120" s="34"/>
    </row>
    <row r="121" spans="15:19" x14ac:dyDescent="0.25">
      <c r="O121" s="22"/>
      <c r="P121" s="21"/>
      <c r="Q121" s="24"/>
      <c r="R121" s="20"/>
      <c r="S121" s="23"/>
    </row>
    <row r="122" spans="15:19" x14ac:dyDescent="0.25">
      <c r="O122" s="30"/>
      <c r="P122" s="31"/>
      <c r="Q122" s="32"/>
      <c r="R122" s="33"/>
      <c r="S122" s="34"/>
    </row>
    <row r="123" spans="15:19" x14ac:dyDescent="0.25">
      <c r="O123" s="22"/>
      <c r="P123" s="21"/>
      <c r="Q123" s="24"/>
      <c r="R123" s="20"/>
      <c r="S123" s="23"/>
    </row>
    <row r="124" spans="15:19" x14ac:dyDescent="0.25">
      <c r="O124" s="30"/>
      <c r="P124" s="31"/>
      <c r="Q124" s="32"/>
      <c r="R124" s="33"/>
      <c r="S124" s="34"/>
    </row>
    <row r="125" spans="15:19" x14ac:dyDescent="0.25">
      <c r="O125" s="22"/>
      <c r="P125" s="21"/>
      <c r="Q125" s="24"/>
      <c r="R125" s="20"/>
      <c r="S125" s="23"/>
    </row>
    <row r="126" spans="15:19" x14ac:dyDescent="0.25">
      <c r="O126" s="30"/>
      <c r="P126" s="31"/>
      <c r="Q126" s="32"/>
      <c r="R126" s="33"/>
      <c r="S126" s="34"/>
    </row>
    <row r="127" spans="15:19" x14ac:dyDescent="0.25">
      <c r="O127" s="22"/>
      <c r="P127" s="21"/>
      <c r="Q127" s="24"/>
      <c r="R127" s="20"/>
      <c r="S127" s="23"/>
    </row>
    <row r="128" spans="15:19" x14ac:dyDescent="0.25">
      <c r="O128" s="30"/>
      <c r="P128" s="31"/>
      <c r="Q128" s="32"/>
      <c r="R128" s="33"/>
      <c r="S128" s="34"/>
    </row>
    <row r="129" spans="15:19" x14ac:dyDescent="0.25">
      <c r="O129" s="22"/>
      <c r="P129" s="21"/>
      <c r="Q129" s="24"/>
      <c r="R129" s="20"/>
      <c r="S129" s="23"/>
    </row>
    <row r="130" spans="15:19" x14ac:dyDescent="0.25">
      <c r="O130" s="30"/>
      <c r="P130" s="31"/>
      <c r="Q130" s="32"/>
      <c r="R130" s="33"/>
      <c r="S130" s="34"/>
    </row>
    <row r="131" spans="15:19" x14ac:dyDescent="0.25">
      <c r="O131" s="22"/>
      <c r="P131" s="21"/>
      <c r="Q131" s="24"/>
      <c r="R131" s="20"/>
      <c r="S131" s="23"/>
    </row>
    <row r="132" spans="15:19" x14ac:dyDescent="0.25">
      <c r="O132" s="30"/>
      <c r="P132" s="31"/>
      <c r="Q132" s="32"/>
      <c r="R132" s="33"/>
      <c r="S132" s="34"/>
    </row>
    <row r="133" spans="15:19" x14ac:dyDescent="0.25">
      <c r="O133" s="22"/>
      <c r="P133" s="21"/>
      <c r="Q133" s="24"/>
      <c r="R133" s="20"/>
      <c r="S133" s="23"/>
    </row>
    <row r="134" spans="15:19" x14ac:dyDescent="0.25">
      <c r="O134" s="30"/>
      <c r="P134" s="31"/>
      <c r="Q134" s="32"/>
      <c r="R134" s="33"/>
      <c r="S134" s="34"/>
    </row>
    <row r="135" spans="15:19" x14ac:dyDescent="0.25">
      <c r="O135" s="22"/>
      <c r="P135" s="21"/>
      <c r="Q135" s="24"/>
      <c r="R135" s="20"/>
      <c r="S135" s="23"/>
    </row>
    <row r="136" spans="15:19" x14ac:dyDescent="0.25">
      <c r="O136" s="30"/>
      <c r="P136" s="31"/>
      <c r="Q136" s="32"/>
      <c r="R136" s="33"/>
      <c r="S136" s="34"/>
    </row>
    <row r="137" spans="15:19" x14ac:dyDescent="0.25">
      <c r="O137" s="22"/>
      <c r="P137" s="21"/>
      <c r="Q137" s="24"/>
      <c r="R137" s="20"/>
      <c r="S137" s="23"/>
    </row>
    <row r="138" spans="15:19" x14ac:dyDescent="0.25">
      <c r="O138" s="30"/>
      <c r="P138" s="31"/>
      <c r="Q138" s="32"/>
      <c r="R138" s="33"/>
      <c r="S138" s="34"/>
    </row>
    <row r="139" spans="15:19" x14ac:dyDescent="0.25">
      <c r="O139" s="22"/>
      <c r="P139" s="21"/>
      <c r="Q139" s="24"/>
      <c r="R139" s="20"/>
      <c r="S139" s="23"/>
    </row>
    <row r="140" spans="15:19" x14ac:dyDescent="0.25">
      <c r="O140" s="30"/>
      <c r="P140" s="31"/>
      <c r="Q140" s="32"/>
      <c r="R140" s="33"/>
      <c r="S140" s="34"/>
    </row>
    <row r="141" spans="15:19" x14ac:dyDescent="0.25">
      <c r="O141" s="22"/>
      <c r="P141" s="21"/>
      <c r="Q141" s="24"/>
      <c r="R141" s="20"/>
      <c r="S141" s="23"/>
    </row>
    <row r="142" spans="15:19" x14ac:dyDescent="0.25">
      <c r="O142" s="30"/>
      <c r="P142" s="31"/>
      <c r="Q142" s="32"/>
      <c r="R142" s="33"/>
      <c r="S142" s="34"/>
    </row>
    <row r="143" spans="15:19" x14ac:dyDescent="0.25">
      <c r="O143" s="22"/>
      <c r="P143" s="21"/>
      <c r="Q143" s="24"/>
      <c r="R143" s="20"/>
      <c r="S143" s="23"/>
    </row>
    <row r="144" spans="15:19" x14ac:dyDescent="0.25">
      <c r="O144" s="30"/>
      <c r="P144" s="31"/>
      <c r="Q144" s="32"/>
      <c r="R144" s="33"/>
      <c r="S144" s="34"/>
    </row>
    <row r="145" spans="15:19" x14ac:dyDescent="0.25">
      <c r="O145" s="22"/>
      <c r="P145" s="21"/>
      <c r="Q145" s="24"/>
      <c r="R145" s="20"/>
      <c r="S145" s="23"/>
    </row>
    <row r="146" spans="15:19" x14ac:dyDescent="0.25">
      <c r="O146" s="30"/>
      <c r="P146" s="31"/>
      <c r="Q146" s="32"/>
      <c r="R146" s="33"/>
      <c r="S146" s="34"/>
    </row>
    <row r="147" spans="15:19" x14ac:dyDescent="0.25">
      <c r="O147" s="22"/>
      <c r="P147" s="21"/>
      <c r="Q147" s="24"/>
      <c r="R147" s="20"/>
      <c r="S147" s="23"/>
    </row>
    <row r="148" spans="15:19" x14ac:dyDescent="0.25">
      <c r="O148" s="30"/>
      <c r="P148" s="31"/>
      <c r="Q148" s="32"/>
      <c r="R148" s="33"/>
      <c r="S148" s="34"/>
    </row>
    <row r="149" spans="15:19" x14ac:dyDescent="0.25">
      <c r="O149" s="22"/>
      <c r="P149" s="21"/>
      <c r="Q149" s="24"/>
      <c r="R149" s="20"/>
      <c r="S149" s="23"/>
    </row>
    <row r="150" spans="15:19" x14ac:dyDescent="0.25">
      <c r="O150" s="30"/>
      <c r="P150" s="31"/>
      <c r="Q150" s="32"/>
      <c r="R150" s="33"/>
      <c r="S150" s="34"/>
    </row>
    <row r="151" spans="15:19" x14ac:dyDescent="0.25">
      <c r="O151" s="22"/>
      <c r="P151" s="21"/>
      <c r="Q151" s="24"/>
      <c r="R151" s="20"/>
      <c r="S151" s="23"/>
    </row>
    <row r="152" spans="15:19" x14ac:dyDescent="0.25">
      <c r="O152" s="30"/>
      <c r="P152" s="31"/>
      <c r="Q152" s="32"/>
      <c r="R152" s="33"/>
      <c r="S152" s="34"/>
    </row>
    <row r="153" spans="15:19" x14ac:dyDescent="0.25">
      <c r="O153" s="22"/>
      <c r="P153" s="21"/>
      <c r="Q153" s="24"/>
      <c r="R153" s="20"/>
      <c r="S153" s="23"/>
    </row>
    <row r="154" spans="15:19" x14ac:dyDescent="0.25">
      <c r="O154" s="30"/>
      <c r="P154" s="31"/>
      <c r="Q154" s="32"/>
      <c r="R154" s="33"/>
      <c r="S154" s="34"/>
    </row>
    <row r="155" spans="15:19" x14ac:dyDescent="0.25">
      <c r="O155" s="22"/>
      <c r="P155" s="21"/>
      <c r="Q155" s="24"/>
      <c r="R155" s="20"/>
      <c r="S155" s="23"/>
    </row>
    <row r="156" spans="15:19" x14ac:dyDescent="0.25">
      <c r="O156" s="30"/>
      <c r="P156" s="31"/>
      <c r="Q156" s="32"/>
      <c r="R156" s="33"/>
      <c r="S156" s="34"/>
    </row>
    <row r="157" spans="15:19" x14ac:dyDescent="0.25">
      <c r="O157" s="22"/>
      <c r="P157" s="21"/>
      <c r="Q157" s="24"/>
      <c r="R157" s="20"/>
      <c r="S157" s="23"/>
    </row>
    <row r="158" spans="15:19" x14ac:dyDescent="0.25">
      <c r="O158" s="30"/>
      <c r="P158" s="31"/>
      <c r="Q158" s="32"/>
      <c r="R158" s="33"/>
      <c r="S158" s="34"/>
    </row>
    <row r="159" spans="15:19" x14ac:dyDescent="0.25">
      <c r="O159" s="22"/>
      <c r="P159" s="21"/>
      <c r="Q159" s="24"/>
      <c r="R159" s="20"/>
      <c r="S159" s="23"/>
    </row>
    <row r="160" spans="15:19" x14ac:dyDescent="0.25">
      <c r="O160" s="30"/>
      <c r="P160" s="31"/>
      <c r="Q160" s="32"/>
      <c r="R160" s="33"/>
      <c r="S160" s="34"/>
    </row>
    <row r="161" spans="15:19" x14ac:dyDescent="0.25">
      <c r="O161" s="22"/>
      <c r="P161" s="21"/>
      <c r="Q161" s="24"/>
      <c r="R161" s="20"/>
      <c r="S161" s="23"/>
    </row>
    <row r="162" spans="15:19" x14ac:dyDescent="0.25">
      <c r="O162" s="30"/>
      <c r="P162" s="31"/>
      <c r="Q162" s="32"/>
      <c r="R162" s="33"/>
      <c r="S162" s="34"/>
    </row>
    <row r="163" spans="15:19" x14ac:dyDescent="0.25">
      <c r="O163" s="22"/>
      <c r="P163" s="21"/>
      <c r="Q163" s="24"/>
      <c r="R163" s="20"/>
      <c r="S163" s="23"/>
    </row>
    <row r="164" spans="15:19" x14ac:dyDescent="0.25">
      <c r="O164" s="30"/>
      <c r="P164" s="31"/>
      <c r="Q164" s="32"/>
      <c r="R164" s="33"/>
      <c r="S164" s="34"/>
    </row>
    <row r="165" spans="15:19" x14ac:dyDescent="0.25">
      <c r="O165" s="22"/>
      <c r="P165" s="21"/>
      <c r="Q165" s="24"/>
      <c r="R165" s="20"/>
      <c r="S165" s="23"/>
    </row>
    <row r="166" spans="15:19" x14ac:dyDescent="0.25">
      <c r="O166" s="30"/>
      <c r="P166" s="31"/>
      <c r="Q166" s="32"/>
      <c r="R166" s="33"/>
      <c r="S166" s="34"/>
    </row>
    <row r="167" spans="15:19" x14ac:dyDescent="0.25">
      <c r="O167" s="22"/>
      <c r="P167" s="21"/>
      <c r="Q167" s="24"/>
      <c r="R167" s="20"/>
      <c r="S167" s="23"/>
    </row>
    <row r="168" spans="15:19" x14ac:dyDescent="0.25">
      <c r="O168" s="30"/>
      <c r="P168" s="31"/>
      <c r="Q168" s="32"/>
      <c r="R168" s="33"/>
      <c r="S168" s="34"/>
    </row>
    <row r="169" spans="15:19" x14ac:dyDescent="0.25">
      <c r="O169" s="22"/>
      <c r="P169" s="21"/>
      <c r="Q169" s="24"/>
      <c r="R169" s="20"/>
      <c r="S169" s="23"/>
    </row>
    <row r="170" spans="15:19" x14ac:dyDescent="0.25">
      <c r="O170" s="30"/>
      <c r="P170" s="31"/>
      <c r="Q170" s="32"/>
      <c r="R170" s="33"/>
      <c r="S170" s="34"/>
    </row>
    <row r="171" spans="15:19" x14ac:dyDescent="0.25">
      <c r="O171" s="22"/>
      <c r="P171" s="21"/>
      <c r="Q171" s="24"/>
      <c r="R171" s="20"/>
      <c r="S171" s="23"/>
    </row>
    <row r="172" spans="15:19" x14ac:dyDescent="0.25">
      <c r="O172" s="30"/>
      <c r="P172" s="31"/>
      <c r="Q172" s="32"/>
      <c r="R172" s="33"/>
      <c r="S172" s="34"/>
    </row>
    <row r="173" spans="15:19" x14ac:dyDescent="0.25">
      <c r="O173" s="22"/>
      <c r="P173" s="21"/>
      <c r="Q173" s="24"/>
      <c r="R173" s="20"/>
      <c r="S173" s="23"/>
    </row>
    <row r="174" spans="15:19" x14ac:dyDescent="0.25">
      <c r="O174" s="30"/>
      <c r="P174" s="31"/>
      <c r="Q174" s="32"/>
      <c r="R174" s="33"/>
      <c r="S174" s="34"/>
    </row>
    <row r="175" spans="15:19" x14ac:dyDescent="0.25">
      <c r="O175" s="22"/>
      <c r="P175" s="21"/>
      <c r="Q175" s="24"/>
      <c r="R175" s="20"/>
      <c r="S175" s="23"/>
    </row>
    <row r="176" spans="15:19" x14ac:dyDescent="0.25">
      <c r="O176" s="30"/>
      <c r="P176" s="31"/>
      <c r="Q176" s="32"/>
      <c r="R176" s="33"/>
      <c r="S176" s="34"/>
    </row>
    <row r="177" spans="15:19" x14ac:dyDescent="0.25">
      <c r="O177" s="22"/>
      <c r="P177" s="21"/>
      <c r="Q177" s="24"/>
      <c r="R177" s="20"/>
      <c r="S177" s="23"/>
    </row>
    <row r="178" spans="15:19" x14ac:dyDescent="0.25">
      <c r="O178" s="30"/>
      <c r="P178" s="31"/>
      <c r="Q178" s="32"/>
      <c r="R178" s="33"/>
      <c r="S178" s="34"/>
    </row>
    <row r="179" spans="15:19" x14ac:dyDescent="0.25">
      <c r="O179" s="22"/>
      <c r="P179" s="21"/>
      <c r="Q179" s="24"/>
      <c r="R179" s="20"/>
      <c r="S179" s="23"/>
    </row>
    <row r="180" spans="15:19" x14ac:dyDescent="0.25">
      <c r="O180" s="30"/>
      <c r="P180" s="31"/>
      <c r="Q180" s="32"/>
      <c r="R180" s="33"/>
      <c r="S180" s="34"/>
    </row>
    <row r="181" spans="15:19" x14ac:dyDescent="0.25">
      <c r="O181" s="22"/>
      <c r="P181" s="21"/>
      <c r="Q181" s="24"/>
      <c r="R181" s="20"/>
      <c r="S181" s="23"/>
    </row>
    <row r="182" spans="15:19" x14ac:dyDescent="0.25">
      <c r="O182" s="30"/>
      <c r="P182" s="31"/>
      <c r="Q182" s="32"/>
      <c r="R182" s="33"/>
      <c r="S182" s="34"/>
    </row>
    <row r="183" spans="15:19" x14ac:dyDescent="0.25">
      <c r="O183" s="22"/>
      <c r="P183" s="21"/>
      <c r="Q183" s="24"/>
      <c r="R183" s="20"/>
      <c r="S183" s="23"/>
    </row>
    <row r="184" spans="15:19" x14ac:dyDescent="0.25">
      <c r="O184" s="30"/>
      <c r="P184" s="31"/>
      <c r="Q184" s="32"/>
      <c r="R184" s="33"/>
      <c r="S184" s="34"/>
    </row>
    <row r="185" spans="15:19" x14ac:dyDescent="0.25">
      <c r="O185" s="22"/>
      <c r="P185" s="21"/>
      <c r="Q185" s="24"/>
      <c r="R185" s="20"/>
      <c r="S185" s="23"/>
    </row>
    <row r="186" spans="15:19" x14ac:dyDescent="0.25">
      <c r="O186" s="30"/>
      <c r="P186" s="31"/>
      <c r="Q186" s="32"/>
      <c r="R186" s="33"/>
      <c r="S186" s="34"/>
    </row>
    <row r="187" spans="15:19" x14ac:dyDescent="0.25">
      <c r="O187" s="22"/>
      <c r="P187" s="21"/>
      <c r="Q187" s="24"/>
      <c r="R187" s="20"/>
      <c r="S187" s="23"/>
    </row>
    <row r="188" spans="15:19" x14ac:dyDescent="0.25">
      <c r="O188" s="30"/>
      <c r="P188" s="31"/>
      <c r="Q188" s="32"/>
      <c r="R188" s="33"/>
      <c r="S188" s="34"/>
    </row>
    <row r="189" spans="15:19" x14ac:dyDescent="0.25">
      <c r="O189" s="22"/>
      <c r="P189" s="21"/>
      <c r="Q189" s="24"/>
      <c r="R189" s="20"/>
      <c r="S189" s="23"/>
    </row>
    <row r="190" spans="15:19" x14ac:dyDescent="0.25">
      <c r="O190" s="30"/>
      <c r="P190" s="31"/>
      <c r="Q190" s="32"/>
      <c r="R190" s="33"/>
      <c r="S190" s="34"/>
    </row>
    <row r="191" spans="15:19" x14ac:dyDescent="0.25">
      <c r="O191" s="22"/>
      <c r="P191" s="21"/>
      <c r="Q191" s="24"/>
      <c r="R191" s="20"/>
      <c r="S191" s="23"/>
    </row>
    <row r="192" spans="15:19" x14ac:dyDescent="0.25">
      <c r="O192" s="30"/>
      <c r="P192" s="31"/>
      <c r="Q192" s="32"/>
      <c r="R192" s="33"/>
      <c r="S192" s="34"/>
    </row>
    <row r="193" spans="15:19" x14ac:dyDescent="0.25">
      <c r="O193" s="22"/>
      <c r="P193" s="21"/>
      <c r="Q193" s="24"/>
      <c r="R193" s="20"/>
      <c r="S193" s="23"/>
    </row>
    <row r="194" spans="15:19" x14ac:dyDescent="0.25">
      <c r="O194" s="30"/>
      <c r="P194" s="31"/>
      <c r="Q194" s="32"/>
      <c r="R194" s="33"/>
      <c r="S194" s="34"/>
    </row>
    <row r="195" spans="15:19" x14ac:dyDescent="0.25">
      <c r="O195" s="22"/>
      <c r="P195" s="21"/>
      <c r="Q195" s="24"/>
      <c r="R195" s="20"/>
      <c r="S195" s="23"/>
    </row>
    <row r="196" spans="15:19" x14ac:dyDescent="0.25">
      <c r="O196" s="30"/>
      <c r="P196" s="31"/>
      <c r="Q196" s="32"/>
      <c r="R196" s="33"/>
      <c r="S196" s="34"/>
    </row>
    <row r="197" spans="15:19" x14ac:dyDescent="0.25">
      <c r="O197" s="22"/>
      <c r="P197" s="21"/>
      <c r="Q197" s="24"/>
      <c r="R197" s="20"/>
      <c r="S197" s="23"/>
    </row>
    <row r="198" spans="15:19" x14ac:dyDescent="0.25">
      <c r="O198" s="30"/>
      <c r="P198" s="31"/>
      <c r="Q198" s="32"/>
      <c r="R198" s="33"/>
      <c r="S198" s="34"/>
    </row>
    <row r="199" spans="15:19" x14ac:dyDescent="0.25">
      <c r="O199" s="22"/>
      <c r="P199" s="21"/>
      <c r="Q199" s="24"/>
      <c r="R199" s="20"/>
      <c r="S199" s="23"/>
    </row>
    <row r="200" spans="15:19" x14ac:dyDescent="0.25">
      <c r="O200" s="30"/>
      <c r="P200" s="31"/>
      <c r="Q200" s="32"/>
      <c r="R200" s="33"/>
      <c r="S200" s="34"/>
    </row>
    <row r="201" spans="15:19" x14ac:dyDescent="0.25">
      <c r="O201" s="22"/>
      <c r="P201" s="21"/>
      <c r="Q201" s="24"/>
      <c r="R201" s="20"/>
      <c r="S201" s="23"/>
    </row>
    <row r="202" spans="15:19" x14ac:dyDescent="0.25">
      <c r="O202" s="30"/>
      <c r="P202" s="31"/>
      <c r="Q202" s="32"/>
      <c r="R202" s="33"/>
      <c r="S202" s="34"/>
    </row>
    <row r="203" spans="15:19" x14ac:dyDescent="0.25">
      <c r="O203" s="22"/>
      <c r="P203" s="21"/>
      <c r="Q203" s="24"/>
      <c r="R203" s="20"/>
      <c r="S203" s="23"/>
    </row>
    <row r="204" spans="15:19" x14ac:dyDescent="0.25">
      <c r="O204" s="30"/>
      <c r="P204" s="31"/>
      <c r="Q204" s="32"/>
      <c r="R204" s="33"/>
      <c r="S204" s="34"/>
    </row>
    <row r="205" spans="15:19" x14ac:dyDescent="0.25">
      <c r="O205" s="22"/>
      <c r="P205" s="21"/>
      <c r="Q205" s="24"/>
      <c r="R205" s="20"/>
      <c r="S205" s="23"/>
    </row>
    <row r="206" spans="15:19" x14ac:dyDescent="0.25">
      <c r="O206" s="30"/>
      <c r="P206" s="31"/>
      <c r="Q206" s="32"/>
      <c r="R206" s="33"/>
      <c r="S206" s="34"/>
    </row>
    <row r="207" spans="15:19" x14ac:dyDescent="0.25">
      <c r="O207" s="22"/>
      <c r="P207" s="21"/>
      <c r="Q207" s="24"/>
      <c r="R207" s="20"/>
      <c r="S207" s="23"/>
    </row>
    <row r="208" spans="15:19" x14ac:dyDescent="0.25">
      <c r="O208" s="30"/>
      <c r="P208" s="31"/>
      <c r="Q208" s="32"/>
      <c r="R208" s="33"/>
      <c r="S208" s="34"/>
    </row>
    <row r="209" spans="15:19" x14ac:dyDescent="0.25">
      <c r="O209" s="22"/>
      <c r="P209" s="21"/>
      <c r="Q209" s="24"/>
      <c r="R209" s="20"/>
      <c r="S209" s="23"/>
    </row>
    <row r="210" spans="15:19" x14ac:dyDescent="0.25">
      <c r="O210" s="30"/>
      <c r="P210" s="31"/>
      <c r="Q210" s="32"/>
      <c r="R210" s="33"/>
      <c r="S210" s="34"/>
    </row>
    <row r="211" spans="15:19" x14ac:dyDescent="0.25">
      <c r="O211" s="22"/>
      <c r="P211" s="21"/>
      <c r="Q211" s="24"/>
      <c r="R211" s="20"/>
      <c r="S211" s="23"/>
    </row>
    <row r="212" spans="15:19" x14ac:dyDescent="0.25">
      <c r="O212" s="30"/>
      <c r="P212" s="31"/>
      <c r="Q212" s="32"/>
      <c r="R212" s="33"/>
      <c r="S212" s="34"/>
    </row>
  </sheetData>
  <mergeCells count="25">
    <mergeCell ref="A1:S1"/>
    <mergeCell ref="A2:S2"/>
    <mergeCell ref="A3:B3"/>
    <mergeCell ref="C3:H3"/>
    <mergeCell ref="A4:B4"/>
    <mergeCell ref="C4:H4"/>
    <mergeCell ref="A5:B5"/>
    <mergeCell ref="C5:H5"/>
    <mergeCell ref="A6:B6"/>
    <mergeCell ref="C6:H6"/>
    <mergeCell ref="A8:C8"/>
    <mergeCell ref="A9:C9"/>
    <mergeCell ref="E8:G8"/>
    <mergeCell ref="E9:G9"/>
    <mergeCell ref="H8:J8"/>
    <mergeCell ref="H9:J9"/>
    <mergeCell ref="K8:M8"/>
    <mergeCell ref="K9:M9"/>
    <mergeCell ref="A10:C10"/>
    <mergeCell ref="D10:G10"/>
    <mergeCell ref="H10:J10"/>
    <mergeCell ref="K10:M10"/>
    <mergeCell ref="A11:M11"/>
    <mergeCell ref="O11:S11"/>
    <mergeCell ref="O10:S10"/>
  </mergeCells>
  <conditionalFormatting sqref="H13:H62">
    <cfRule type="dataBar" priority="12">
      <dataBar>
        <cfvo type="min"/>
        <cfvo type="max"/>
        <color rgb="FFF4B183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conditionalFormatting sqref="I13:I62">
    <cfRule type="expression" dxfId="9" priority="7">
      <formula>$I13="Đã giao"</formula>
    </cfRule>
    <cfRule type="expression" dxfId="3" priority="8">
      <formula>$I13="Chưa giao"</formula>
    </cfRule>
  </conditionalFormatting>
  <conditionalFormatting sqref="J13:J62">
    <cfRule type="expression" dxfId="3" priority="9">
      <formula>$J13="Chưa xuất"</formula>
    </cfRule>
    <cfRule type="expression" dxfId="9" priority="10">
      <formula>LEFT($J13,2)="HĐ"</formula>
    </cfRule>
  </conditionalFormatting>
  <conditionalFormatting sqref="L13:L62">
    <cfRule type="expression" dxfId="6" priority="1">
      <formula>ISNUMBER(SEARCH("CHƯA XUẤT",$L13))</formula>
    </cfRule>
    <cfRule type="expression" dxfId="1" priority="2">
      <formula>ISNUMBER(SEARCH("Quá hạn",$L13))</formula>
    </cfRule>
    <cfRule type="expression" dxfId="7" priority="3">
      <formula>ISNUMBER(SEARCH("CHƯA CÓ GIÁ",$L13))</formula>
    </cfRule>
    <cfRule type="expression" dxfId="10" priority="4">
      <formula>ISNUMBER(SEARCH("Không thấy sheet",$L13))</formula>
    </cfRule>
    <cfRule type="expression" dxfId="2" priority="5">
      <formula>$L13="Hoàn tất"</formula>
    </cfRule>
  </conditionalFormatting>
  <conditionalFormatting sqref="M13:M62">
    <cfRule type="expression" dxfId="1" priority="6">
      <formula>AND(ISNUMBER($M13),$M13&gt;0)</formula>
    </cfRule>
  </conditionalFormatting>
  <conditionalFormatting sqref="O10:S10">
    <cfRule type="expression" dxfId="1" priority="11">
      <formula>ISNUMBER(SEARCH("CHƯA KHỚP",$O$10))</formula>
    </cfRule>
  </conditionalFormatting>
  <dataValidations count="2">
    <dataValidation type="list" allowBlank="1" showInputMessage="1" showErrorMessage="1" errorTitle="Mã đơn" error="Chọn mã đơn có trong danh sách đơn hàng bên trái" sqref="P13:P212">
      <formula1>$B$13:$B$62</formula1>
    </dataValidation>
    <dataValidation type="list" allowBlank="1" showInputMessage="1" showErrorMessage="1" sqref="R13:R212">
      <formula1>"Chuyển khoản,Tiền mặt,Khác"</formula1>
    </dataValidation>
  </dataValidations>
  <pageMargins left="0.7" right="0.7" top="0.75" bottom="0.75" header="0.3" footer="0.3"/>
  <pageSetup paperSize="9" fitToHeight="0" orientation="landscape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border="1" gradient="0" negativeBarBorderColorSameAsPositive="0">
              <x14:cfvo type="autoMin"/>
              <x14:cfvo type="autoMax"/>
              <x14:borderColor rgb="FFF4B183"/>
              <x14:negativeFillColor rgb="FFFF0000"/>
              <x14:negativeBorderColor rgb="FFFF0000"/>
              <x14:axisColor rgb="FF000000"/>
            </x14:dataBar>
          </x14:cfRule>
          <xm:sqref>H13:H62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dimension ref="A1:A15"/>
  <sheetViews>
    <sheetView showGridLines="0" workbookViewId="0"/>
  </sheetViews>
  <sheetFormatPr defaultRowHeight="15"/>
  <cols>
    <col min="1" max="1" width="125.7109375" customWidth="1"/>
  </cols>
  <sheetData>
    <row r="1" spans="1:1">
      <c r="A1" s="35" t="s">
        <v>97</v>
      </c>
    </row>
    <row r="2" spans="1:1">
      <c r="A2" s="36" t="s">
        <v>98</v>
      </c>
    </row>
    <row r="3" spans="1:1">
      <c r="A3" s="36" t="s">
        <v>99</v>
      </c>
    </row>
    <row r="4" spans="1:1">
      <c r="A4" s="36" t="s">
        <v>100</v>
      </c>
    </row>
    <row r="5" spans="1:1">
      <c r="A5" s="36" t="s">
        <v>101</v>
      </c>
    </row>
    <row r="6" spans="1:1">
      <c r="A6" s="36" t="s">
        <v>102</v>
      </c>
    </row>
    <row r="7" spans="1:1">
      <c r="A7" s="36" t="s">
        <v>103</v>
      </c>
    </row>
    <row r="8" spans="1:1">
      <c r="A8" s="36" t="s">
        <v>104</v>
      </c>
    </row>
    <row r="9" spans="1:1">
      <c r="A9" s="36" t="s">
        <v>105</v>
      </c>
    </row>
    <row r="10" spans="1:1">
      <c r="A10" s="36" t="s">
        <v>106</v>
      </c>
    </row>
    <row r="11" spans="1:1">
      <c r="A11" s="36" t="s">
        <v>107</v>
      </c>
    </row>
    <row r="12" spans="1:1">
      <c r="A12" s="36" t="s">
        <v>108</v>
      </c>
    </row>
    <row r="13" spans="1:1">
      <c r="A13" s="36" t="s">
        <v>109</v>
      </c>
    </row>
    <row r="14" spans="1:1">
      <c r="A14" s="36" t="s">
        <v>110</v>
      </c>
    </row>
    <row r="15" spans="1:1">
      <c r="A15" s="36" t="s">
        <v>111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548235"/>
  </sheetPr>
  <dimension ref="A1:F500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30.7109375" customWidth="1"/>
    <col min="2" max="2" width="18.7109375" customWidth="1"/>
    <col min="3" max="3" width="34.7109375" customWidth="1"/>
    <col min="4" max="4" width="44.7109375" customWidth="1"/>
  </cols>
  <sheetData>
    <row r="1" spans="1:6" ht="30" customHeight="1">
      <c r="A1" s="6" t="s">
        <v>0</v>
      </c>
      <c r="B1" s="6" t="s">
        <v>1</v>
      </c>
      <c r="C1" s="6" t="s">
        <v>2</v>
      </c>
      <c r="D1" s="6" t="s">
        <v>3</v>
      </c>
      <c r="F1" s="37" t="s">
        <v>31</v>
      </c>
    </row>
    <row r="2" spans="1:6">
      <c r="A2" s="38" t="s">
        <v>4</v>
      </c>
      <c r="B2" s="39">
        <v>6200000</v>
      </c>
      <c r="C2" s="40" t="s">
        <v>5</v>
      </c>
      <c r="D2" s="23"/>
    </row>
    <row r="3" spans="1:6">
      <c r="A3" s="38" t="s">
        <v>6</v>
      </c>
      <c r="B3" s="39">
        <v>13700000</v>
      </c>
      <c r="C3" s="40" t="s">
        <v>5</v>
      </c>
      <c r="D3" s="23"/>
    </row>
    <row r="4" spans="1:6">
      <c r="A4" s="38" t="s">
        <v>7</v>
      </c>
      <c r="B4" s="39">
        <v>8500000</v>
      </c>
      <c r="C4" s="40" t="s">
        <v>5</v>
      </c>
      <c r="D4" s="23"/>
    </row>
    <row r="5" spans="1:6">
      <c r="A5" s="41" t="s">
        <v>8</v>
      </c>
      <c r="B5" s="42">
        <v>20500000</v>
      </c>
      <c r="C5" s="43" t="s">
        <v>9</v>
      </c>
      <c r="D5" s="44"/>
    </row>
    <row r="6" spans="1:6">
      <c r="A6" s="41" t="s">
        <v>10</v>
      </c>
      <c r="B6" s="42">
        <v>52000000</v>
      </c>
      <c r="C6" s="43" t="s">
        <v>9</v>
      </c>
      <c r="D6" s="44"/>
    </row>
    <row r="7" spans="1:6">
      <c r="A7" s="38" t="s">
        <v>11</v>
      </c>
      <c r="B7" s="39">
        <v>10200000</v>
      </c>
      <c r="C7" s="40" t="s">
        <v>12</v>
      </c>
      <c r="D7" s="23"/>
    </row>
    <row r="8" spans="1:6">
      <c r="A8" s="38" t="s">
        <v>13</v>
      </c>
      <c r="B8" s="39">
        <v>11800000</v>
      </c>
      <c r="C8" s="40" t="s">
        <v>12</v>
      </c>
      <c r="D8" s="23"/>
    </row>
    <row r="9" spans="1:6">
      <c r="A9" s="38" t="s">
        <v>14</v>
      </c>
      <c r="B9" s="39">
        <v>13500000</v>
      </c>
      <c r="C9" s="40" t="s">
        <v>12</v>
      </c>
      <c r="D9" s="23"/>
    </row>
    <row r="10" spans="1:6">
      <c r="A10" s="41" t="s">
        <v>15</v>
      </c>
      <c r="B10" s="42">
        <v>3800000</v>
      </c>
      <c r="C10" s="43" t="s">
        <v>16</v>
      </c>
      <c r="D10" s="44"/>
    </row>
    <row r="11" spans="1:6">
      <c r="A11" s="41" t="s">
        <v>17</v>
      </c>
      <c r="B11" s="42">
        <v>6300000</v>
      </c>
      <c r="C11" s="43" t="s">
        <v>16</v>
      </c>
      <c r="D11" s="44"/>
    </row>
    <row r="12" spans="1:6">
      <c r="A12" s="41" t="s">
        <v>18</v>
      </c>
      <c r="B12" s="42">
        <v>16000000</v>
      </c>
      <c r="C12" s="43" t="s">
        <v>16</v>
      </c>
      <c r="D12" s="44"/>
    </row>
    <row r="13" spans="1:6">
      <c r="A13" s="41" t="s">
        <v>19</v>
      </c>
      <c r="B13" s="42">
        <v>18500000</v>
      </c>
      <c r="C13" s="43" t="s">
        <v>16</v>
      </c>
      <c r="D13" s="44"/>
    </row>
    <row r="14" spans="1:6">
      <c r="A14" s="41" t="s">
        <v>20</v>
      </c>
      <c r="B14" s="42">
        <v>69000000</v>
      </c>
      <c r="C14" s="43" t="s">
        <v>16</v>
      </c>
      <c r="D14" s="44"/>
    </row>
    <row r="15" spans="1:6">
      <c r="A15" s="38" t="s">
        <v>21</v>
      </c>
      <c r="B15" s="39">
        <v>22000000</v>
      </c>
      <c r="C15" s="40" t="s">
        <v>22</v>
      </c>
      <c r="D15" s="23"/>
    </row>
    <row r="16" spans="1:6">
      <c r="A16" s="38" t="s">
        <v>23</v>
      </c>
      <c r="B16" s="39">
        <v>4600000</v>
      </c>
      <c r="C16" s="40" t="s">
        <v>22</v>
      </c>
      <c r="D16" s="23"/>
    </row>
    <row r="17" spans="1:4">
      <c r="A17" s="38" t="s">
        <v>24</v>
      </c>
      <c r="B17" s="39">
        <v>1850000</v>
      </c>
      <c r="C17" s="40" t="s">
        <v>22</v>
      </c>
      <c r="D17" s="23"/>
    </row>
    <row r="18" spans="1:4">
      <c r="A18" s="41" t="s">
        <v>25</v>
      </c>
      <c r="B18" s="42">
        <v>5800000</v>
      </c>
      <c r="C18" s="43" t="s">
        <v>26</v>
      </c>
      <c r="D18" s="45" t="s">
        <v>27</v>
      </c>
    </row>
    <row r="19" spans="1:4">
      <c r="A19" s="41" t="s">
        <v>28</v>
      </c>
      <c r="B19" s="42">
        <v>7500000</v>
      </c>
      <c r="C19" s="43" t="s">
        <v>26</v>
      </c>
      <c r="D19" s="45" t="s">
        <v>29</v>
      </c>
    </row>
    <row r="20" spans="1:4">
      <c r="A20" s="41" t="s">
        <v>30</v>
      </c>
      <c r="B20" s="42">
        <v>3000000</v>
      </c>
      <c r="C20" s="43" t="s">
        <v>26</v>
      </c>
      <c r="D20" s="44"/>
    </row>
    <row r="21" spans="1:4">
      <c r="A21" s="46"/>
      <c r="B21" s="47"/>
      <c r="C21" s="46"/>
      <c r="D21" s="46"/>
    </row>
    <row r="22" spans="1:4">
      <c r="A22" s="46"/>
      <c r="B22" s="47"/>
      <c r="C22" s="46"/>
      <c r="D22" s="46"/>
    </row>
    <row r="23" spans="1:4">
      <c r="A23" s="46"/>
      <c r="B23" s="47"/>
      <c r="C23" s="46"/>
      <c r="D23" s="46"/>
    </row>
    <row r="24" spans="1:4">
      <c r="A24" s="46"/>
      <c r="B24" s="47"/>
      <c r="C24" s="46"/>
      <c r="D24" s="46"/>
    </row>
    <row r="25" spans="1:4">
      <c r="A25" s="46"/>
      <c r="B25" s="47"/>
      <c r="C25" s="46"/>
      <c r="D25" s="46"/>
    </row>
    <row r="26" spans="1:4">
      <c r="A26" s="46"/>
      <c r="B26" s="47"/>
      <c r="C26" s="46"/>
      <c r="D26" s="46"/>
    </row>
    <row r="27" spans="1:4">
      <c r="A27" s="46"/>
      <c r="B27" s="47"/>
      <c r="C27" s="46"/>
      <c r="D27" s="46"/>
    </row>
    <row r="28" spans="1:4">
      <c r="A28" s="46"/>
      <c r="B28" s="47"/>
      <c r="C28" s="46"/>
      <c r="D28" s="46"/>
    </row>
    <row r="29" spans="1:4">
      <c r="A29" s="46"/>
      <c r="B29" s="47"/>
      <c r="C29" s="46"/>
      <c r="D29" s="46"/>
    </row>
    <row r="30" spans="1:4">
      <c r="A30" s="46"/>
      <c r="B30" s="47"/>
      <c r="C30" s="46"/>
      <c r="D30" s="46"/>
    </row>
    <row r="31" spans="1:4">
      <c r="A31" s="46"/>
      <c r="B31" s="47"/>
      <c r="C31" s="46"/>
      <c r="D31" s="46"/>
    </row>
    <row r="32" spans="1:4">
      <c r="A32" s="46"/>
      <c r="B32" s="47"/>
      <c r="C32" s="46"/>
      <c r="D32" s="46"/>
    </row>
    <row r="33" spans="1:4">
      <c r="A33" s="46"/>
      <c r="B33" s="47"/>
      <c r="C33" s="46"/>
      <c r="D33" s="46"/>
    </row>
    <row r="34" spans="1:4">
      <c r="A34" s="46"/>
      <c r="B34" s="47"/>
      <c r="C34" s="46"/>
      <c r="D34" s="46"/>
    </row>
    <row r="35" spans="1:4">
      <c r="A35" s="46"/>
      <c r="B35" s="47"/>
      <c r="C35" s="46"/>
      <c r="D35" s="46"/>
    </row>
    <row r="36" spans="1:4">
      <c r="A36" s="46"/>
      <c r="B36" s="47"/>
      <c r="C36" s="46"/>
      <c r="D36" s="46"/>
    </row>
    <row r="37" spans="1:4">
      <c r="A37" s="46"/>
      <c r="B37" s="47"/>
      <c r="C37" s="46"/>
      <c r="D37" s="46"/>
    </row>
    <row r="38" spans="1:4">
      <c r="A38" s="46"/>
      <c r="B38" s="47"/>
      <c r="C38" s="46"/>
      <c r="D38" s="46"/>
    </row>
    <row r="39" spans="1:4">
      <c r="A39" s="46"/>
      <c r="B39" s="47"/>
      <c r="C39" s="46"/>
      <c r="D39" s="46"/>
    </row>
    <row r="40" spans="1:4">
      <c r="A40" s="46"/>
      <c r="B40" s="47"/>
      <c r="C40" s="46"/>
      <c r="D40" s="46"/>
    </row>
    <row r="41" spans="1:4">
      <c r="A41" s="46"/>
      <c r="B41" s="47"/>
      <c r="C41" s="46"/>
      <c r="D41" s="46"/>
    </row>
    <row r="42" spans="1:4">
      <c r="A42" s="46"/>
      <c r="B42" s="47"/>
      <c r="C42" s="46"/>
      <c r="D42" s="46"/>
    </row>
    <row r="43" spans="1:4">
      <c r="A43" s="46"/>
      <c r="B43" s="47"/>
      <c r="C43" s="46"/>
      <c r="D43" s="46"/>
    </row>
    <row r="44" spans="1:4">
      <c r="A44" s="46"/>
      <c r="B44" s="47"/>
      <c r="C44" s="46"/>
      <c r="D44" s="46"/>
    </row>
    <row r="45" spans="1:4">
      <c r="A45" s="46"/>
      <c r="B45" s="47"/>
      <c r="C45" s="46"/>
      <c r="D45" s="46"/>
    </row>
    <row r="46" spans="1:4">
      <c r="A46" s="46"/>
      <c r="B46" s="47"/>
      <c r="C46" s="46"/>
      <c r="D46" s="46"/>
    </row>
    <row r="47" spans="1:4">
      <c r="A47" s="46"/>
      <c r="B47" s="47"/>
      <c r="C47" s="46"/>
      <c r="D47" s="46"/>
    </row>
    <row r="48" spans="1:4">
      <c r="A48" s="46"/>
      <c r="B48" s="47"/>
      <c r="C48" s="46"/>
      <c r="D48" s="46"/>
    </row>
    <row r="49" spans="1:4">
      <c r="A49" s="46"/>
      <c r="B49" s="47"/>
      <c r="C49" s="46"/>
      <c r="D49" s="46"/>
    </row>
    <row r="50" spans="1:4">
      <c r="A50" s="46"/>
      <c r="B50" s="47"/>
      <c r="C50" s="46"/>
      <c r="D50" s="46"/>
    </row>
    <row r="51" spans="1:4">
      <c r="A51" s="46"/>
      <c r="B51" s="47"/>
      <c r="C51" s="46"/>
      <c r="D51" s="46"/>
    </row>
    <row r="52" spans="1:4">
      <c r="A52" s="46"/>
      <c r="B52" s="47"/>
      <c r="C52" s="46"/>
      <c r="D52" s="46"/>
    </row>
    <row r="53" spans="1:4">
      <c r="A53" s="46"/>
      <c r="B53" s="47"/>
      <c r="C53" s="46"/>
      <c r="D53" s="46"/>
    </row>
    <row r="54" spans="1:4">
      <c r="A54" s="46"/>
      <c r="B54" s="47"/>
      <c r="C54" s="46"/>
      <c r="D54" s="46"/>
    </row>
    <row r="55" spans="1:4">
      <c r="A55" s="46"/>
      <c r="B55" s="47"/>
      <c r="C55" s="46"/>
      <c r="D55" s="46"/>
    </row>
    <row r="56" spans="1:4">
      <c r="A56" s="46"/>
      <c r="B56" s="47"/>
      <c r="C56" s="46"/>
      <c r="D56" s="46"/>
    </row>
    <row r="57" spans="1:4">
      <c r="A57" s="46"/>
      <c r="B57" s="47"/>
      <c r="C57" s="46"/>
      <c r="D57" s="46"/>
    </row>
    <row r="58" spans="1:4">
      <c r="A58" s="46"/>
      <c r="B58" s="47"/>
      <c r="C58" s="46"/>
      <c r="D58" s="46"/>
    </row>
    <row r="59" spans="1:4">
      <c r="A59" s="46"/>
      <c r="B59" s="47"/>
      <c r="C59" s="46"/>
      <c r="D59" s="46"/>
    </row>
    <row r="60" spans="1:4">
      <c r="A60" s="46"/>
      <c r="B60" s="47"/>
      <c r="C60" s="46"/>
      <c r="D60" s="46"/>
    </row>
    <row r="61" spans="1:4">
      <c r="A61" s="46"/>
      <c r="B61" s="47"/>
      <c r="C61" s="46"/>
      <c r="D61" s="46"/>
    </row>
    <row r="62" spans="1:4">
      <c r="A62" s="46"/>
      <c r="B62" s="47"/>
      <c r="C62" s="46"/>
      <c r="D62" s="46"/>
    </row>
    <row r="63" spans="1:4">
      <c r="A63" s="46"/>
      <c r="B63" s="47"/>
      <c r="C63" s="46"/>
      <c r="D63" s="46"/>
    </row>
    <row r="64" spans="1:4">
      <c r="A64" s="46"/>
      <c r="B64" s="47"/>
      <c r="C64" s="46"/>
      <c r="D64" s="46"/>
    </row>
    <row r="65" spans="1:4">
      <c r="A65" s="46"/>
      <c r="B65" s="47"/>
      <c r="C65" s="46"/>
      <c r="D65" s="46"/>
    </row>
    <row r="66" spans="1:4">
      <c r="A66" s="46"/>
      <c r="B66" s="47"/>
      <c r="C66" s="46"/>
      <c r="D66" s="46"/>
    </row>
    <row r="67" spans="1:4">
      <c r="A67" s="46"/>
      <c r="B67" s="47"/>
      <c r="C67" s="46"/>
      <c r="D67" s="46"/>
    </row>
    <row r="68" spans="1:4">
      <c r="A68" s="46"/>
      <c r="B68" s="47"/>
      <c r="C68" s="46"/>
      <c r="D68" s="46"/>
    </row>
    <row r="69" spans="1:4">
      <c r="A69" s="46"/>
      <c r="B69" s="47"/>
      <c r="C69" s="46"/>
      <c r="D69" s="46"/>
    </row>
    <row r="70" spans="1:4">
      <c r="A70" s="46"/>
      <c r="B70" s="47"/>
      <c r="C70" s="46"/>
      <c r="D70" s="46"/>
    </row>
    <row r="71" spans="1:4">
      <c r="A71" s="46"/>
      <c r="B71" s="47"/>
      <c r="C71" s="46"/>
      <c r="D71" s="46"/>
    </row>
    <row r="72" spans="1:4">
      <c r="A72" s="46"/>
      <c r="B72" s="47"/>
      <c r="C72" s="46"/>
      <c r="D72" s="46"/>
    </row>
    <row r="73" spans="1:4">
      <c r="A73" s="46"/>
      <c r="B73" s="47"/>
      <c r="C73" s="46"/>
      <c r="D73" s="46"/>
    </row>
    <row r="74" spans="1:4">
      <c r="A74" s="46"/>
      <c r="B74" s="47"/>
      <c r="C74" s="46"/>
      <c r="D74" s="46"/>
    </row>
    <row r="75" spans="1:4">
      <c r="A75" s="46"/>
      <c r="B75" s="47"/>
      <c r="C75" s="46"/>
      <c r="D75" s="46"/>
    </row>
    <row r="76" spans="1:4">
      <c r="A76" s="46"/>
      <c r="B76" s="47"/>
      <c r="C76" s="46"/>
      <c r="D76" s="46"/>
    </row>
    <row r="77" spans="1:4">
      <c r="A77" s="46"/>
      <c r="B77" s="47"/>
      <c r="C77" s="46"/>
      <c r="D77" s="46"/>
    </row>
    <row r="78" spans="1:4">
      <c r="A78" s="46"/>
      <c r="B78" s="47"/>
      <c r="C78" s="46"/>
      <c r="D78" s="46"/>
    </row>
    <row r="79" spans="1:4">
      <c r="A79" s="46"/>
      <c r="B79" s="47"/>
      <c r="C79" s="46"/>
      <c r="D79" s="46"/>
    </row>
    <row r="80" spans="1:4">
      <c r="A80" s="46"/>
      <c r="B80" s="47"/>
      <c r="C80" s="46"/>
      <c r="D80" s="46"/>
    </row>
    <row r="81" spans="1:4">
      <c r="A81" s="46"/>
      <c r="B81" s="47"/>
      <c r="C81" s="46"/>
      <c r="D81" s="46"/>
    </row>
    <row r="82" spans="1:4">
      <c r="A82" s="46"/>
      <c r="B82" s="47"/>
      <c r="C82" s="46"/>
      <c r="D82" s="46"/>
    </row>
    <row r="83" spans="1:4">
      <c r="A83" s="46"/>
      <c r="B83" s="47"/>
      <c r="C83" s="46"/>
      <c r="D83" s="46"/>
    </row>
    <row r="84" spans="1:4">
      <c r="A84" s="46"/>
      <c r="B84" s="47"/>
      <c r="C84" s="46"/>
      <c r="D84" s="46"/>
    </row>
    <row r="85" spans="1:4">
      <c r="A85" s="46"/>
      <c r="B85" s="47"/>
      <c r="C85" s="46"/>
      <c r="D85" s="46"/>
    </row>
    <row r="86" spans="1:4">
      <c r="A86" s="46"/>
      <c r="B86" s="47"/>
      <c r="C86" s="46"/>
      <c r="D86" s="46"/>
    </row>
    <row r="87" spans="1:4">
      <c r="A87" s="46"/>
      <c r="B87" s="47"/>
      <c r="C87" s="46"/>
      <c r="D87" s="46"/>
    </row>
    <row r="88" spans="1:4">
      <c r="A88" s="46"/>
      <c r="B88" s="47"/>
      <c r="C88" s="46"/>
      <c r="D88" s="46"/>
    </row>
    <row r="89" spans="1:4">
      <c r="A89" s="46"/>
      <c r="B89" s="47"/>
      <c r="C89" s="46"/>
      <c r="D89" s="46"/>
    </row>
    <row r="90" spans="1:4">
      <c r="A90" s="46"/>
      <c r="B90" s="47"/>
      <c r="C90" s="46"/>
      <c r="D90" s="46"/>
    </row>
    <row r="91" spans="1:4">
      <c r="A91" s="46"/>
      <c r="B91" s="47"/>
      <c r="C91" s="46"/>
      <c r="D91" s="46"/>
    </row>
    <row r="92" spans="1:4">
      <c r="A92" s="46"/>
      <c r="B92" s="47"/>
      <c r="C92" s="46"/>
      <c r="D92" s="46"/>
    </row>
    <row r="93" spans="1:4">
      <c r="A93" s="46"/>
      <c r="B93" s="47"/>
      <c r="C93" s="46"/>
      <c r="D93" s="46"/>
    </row>
    <row r="94" spans="1:4">
      <c r="A94" s="46"/>
      <c r="B94" s="47"/>
      <c r="C94" s="46"/>
      <c r="D94" s="46"/>
    </row>
    <row r="95" spans="1:4">
      <c r="A95" s="46"/>
      <c r="B95" s="47"/>
      <c r="C95" s="46"/>
      <c r="D95" s="46"/>
    </row>
    <row r="96" spans="1:4">
      <c r="A96" s="46"/>
      <c r="B96" s="47"/>
      <c r="C96" s="46"/>
      <c r="D96" s="46"/>
    </row>
    <row r="97" spans="1:4">
      <c r="A97" s="46"/>
      <c r="B97" s="47"/>
      <c r="C97" s="46"/>
      <c r="D97" s="46"/>
    </row>
    <row r="98" spans="1:4">
      <c r="A98" s="46"/>
      <c r="B98" s="47"/>
      <c r="C98" s="46"/>
      <c r="D98" s="46"/>
    </row>
    <row r="99" spans="1:4">
      <c r="A99" s="46"/>
      <c r="B99" s="47"/>
      <c r="C99" s="46"/>
      <c r="D99" s="46"/>
    </row>
    <row r="100" spans="1:4">
      <c r="A100" s="46"/>
      <c r="B100" s="47"/>
      <c r="C100" s="46"/>
      <c r="D100" s="46"/>
    </row>
    <row r="101" spans="1:4">
      <c r="A101" s="46"/>
      <c r="B101" s="47"/>
      <c r="C101" s="46"/>
      <c r="D101" s="46"/>
    </row>
    <row r="102" spans="1:4">
      <c r="A102" s="46"/>
      <c r="B102" s="47"/>
      <c r="C102" s="46"/>
      <c r="D102" s="46"/>
    </row>
    <row r="103" spans="1:4">
      <c r="A103" s="46"/>
      <c r="B103" s="47"/>
      <c r="C103" s="46"/>
      <c r="D103" s="46"/>
    </row>
    <row r="104" spans="1:4">
      <c r="A104" s="46"/>
      <c r="B104" s="47"/>
      <c r="C104" s="46"/>
      <c r="D104" s="46"/>
    </row>
    <row r="105" spans="1:4">
      <c r="A105" s="46"/>
      <c r="B105" s="47"/>
      <c r="C105" s="46"/>
      <c r="D105" s="46"/>
    </row>
    <row r="106" spans="1:4">
      <c r="A106" s="46"/>
      <c r="B106" s="47"/>
      <c r="C106" s="46"/>
      <c r="D106" s="46"/>
    </row>
    <row r="107" spans="1:4">
      <c r="A107" s="46"/>
      <c r="B107" s="47"/>
      <c r="C107" s="46"/>
      <c r="D107" s="46"/>
    </row>
    <row r="108" spans="1:4">
      <c r="A108" s="46"/>
      <c r="B108" s="47"/>
      <c r="C108" s="46"/>
      <c r="D108" s="46"/>
    </row>
    <row r="109" spans="1:4">
      <c r="A109" s="46"/>
      <c r="B109" s="47"/>
      <c r="C109" s="46"/>
      <c r="D109" s="46"/>
    </row>
    <row r="110" spans="1:4">
      <c r="A110" s="46"/>
      <c r="B110" s="47"/>
      <c r="C110" s="46"/>
      <c r="D110" s="46"/>
    </row>
    <row r="111" spans="1:4">
      <c r="A111" s="46"/>
      <c r="B111" s="47"/>
      <c r="C111" s="46"/>
      <c r="D111" s="46"/>
    </row>
    <row r="112" spans="1:4">
      <c r="A112" s="46"/>
      <c r="B112" s="47"/>
      <c r="C112" s="46"/>
      <c r="D112" s="46"/>
    </row>
    <row r="113" spans="1:4">
      <c r="A113" s="46"/>
      <c r="B113" s="47"/>
      <c r="C113" s="46"/>
      <c r="D113" s="46"/>
    </row>
    <row r="114" spans="1:4">
      <c r="A114" s="46"/>
      <c r="B114" s="47"/>
      <c r="C114" s="46"/>
      <c r="D114" s="46"/>
    </row>
    <row r="115" spans="1:4">
      <c r="A115" s="46"/>
      <c r="B115" s="47"/>
      <c r="C115" s="46"/>
      <c r="D115" s="46"/>
    </row>
    <row r="116" spans="1:4">
      <c r="A116" s="46"/>
      <c r="B116" s="47"/>
      <c r="C116" s="46"/>
      <c r="D116" s="46"/>
    </row>
    <row r="117" spans="1:4">
      <c r="A117" s="46"/>
      <c r="B117" s="47"/>
      <c r="C117" s="46"/>
      <c r="D117" s="46"/>
    </row>
    <row r="118" spans="1:4">
      <c r="A118" s="46"/>
      <c r="B118" s="47"/>
      <c r="C118" s="46"/>
      <c r="D118" s="46"/>
    </row>
    <row r="119" spans="1:4">
      <c r="A119" s="46"/>
      <c r="B119" s="47"/>
      <c r="C119" s="46"/>
      <c r="D119" s="46"/>
    </row>
    <row r="120" spans="1:4">
      <c r="A120" s="46"/>
      <c r="B120" s="47"/>
      <c r="C120" s="46"/>
      <c r="D120" s="46"/>
    </row>
    <row r="121" spans="1:4">
      <c r="A121" s="46"/>
      <c r="B121" s="47"/>
      <c r="C121" s="46"/>
      <c r="D121" s="46"/>
    </row>
    <row r="122" spans="1:4">
      <c r="A122" s="46"/>
      <c r="B122" s="47"/>
      <c r="C122" s="46"/>
      <c r="D122" s="46"/>
    </row>
    <row r="123" spans="1:4">
      <c r="A123" s="46"/>
      <c r="B123" s="47"/>
      <c r="C123" s="46"/>
      <c r="D123" s="46"/>
    </row>
    <row r="124" spans="1:4">
      <c r="A124" s="46"/>
      <c r="B124" s="47"/>
      <c r="C124" s="46"/>
      <c r="D124" s="46"/>
    </row>
    <row r="125" spans="1:4">
      <c r="A125" s="46"/>
      <c r="B125" s="47"/>
      <c r="C125" s="46"/>
      <c r="D125" s="46"/>
    </row>
    <row r="126" spans="1:4">
      <c r="A126" s="46"/>
      <c r="B126" s="47"/>
      <c r="C126" s="46"/>
      <c r="D126" s="46"/>
    </row>
    <row r="127" spans="1:4">
      <c r="A127" s="46"/>
      <c r="B127" s="47"/>
      <c r="C127" s="46"/>
      <c r="D127" s="46"/>
    </row>
    <row r="128" spans="1:4">
      <c r="A128" s="46"/>
      <c r="B128" s="47"/>
      <c r="C128" s="46"/>
      <c r="D128" s="46"/>
    </row>
    <row r="129" spans="1:4">
      <c r="A129" s="46"/>
      <c r="B129" s="47"/>
      <c r="C129" s="46"/>
      <c r="D129" s="46"/>
    </row>
    <row r="130" spans="1:4">
      <c r="A130" s="46"/>
      <c r="B130" s="47"/>
      <c r="C130" s="46"/>
      <c r="D130" s="46"/>
    </row>
    <row r="131" spans="1:4">
      <c r="A131" s="46"/>
      <c r="B131" s="47"/>
      <c r="C131" s="46"/>
      <c r="D131" s="46"/>
    </row>
    <row r="132" spans="1:4">
      <c r="A132" s="46"/>
      <c r="B132" s="47"/>
      <c r="C132" s="46"/>
      <c r="D132" s="46"/>
    </row>
    <row r="133" spans="1:4">
      <c r="A133" s="46"/>
      <c r="B133" s="47"/>
      <c r="C133" s="46"/>
      <c r="D133" s="46"/>
    </row>
    <row r="134" spans="1:4">
      <c r="A134" s="46"/>
      <c r="B134" s="47"/>
      <c r="C134" s="46"/>
      <c r="D134" s="46"/>
    </row>
    <row r="135" spans="1:4">
      <c r="A135" s="46"/>
      <c r="B135" s="47"/>
      <c r="C135" s="46"/>
      <c r="D135" s="46"/>
    </row>
    <row r="136" spans="1:4">
      <c r="A136" s="46"/>
      <c r="B136" s="47"/>
      <c r="C136" s="46"/>
      <c r="D136" s="46"/>
    </row>
    <row r="137" spans="1:4">
      <c r="A137" s="46"/>
      <c r="B137" s="47"/>
      <c r="C137" s="46"/>
      <c r="D137" s="46"/>
    </row>
    <row r="138" spans="1:4">
      <c r="A138" s="46"/>
      <c r="B138" s="47"/>
      <c r="C138" s="46"/>
      <c r="D138" s="46"/>
    </row>
    <row r="139" spans="1:4">
      <c r="A139" s="46"/>
      <c r="B139" s="47"/>
      <c r="C139" s="46"/>
      <c r="D139" s="46"/>
    </row>
    <row r="140" spans="1:4">
      <c r="A140" s="46"/>
      <c r="B140" s="47"/>
      <c r="C140" s="46"/>
      <c r="D140" s="46"/>
    </row>
    <row r="141" spans="1:4">
      <c r="A141" s="46"/>
      <c r="B141" s="47"/>
      <c r="C141" s="46"/>
      <c r="D141" s="46"/>
    </row>
    <row r="142" spans="1:4">
      <c r="A142" s="46"/>
      <c r="B142" s="47"/>
      <c r="C142" s="46"/>
      <c r="D142" s="46"/>
    </row>
    <row r="143" spans="1:4">
      <c r="A143" s="46"/>
      <c r="B143" s="47"/>
      <c r="C143" s="46"/>
      <c r="D143" s="46"/>
    </row>
    <row r="144" spans="1:4">
      <c r="A144" s="46"/>
      <c r="B144" s="47"/>
      <c r="C144" s="46"/>
      <c r="D144" s="46"/>
    </row>
    <row r="145" spans="1:4">
      <c r="A145" s="46"/>
      <c r="B145" s="47"/>
      <c r="C145" s="46"/>
      <c r="D145" s="46"/>
    </row>
    <row r="146" spans="1:4">
      <c r="A146" s="46"/>
      <c r="B146" s="47"/>
      <c r="C146" s="46"/>
      <c r="D146" s="46"/>
    </row>
    <row r="147" spans="1:4">
      <c r="A147" s="46"/>
      <c r="B147" s="47"/>
      <c r="C147" s="46"/>
      <c r="D147" s="46"/>
    </row>
    <row r="148" spans="1:4">
      <c r="A148" s="46"/>
      <c r="B148" s="47"/>
      <c r="C148" s="46"/>
      <c r="D148" s="46"/>
    </row>
    <row r="149" spans="1:4">
      <c r="A149" s="46"/>
      <c r="B149" s="47"/>
      <c r="C149" s="46"/>
      <c r="D149" s="46"/>
    </row>
    <row r="150" spans="1:4">
      <c r="A150" s="46"/>
      <c r="B150" s="47"/>
      <c r="C150" s="46"/>
      <c r="D150" s="46"/>
    </row>
    <row r="151" spans="1:4">
      <c r="A151" s="46"/>
      <c r="B151" s="47"/>
      <c r="C151" s="46"/>
      <c r="D151" s="46"/>
    </row>
    <row r="152" spans="1:4">
      <c r="A152" s="46"/>
      <c r="B152" s="47"/>
      <c r="C152" s="46"/>
      <c r="D152" s="46"/>
    </row>
    <row r="153" spans="1:4">
      <c r="A153" s="46"/>
      <c r="B153" s="47"/>
      <c r="C153" s="46"/>
      <c r="D153" s="46"/>
    </row>
    <row r="154" spans="1:4">
      <c r="A154" s="46"/>
      <c r="B154" s="47"/>
      <c r="C154" s="46"/>
      <c r="D154" s="46"/>
    </row>
    <row r="155" spans="1:4">
      <c r="A155" s="46"/>
      <c r="B155" s="47"/>
      <c r="C155" s="46"/>
      <c r="D155" s="46"/>
    </row>
    <row r="156" spans="1:4">
      <c r="A156" s="46"/>
      <c r="B156" s="47"/>
      <c r="C156" s="46"/>
      <c r="D156" s="46"/>
    </row>
    <row r="157" spans="1:4">
      <c r="A157" s="46"/>
      <c r="B157" s="47"/>
      <c r="C157" s="46"/>
      <c r="D157" s="46"/>
    </row>
    <row r="158" spans="1:4">
      <c r="A158" s="46"/>
      <c r="B158" s="47"/>
      <c r="C158" s="46"/>
      <c r="D158" s="46"/>
    </row>
    <row r="159" spans="1:4">
      <c r="A159" s="46"/>
      <c r="B159" s="47"/>
      <c r="C159" s="46"/>
      <c r="D159" s="46"/>
    </row>
    <row r="160" spans="1:4">
      <c r="A160" s="46"/>
      <c r="B160" s="47"/>
      <c r="C160" s="46"/>
      <c r="D160" s="46"/>
    </row>
    <row r="161" spans="1:4">
      <c r="A161" s="46"/>
      <c r="B161" s="47"/>
      <c r="C161" s="46"/>
      <c r="D161" s="46"/>
    </row>
    <row r="162" spans="1:4">
      <c r="A162" s="46"/>
      <c r="B162" s="47"/>
      <c r="C162" s="46"/>
      <c r="D162" s="46"/>
    </row>
    <row r="163" spans="1:4">
      <c r="A163" s="46"/>
      <c r="B163" s="47"/>
      <c r="C163" s="46"/>
      <c r="D163" s="46"/>
    </row>
    <row r="164" spans="1:4">
      <c r="A164" s="46"/>
      <c r="B164" s="47"/>
      <c r="C164" s="46"/>
      <c r="D164" s="46"/>
    </row>
    <row r="165" spans="1:4">
      <c r="A165" s="46"/>
      <c r="B165" s="47"/>
      <c r="C165" s="46"/>
      <c r="D165" s="46"/>
    </row>
    <row r="166" spans="1:4">
      <c r="A166" s="46"/>
      <c r="B166" s="47"/>
      <c r="C166" s="46"/>
      <c r="D166" s="46"/>
    </row>
    <row r="167" spans="1:4">
      <c r="A167" s="46"/>
      <c r="B167" s="47"/>
      <c r="C167" s="46"/>
      <c r="D167" s="46"/>
    </row>
    <row r="168" spans="1:4">
      <c r="A168" s="46"/>
      <c r="B168" s="47"/>
      <c r="C168" s="46"/>
      <c r="D168" s="46"/>
    </row>
    <row r="169" spans="1:4">
      <c r="A169" s="46"/>
      <c r="B169" s="47"/>
      <c r="C169" s="46"/>
      <c r="D169" s="46"/>
    </row>
    <row r="170" spans="1:4">
      <c r="A170" s="46"/>
      <c r="B170" s="47"/>
      <c r="C170" s="46"/>
      <c r="D170" s="46"/>
    </row>
    <row r="171" spans="1:4">
      <c r="A171" s="46"/>
      <c r="B171" s="47"/>
      <c r="C171" s="46"/>
      <c r="D171" s="46"/>
    </row>
    <row r="172" spans="1:4">
      <c r="A172" s="46"/>
      <c r="B172" s="47"/>
      <c r="C172" s="46"/>
      <c r="D172" s="46"/>
    </row>
    <row r="173" spans="1:4">
      <c r="A173" s="46"/>
      <c r="B173" s="47"/>
      <c r="C173" s="46"/>
      <c r="D173" s="46"/>
    </row>
    <row r="174" spans="1:4">
      <c r="A174" s="46"/>
      <c r="B174" s="47"/>
      <c r="C174" s="46"/>
      <c r="D174" s="46"/>
    </row>
    <row r="175" spans="1:4">
      <c r="A175" s="46"/>
      <c r="B175" s="47"/>
      <c r="C175" s="46"/>
      <c r="D175" s="46"/>
    </row>
    <row r="176" spans="1:4">
      <c r="A176" s="46"/>
      <c r="B176" s="47"/>
      <c r="C176" s="46"/>
      <c r="D176" s="46"/>
    </row>
    <row r="177" spans="1:4">
      <c r="A177" s="46"/>
      <c r="B177" s="47"/>
      <c r="C177" s="46"/>
      <c r="D177" s="46"/>
    </row>
    <row r="178" spans="1:4">
      <c r="A178" s="46"/>
      <c r="B178" s="47"/>
      <c r="C178" s="46"/>
      <c r="D178" s="46"/>
    </row>
    <row r="179" spans="1:4">
      <c r="A179" s="46"/>
      <c r="B179" s="47"/>
      <c r="C179" s="46"/>
      <c r="D179" s="46"/>
    </row>
    <row r="180" spans="1:4">
      <c r="A180" s="46"/>
      <c r="B180" s="47"/>
      <c r="C180" s="46"/>
      <c r="D180" s="46"/>
    </row>
    <row r="181" spans="1:4">
      <c r="A181" s="46"/>
      <c r="B181" s="47"/>
      <c r="C181" s="46"/>
      <c r="D181" s="46"/>
    </row>
    <row r="182" spans="1:4">
      <c r="A182" s="46"/>
      <c r="B182" s="47"/>
      <c r="C182" s="46"/>
      <c r="D182" s="46"/>
    </row>
    <row r="183" spans="1:4">
      <c r="A183" s="46"/>
      <c r="B183" s="47"/>
      <c r="C183" s="46"/>
      <c r="D183" s="46"/>
    </row>
    <row r="184" spans="1:4">
      <c r="A184" s="46"/>
      <c r="B184" s="47"/>
      <c r="C184" s="46"/>
      <c r="D184" s="46"/>
    </row>
    <row r="185" spans="1:4">
      <c r="A185" s="46"/>
      <c r="B185" s="47"/>
      <c r="C185" s="46"/>
      <c r="D185" s="46"/>
    </row>
    <row r="186" spans="1:4">
      <c r="A186" s="46"/>
      <c r="B186" s="47"/>
      <c r="C186" s="46"/>
      <c r="D186" s="46"/>
    </row>
    <row r="187" spans="1:4">
      <c r="A187" s="46"/>
      <c r="B187" s="47"/>
      <c r="C187" s="46"/>
      <c r="D187" s="46"/>
    </row>
    <row r="188" spans="1:4">
      <c r="A188" s="46"/>
      <c r="B188" s="47"/>
      <c r="C188" s="46"/>
      <c r="D188" s="46"/>
    </row>
    <row r="189" spans="1:4">
      <c r="A189" s="46"/>
      <c r="B189" s="47"/>
      <c r="C189" s="46"/>
      <c r="D189" s="46"/>
    </row>
    <row r="190" spans="1:4">
      <c r="A190" s="46"/>
      <c r="B190" s="47"/>
      <c r="C190" s="46"/>
      <c r="D190" s="46"/>
    </row>
    <row r="191" spans="1:4">
      <c r="A191" s="46"/>
      <c r="B191" s="47"/>
      <c r="C191" s="46"/>
      <c r="D191" s="46"/>
    </row>
    <row r="192" spans="1:4">
      <c r="A192" s="46"/>
      <c r="B192" s="47"/>
      <c r="C192" s="46"/>
      <c r="D192" s="46"/>
    </row>
    <row r="193" spans="1:4">
      <c r="A193" s="46"/>
      <c r="B193" s="47"/>
      <c r="C193" s="46"/>
      <c r="D193" s="46"/>
    </row>
    <row r="194" spans="1:4">
      <c r="A194" s="46"/>
      <c r="B194" s="47"/>
      <c r="C194" s="46"/>
      <c r="D194" s="46"/>
    </row>
    <row r="195" spans="1:4">
      <c r="A195" s="46"/>
      <c r="B195" s="47"/>
      <c r="C195" s="46"/>
      <c r="D195" s="46"/>
    </row>
    <row r="196" spans="1:4">
      <c r="A196" s="46"/>
      <c r="B196" s="47"/>
      <c r="C196" s="46"/>
      <c r="D196" s="46"/>
    </row>
    <row r="197" spans="1:4">
      <c r="A197" s="46"/>
      <c r="B197" s="47"/>
      <c r="C197" s="46"/>
      <c r="D197" s="46"/>
    </row>
    <row r="198" spans="1:4">
      <c r="A198" s="46"/>
      <c r="B198" s="47"/>
      <c r="C198" s="46"/>
      <c r="D198" s="46"/>
    </row>
    <row r="199" spans="1:4">
      <c r="A199" s="46"/>
      <c r="B199" s="47"/>
      <c r="C199" s="46"/>
      <c r="D199" s="46"/>
    </row>
    <row r="200" spans="1:4">
      <c r="A200" s="46"/>
      <c r="B200" s="47"/>
      <c r="C200" s="46"/>
      <c r="D200" s="46"/>
    </row>
    <row r="201" spans="1:4">
      <c r="A201" s="46"/>
      <c r="B201" s="47"/>
      <c r="C201" s="46"/>
      <c r="D201" s="46"/>
    </row>
    <row r="202" spans="1:4">
      <c r="A202" s="46"/>
      <c r="B202" s="47"/>
      <c r="C202" s="46"/>
      <c r="D202" s="46"/>
    </row>
    <row r="203" spans="1:4">
      <c r="A203" s="46"/>
      <c r="B203" s="47"/>
      <c r="C203" s="46"/>
      <c r="D203" s="46"/>
    </row>
    <row r="204" spans="1:4">
      <c r="A204" s="46"/>
      <c r="B204" s="47"/>
      <c r="C204" s="46"/>
      <c r="D204" s="46"/>
    </row>
    <row r="205" spans="1:4">
      <c r="A205" s="46"/>
      <c r="B205" s="47"/>
      <c r="C205" s="46"/>
      <c r="D205" s="46"/>
    </row>
    <row r="206" spans="1:4">
      <c r="A206" s="46"/>
      <c r="B206" s="47"/>
      <c r="C206" s="46"/>
      <c r="D206" s="46"/>
    </row>
    <row r="207" spans="1:4">
      <c r="A207" s="46"/>
      <c r="B207" s="47"/>
      <c r="C207" s="46"/>
      <c r="D207" s="46"/>
    </row>
    <row r="208" spans="1:4">
      <c r="A208" s="46"/>
      <c r="B208" s="47"/>
      <c r="C208" s="46"/>
      <c r="D208" s="46"/>
    </row>
    <row r="209" spans="1:4">
      <c r="A209" s="46"/>
      <c r="B209" s="47"/>
      <c r="C209" s="46"/>
      <c r="D209" s="46"/>
    </row>
    <row r="210" spans="1:4">
      <c r="A210" s="46"/>
      <c r="B210" s="47"/>
      <c r="C210" s="46"/>
      <c r="D210" s="46"/>
    </row>
    <row r="211" spans="1:4">
      <c r="A211" s="46"/>
      <c r="B211" s="47"/>
      <c r="C211" s="46"/>
      <c r="D211" s="46"/>
    </row>
    <row r="212" spans="1:4">
      <c r="A212" s="46"/>
      <c r="B212" s="47"/>
      <c r="C212" s="46"/>
      <c r="D212" s="46"/>
    </row>
    <row r="213" spans="1:4">
      <c r="A213" s="46"/>
      <c r="B213" s="47"/>
      <c r="C213" s="46"/>
      <c r="D213" s="46"/>
    </row>
    <row r="214" spans="1:4">
      <c r="A214" s="46"/>
      <c r="B214" s="47"/>
      <c r="C214" s="46"/>
      <c r="D214" s="46"/>
    </row>
    <row r="215" spans="1:4">
      <c r="A215" s="46"/>
      <c r="B215" s="47"/>
      <c r="C215" s="46"/>
      <c r="D215" s="46"/>
    </row>
    <row r="216" spans="1:4">
      <c r="A216" s="46"/>
      <c r="B216" s="47"/>
      <c r="C216" s="46"/>
      <c r="D216" s="46"/>
    </row>
    <row r="217" spans="1:4">
      <c r="A217" s="46"/>
      <c r="B217" s="47"/>
      <c r="C217" s="46"/>
      <c r="D217" s="46"/>
    </row>
    <row r="218" spans="1:4">
      <c r="A218" s="46"/>
      <c r="B218" s="47"/>
      <c r="C218" s="46"/>
      <c r="D218" s="46"/>
    </row>
    <row r="219" spans="1:4">
      <c r="A219" s="46"/>
      <c r="B219" s="47"/>
      <c r="C219" s="46"/>
      <c r="D219" s="46"/>
    </row>
    <row r="220" spans="1:4">
      <c r="A220" s="46"/>
      <c r="B220" s="47"/>
      <c r="C220" s="46"/>
      <c r="D220" s="46"/>
    </row>
    <row r="221" spans="1:4">
      <c r="A221" s="46"/>
      <c r="B221" s="47"/>
      <c r="C221" s="46"/>
      <c r="D221" s="46"/>
    </row>
    <row r="222" spans="1:4">
      <c r="A222" s="46"/>
      <c r="B222" s="47"/>
      <c r="C222" s="46"/>
      <c r="D222" s="46"/>
    </row>
    <row r="223" spans="1:4">
      <c r="A223" s="46"/>
      <c r="B223" s="47"/>
      <c r="C223" s="46"/>
      <c r="D223" s="46"/>
    </row>
    <row r="224" spans="1:4">
      <c r="A224" s="46"/>
      <c r="B224" s="47"/>
      <c r="C224" s="46"/>
      <c r="D224" s="46"/>
    </row>
    <row r="225" spans="1:4">
      <c r="A225" s="46"/>
      <c r="B225" s="47"/>
      <c r="C225" s="46"/>
      <c r="D225" s="46"/>
    </row>
    <row r="226" spans="1:4">
      <c r="A226" s="46"/>
      <c r="B226" s="47"/>
      <c r="C226" s="46"/>
      <c r="D226" s="46"/>
    </row>
    <row r="227" spans="1:4">
      <c r="A227" s="46"/>
      <c r="B227" s="47"/>
      <c r="C227" s="46"/>
      <c r="D227" s="46"/>
    </row>
    <row r="228" spans="1:4">
      <c r="A228" s="46"/>
      <c r="B228" s="47"/>
      <c r="C228" s="46"/>
      <c r="D228" s="46"/>
    </row>
    <row r="229" spans="1:4">
      <c r="A229" s="46"/>
      <c r="B229" s="47"/>
      <c r="C229" s="46"/>
      <c r="D229" s="46"/>
    </row>
    <row r="230" spans="1:4">
      <c r="A230" s="46"/>
      <c r="B230" s="47"/>
      <c r="C230" s="46"/>
      <c r="D230" s="46"/>
    </row>
    <row r="231" spans="1:4">
      <c r="A231" s="46"/>
      <c r="B231" s="47"/>
      <c r="C231" s="46"/>
      <c r="D231" s="46"/>
    </row>
    <row r="232" spans="1:4">
      <c r="A232" s="46"/>
      <c r="B232" s="47"/>
      <c r="C232" s="46"/>
      <c r="D232" s="46"/>
    </row>
    <row r="233" spans="1:4">
      <c r="A233" s="46"/>
      <c r="B233" s="47"/>
      <c r="C233" s="46"/>
      <c r="D233" s="46"/>
    </row>
    <row r="234" spans="1:4">
      <c r="A234" s="46"/>
      <c r="B234" s="47"/>
      <c r="C234" s="46"/>
      <c r="D234" s="46"/>
    </row>
    <row r="235" spans="1:4">
      <c r="A235" s="46"/>
      <c r="B235" s="47"/>
      <c r="C235" s="46"/>
      <c r="D235" s="46"/>
    </row>
    <row r="236" spans="1:4">
      <c r="A236" s="46"/>
      <c r="B236" s="47"/>
      <c r="C236" s="46"/>
      <c r="D236" s="46"/>
    </row>
    <row r="237" spans="1:4">
      <c r="A237" s="46"/>
      <c r="B237" s="47"/>
      <c r="C237" s="46"/>
      <c r="D237" s="46"/>
    </row>
    <row r="238" spans="1:4">
      <c r="A238" s="46"/>
      <c r="B238" s="47"/>
      <c r="C238" s="46"/>
      <c r="D238" s="46"/>
    </row>
    <row r="239" spans="1:4">
      <c r="A239" s="46"/>
      <c r="B239" s="47"/>
      <c r="C239" s="46"/>
      <c r="D239" s="46"/>
    </row>
    <row r="240" spans="1:4">
      <c r="A240" s="46"/>
      <c r="B240" s="47"/>
      <c r="C240" s="46"/>
      <c r="D240" s="46"/>
    </row>
    <row r="241" spans="1:4">
      <c r="A241" s="46"/>
      <c r="B241" s="47"/>
      <c r="C241" s="46"/>
      <c r="D241" s="46"/>
    </row>
    <row r="242" spans="1:4">
      <c r="A242" s="46"/>
      <c r="B242" s="47"/>
      <c r="C242" s="46"/>
      <c r="D242" s="46"/>
    </row>
    <row r="243" spans="1:4">
      <c r="A243" s="46"/>
      <c r="B243" s="47"/>
      <c r="C243" s="46"/>
      <c r="D243" s="46"/>
    </row>
    <row r="244" spans="1:4">
      <c r="A244" s="46"/>
      <c r="B244" s="47"/>
      <c r="C244" s="46"/>
      <c r="D244" s="46"/>
    </row>
    <row r="245" spans="1:4">
      <c r="A245" s="46"/>
      <c r="B245" s="47"/>
      <c r="C245" s="46"/>
      <c r="D245" s="46"/>
    </row>
    <row r="246" spans="1:4">
      <c r="A246" s="46"/>
      <c r="B246" s="47"/>
      <c r="C246" s="46"/>
      <c r="D246" s="46"/>
    </row>
    <row r="247" spans="1:4">
      <c r="A247" s="46"/>
      <c r="B247" s="47"/>
      <c r="C247" s="46"/>
      <c r="D247" s="46"/>
    </row>
    <row r="248" spans="1:4">
      <c r="A248" s="46"/>
      <c r="B248" s="47"/>
      <c r="C248" s="46"/>
      <c r="D248" s="46"/>
    </row>
    <row r="249" spans="1:4">
      <c r="A249" s="46"/>
      <c r="B249" s="47"/>
      <c r="C249" s="46"/>
      <c r="D249" s="46"/>
    </row>
    <row r="250" spans="1:4">
      <c r="A250" s="46"/>
      <c r="B250" s="47"/>
      <c r="C250" s="46"/>
      <c r="D250" s="46"/>
    </row>
    <row r="251" spans="1:4">
      <c r="A251" s="46"/>
      <c r="B251" s="47"/>
      <c r="C251" s="46"/>
      <c r="D251" s="46"/>
    </row>
    <row r="252" spans="1:4">
      <c r="A252" s="46"/>
      <c r="B252" s="47"/>
      <c r="C252" s="46"/>
      <c r="D252" s="46"/>
    </row>
    <row r="253" spans="1:4">
      <c r="A253" s="46"/>
      <c r="B253" s="47"/>
      <c r="C253" s="46"/>
      <c r="D253" s="46"/>
    </row>
    <row r="254" spans="1:4">
      <c r="A254" s="46"/>
      <c r="B254" s="47"/>
      <c r="C254" s="46"/>
      <c r="D254" s="46"/>
    </row>
    <row r="255" spans="1:4">
      <c r="A255" s="46"/>
      <c r="B255" s="47"/>
      <c r="C255" s="46"/>
      <c r="D255" s="46"/>
    </row>
    <row r="256" spans="1:4">
      <c r="A256" s="46"/>
      <c r="B256" s="47"/>
      <c r="C256" s="46"/>
      <c r="D256" s="46"/>
    </row>
    <row r="257" spans="1:4">
      <c r="A257" s="46"/>
      <c r="B257" s="47"/>
      <c r="C257" s="46"/>
      <c r="D257" s="46"/>
    </row>
    <row r="258" spans="1:4">
      <c r="A258" s="46"/>
      <c r="B258" s="47"/>
      <c r="C258" s="46"/>
      <c r="D258" s="46"/>
    </row>
    <row r="259" spans="1:4">
      <c r="A259" s="46"/>
      <c r="B259" s="47"/>
      <c r="C259" s="46"/>
      <c r="D259" s="46"/>
    </row>
    <row r="260" spans="1:4">
      <c r="A260" s="46"/>
      <c r="B260" s="47"/>
      <c r="C260" s="46"/>
      <c r="D260" s="46"/>
    </row>
    <row r="261" spans="1:4">
      <c r="A261" s="46"/>
      <c r="B261" s="47"/>
      <c r="C261" s="46"/>
      <c r="D261" s="46"/>
    </row>
    <row r="262" spans="1:4">
      <c r="A262" s="46"/>
      <c r="B262" s="47"/>
      <c r="C262" s="46"/>
      <c r="D262" s="46"/>
    </row>
    <row r="263" spans="1:4">
      <c r="A263" s="46"/>
      <c r="B263" s="47"/>
      <c r="C263" s="46"/>
      <c r="D263" s="46"/>
    </row>
    <row r="264" spans="1:4">
      <c r="A264" s="46"/>
      <c r="B264" s="47"/>
      <c r="C264" s="46"/>
      <c r="D264" s="46"/>
    </row>
    <row r="265" spans="1:4">
      <c r="A265" s="46"/>
      <c r="B265" s="47"/>
      <c r="C265" s="46"/>
      <c r="D265" s="46"/>
    </row>
    <row r="266" spans="1:4">
      <c r="A266" s="46"/>
      <c r="B266" s="47"/>
      <c r="C266" s="46"/>
      <c r="D266" s="46"/>
    </row>
    <row r="267" spans="1:4">
      <c r="A267" s="46"/>
      <c r="B267" s="47"/>
      <c r="C267" s="46"/>
      <c r="D267" s="46"/>
    </row>
    <row r="268" spans="1:4">
      <c r="A268" s="46"/>
      <c r="B268" s="47"/>
      <c r="C268" s="46"/>
      <c r="D268" s="46"/>
    </row>
    <row r="269" spans="1:4">
      <c r="A269" s="46"/>
      <c r="B269" s="47"/>
      <c r="C269" s="46"/>
      <c r="D269" s="46"/>
    </row>
    <row r="270" spans="1:4">
      <c r="A270" s="46"/>
      <c r="B270" s="47"/>
      <c r="C270" s="46"/>
      <c r="D270" s="46"/>
    </row>
    <row r="271" spans="1:4">
      <c r="A271" s="46"/>
      <c r="B271" s="47"/>
      <c r="C271" s="46"/>
      <c r="D271" s="46"/>
    </row>
    <row r="272" spans="1:4">
      <c r="A272" s="46"/>
      <c r="B272" s="47"/>
      <c r="C272" s="46"/>
      <c r="D272" s="46"/>
    </row>
    <row r="273" spans="1:4">
      <c r="A273" s="46"/>
      <c r="B273" s="47"/>
      <c r="C273" s="46"/>
      <c r="D273" s="46"/>
    </row>
    <row r="274" spans="1:4">
      <c r="A274" s="46"/>
      <c r="B274" s="47"/>
      <c r="C274" s="46"/>
      <c r="D274" s="46"/>
    </row>
    <row r="275" spans="1:4">
      <c r="A275" s="46"/>
      <c r="B275" s="47"/>
      <c r="C275" s="46"/>
      <c r="D275" s="46"/>
    </row>
    <row r="276" spans="1:4">
      <c r="A276" s="46"/>
      <c r="B276" s="47"/>
      <c r="C276" s="46"/>
      <c r="D276" s="46"/>
    </row>
    <row r="277" spans="1:4">
      <c r="A277" s="46"/>
      <c r="B277" s="47"/>
      <c r="C277" s="46"/>
      <c r="D277" s="46"/>
    </row>
    <row r="278" spans="1:4">
      <c r="A278" s="46"/>
      <c r="B278" s="47"/>
      <c r="C278" s="46"/>
      <c r="D278" s="46"/>
    </row>
    <row r="279" spans="1:4">
      <c r="A279" s="46"/>
      <c r="B279" s="47"/>
      <c r="C279" s="46"/>
      <c r="D279" s="46"/>
    </row>
    <row r="280" spans="1:4">
      <c r="A280" s="46"/>
      <c r="B280" s="47"/>
      <c r="C280" s="46"/>
      <c r="D280" s="46"/>
    </row>
    <row r="281" spans="1:4">
      <c r="A281" s="46"/>
      <c r="B281" s="47"/>
      <c r="C281" s="46"/>
      <c r="D281" s="46"/>
    </row>
    <row r="282" spans="1:4">
      <c r="A282" s="46"/>
      <c r="B282" s="47"/>
      <c r="C282" s="46"/>
      <c r="D282" s="46"/>
    </row>
    <row r="283" spans="1:4">
      <c r="A283" s="46"/>
      <c r="B283" s="47"/>
      <c r="C283" s="46"/>
      <c r="D283" s="46"/>
    </row>
    <row r="284" spans="1:4">
      <c r="A284" s="46"/>
      <c r="B284" s="47"/>
      <c r="C284" s="46"/>
      <c r="D284" s="46"/>
    </row>
    <row r="285" spans="1:4">
      <c r="A285" s="46"/>
      <c r="B285" s="47"/>
      <c r="C285" s="46"/>
      <c r="D285" s="46"/>
    </row>
    <row r="286" spans="1:4">
      <c r="A286" s="46"/>
      <c r="B286" s="47"/>
      <c r="C286" s="46"/>
      <c r="D286" s="46"/>
    </row>
    <row r="287" spans="1:4">
      <c r="A287" s="46"/>
      <c r="B287" s="47"/>
      <c r="C287" s="46"/>
      <c r="D287" s="46"/>
    </row>
    <row r="288" spans="1:4">
      <c r="A288" s="46"/>
      <c r="B288" s="47"/>
      <c r="C288" s="46"/>
      <c r="D288" s="46"/>
    </row>
    <row r="289" spans="1:4">
      <c r="A289" s="46"/>
      <c r="B289" s="47"/>
      <c r="C289" s="46"/>
      <c r="D289" s="46"/>
    </row>
    <row r="290" spans="1:4">
      <c r="A290" s="46"/>
      <c r="B290" s="47"/>
      <c r="C290" s="46"/>
      <c r="D290" s="46"/>
    </row>
    <row r="291" spans="1:4">
      <c r="A291" s="46"/>
      <c r="B291" s="47"/>
      <c r="C291" s="46"/>
      <c r="D291" s="46"/>
    </row>
    <row r="292" spans="1:4">
      <c r="A292" s="46"/>
      <c r="B292" s="47"/>
      <c r="C292" s="46"/>
      <c r="D292" s="46"/>
    </row>
    <row r="293" spans="1:4">
      <c r="A293" s="46"/>
      <c r="B293" s="47"/>
      <c r="C293" s="46"/>
      <c r="D293" s="46"/>
    </row>
    <row r="294" spans="1:4">
      <c r="A294" s="46"/>
      <c r="B294" s="47"/>
      <c r="C294" s="46"/>
      <c r="D294" s="46"/>
    </row>
    <row r="295" spans="1:4">
      <c r="A295" s="46"/>
      <c r="B295" s="47"/>
      <c r="C295" s="46"/>
      <c r="D295" s="46"/>
    </row>
    <row r="296" spans="1:4">
      <c r="A296" s="46"/>
      <c r="B296" s="47"/>
      <c r="C296" s="46"/>
      <c r="D296" s="46"/>
    </row>
    <row r="297" spans="1:4">
      <c r="A297" s="46"/>
      <c r="B297" s="47"/>
      <c r="C297" s="46"/>
      <c r="D297" s="46"/>
    </row>
    <row r="298" spans="1:4">
      <c r="A298" s="46"/>
      <c r="B298" s="47"/>
      <c r="C298" s="46"/>
      <c r="D298" s="46"/>
    </row>
    <row r="299" spans="1:4">
      <c r="A299" s="46"/>
      <c r="B299" s="47"/>
      <c r="C299" s="46"/>
      <c r="D299" s="46"/>
    </row>
    <row r="300" spans="1:4">
      <c r="A300" s="46"/>
      <c r="B300" s="47"/>
      <c r="C300" s="46"/>
      <c r="D300" s="46"/>
    </row>
    <row r="301" spans="1:4">
      <c r="A301" s="46"/>
      <c r="B301" s="47"/>
      <c r="C301" s="46"/>
      <c r="D301" s="46"/>
    </row>
    <row r="302" spans="1:4">
      <c r="A302" s="46"/>
      <c r="B302" s="47"/>
      <c r="C302" s="46"/>
      <c r="D302" s="46"/>
    </row>
    <row r="303" spans="1:4">
      <c r="A303" s="46"/>
      <c r="B303" s="47"/>
      <c r="C303" s="46"/>
      <c r="D303" s="46"/>
    </row>
    <row r="304" spans="1:4">
      <c r="A304" s="46"/>
      <c r="B304" s="47"/>
      <c r="C304" s="46"/>
      <c r="D304" s="46"/>
    </row>
    <row r="305" spans="1:4">
      <c r="A305" s="46"/>
      <c r="B305" s="47"/>
      <c r="C305" s="46"/>
      <c r="D305" s="46"/>
    </row>
    <row r="306" spans="1:4">
      <c r="A306" s="46"/>
      <c r="B306" s="47"/>
      <c r="C306" s="46"/>
      <c r="D306" s="46"/>
    </row>
    <row r="307" spans="1:4">
      <c r="A307" s="46"/>
      <c r="B307" s="47"/>
      <c r="C307" s="46"/>
      <c r="D307" s="46"/>
    </row>
    <row r="308" spans="1:4">
      <c r="A308" s="46"/>
      <c r="B308" s="47"/>
      <c r="C308" s="46"/>
      <c r="D308" s="46"/>
    </row>
    <row r="309" spans="1:4">
      <c r="A309" s="46"/>
      <c r="B309" s="47"/>
      <c r="C309" s="46"/>
      <c r="D309" s="46"/>
    </row>
    <row r="310" spans="1:4">
      <c r="A310" s="46"/>
      <c r="B310" s="47"/>
      <c r="C310" s="46"/>
      <c r="D310" s="46"/>
    </row>
    <row r="311" spans="1:4">
      <c r="A311" s="46"/>
      <c r="B311" s="47"/>
      <c r="C311" s="46"/>
      <c r="D311" s="46"/>
    </row>
    <row r="312" spans="1:4">
      <c r="A312" s="46"/>
      <c r="B312" s="47"/>
      <c r="C312" s="46"/>
      <c r="D312" s="46"/>
    </row>
    <row r="313" spans="1:4">
      <c r="A313" s="46"/>
      <c r="B313" s="47"/>
      <c r="C313" s="46"/>
      <c r="D313" s="46"/>
    </row>
    <row r="314" spans="1:4">
      <c r="A314" s="46"/>
      <c r="B314" s="47"/>
      <c r="C314" s="46"/>
      <c r="D314" s="46"/>
    </row>
    <row r="315" spans="1:4">
      <c r="A315" s="46"/>
      <c r="B315" s="47"/>
      <c r="C315" s="46"/>
      <c r="D315" s="46"/>
    </row>
    <row r="316" spans="1:4">
      <c r="A316" s="46"/>
      <c r="B316" s="47"/>
      <c r="C316" s="46"/>
      <c r="D316" s="46"/>
    </row>
    <row r="317" spans="1:4">
      <c r="A317" s="46"/>
      <c r="B317" s="47"/>
      <c r="C317" s="46"/>
      <c r="D317" s="46"/>
    </row>
    <row r="318" spans="1:4">
      <c r="A318" s="46"/>
      <c r="B318" s="47"/>
      <c r="C318" s="46"/>
      <c r="D318" s="46"/>
    </row>
    <row r="319" spans="1:4">
      <c r="A319" s="46"/>
      <c r="B319" s="47"/>
      <c r="C319" s="46"/>
      <c r="D319" s="46"/>
    </row>
    <row r="320" spans="1:4">
      <c r="A320" s="46"/>
      <c r="B320" s="47"/>
      <c r="C320" s="46"/>
      <c r="D320" s="46"/>
    </row>
    <row r="321" spans="1:4">
      <c r="A321" s="46"/>
      <c r="B321" s="47"/>
      <c r="C321" s="46"/>
      <c r="D321" s="46"/>
    </row>
    <row r="322" spans="1:4">
      <c r="A322" s="46"/>
      <c r="B322" s="47"/>
      <c r="C322" s="46"/>
      <c r="D322" s="46"/>
    </row>
    <row r="323" spans="1:4">
      <c r="A323" s="46"/>
      <c r="B323" s="47"/>
      <c r="C323" s="46"/>
      <c r="D323" s="46"/>
    </row>
    <row r="324" spans="1:4">
      <c r="A324" s="46"/>
      <c r="B324" s="47"/>
      <c r="C324" s="46"/>
      <c r="D324" s="46"/>
    </row>
    <row r="325" spans="1:4">
      <c r="A325" s="46"/>
      <c r="B325" s="47"/>
      <c r="C325" s="46"/>
      <c r="D325" s="46"/>
    </row>
    <row r="326" spans="1:4">
      <c r="A326" s="46"/>
      <c r="B326" s="47"/>
      <c r="C326" s="46"/>
      <c r="D326" s="46"/>
    </row>
    <row r="327" spans="1:4">
      <c r="A327" s="46"/>
      <c r="B327" s="47"/>
      <c r="C327" s="46"/>
      <c r="D327" s="46"/>
    </row>
    <row r="328" spans="1:4">
      <c r="A328" s="46"/>
      <c r="B328" s="47"/>
      <c r="C328" s="46"/>
      <c r="D328" s="46"/>
    </row>
    <row r="329" spans="1:4">
      <c r="A329" s="46"/>
      <c r="B329" s="47"/>
      <c r="C329" s="46"/>
      <c r="D329" s="46"/>
    </row>
    <row r="330" spans="1:4">
      <c r="A330" s="46"/>
      <c r="B330" s="47"/>
      <c r="C330" s="46"/>
      <c r="D330" s="46"/>
    </row>
    <row r="331" spans="1:4">
      <c r="A331" s="46"/>
      <c r="B331" s="47"/>
      <c r="C331" s="46"/>
      <c r="D331" s="46"/>
    </row>
    <row r="332" spans="1:4">
      <c r="A332" s="46"/>
      <c r="B332" s="47"/>
      <c r="C332" s="46"/>
      <c r="D332" s="46"/>
    </row>
    <row r="333" spans="1:4">
      <c r="A333" s="46"/>
      <c r="B333" s="47"/>
      <c r="C333" s="46"/>
      <c r="D333" s="46"/>
    </row>
    <row r="334" spans="1:4">
      <c r="A334" s="46"/>
      <c r="B334" s="47"/>
      <c r="C334" s="46"/>
      <c r="D334" s="46"/>
    </row>
    <row r="335" spans="1:4">
      <c r="A335" s="46"/>
      <c r="B335" s="47"/>
      <c r="C335" s="46"/>
      <c r="D335" s="46"/>
    </row>
    <row r="336" spans="1:4">
      <c r="A336" s="46"/>
      <c r="B336" s="47"/>
      <c r="C336" s="46"/>
      <c r="D336" s="46"/>
    </row>
    <row r="337" spans="1:4">
      <c r="A337" s="46"/>
      <c r="B337" s="47"/>
      <c r="C337" s="46"/>
      <c r="D337" s="46"/>
    </row>
    <row r="338" spans="1:4">
      <c r="A338" s="46"/>
      <c r="B338" s="47"/>
      <c r="C338" s="46"/>
      <c r="D338" s="46"/>
    </row>
    <row r="339" spans="1:4">
      <c r="A339" s="46"/>
      <c r="B339" s="47"/>
      <c r="C339" s="46"/>
      <c r="D339" s="46"/>
    </row>
    <row r="340" spans="1:4">
      <c r="A340" s="46"/>
      <c r="B340" s="47"/>
      <c r="C340" s="46"/>
      <c r="D340" s="46"/>
    </row>
    <row r="341" spans="1:4">
      <c r="A341" s="46"/>
      <c r="B341" s="47"/>
      <c r="C341" s="46"/>
      <c r="D341" s="46"/>
    </row>
    <row r="342" spans="1:4">
      <c r="A342" s="46"/>
      <c r="B342" s="47"/>
      <c r="C342" s="46"/>
      <c r="D342" s="46"/>
    </row>
    <row r="343" spans="1:4">
      <c r="A343" s="46"/>
      <c r="B343" s="47"/>
      <c r="C343" s="46"/>
      <c r="D343" s="46"/>
    </row>
    <row r="344" spans="1:4">
      <c r="A344" s="46"/>
      <c r="B344" s="47"/>
      <c r="C344" s="46"/>
      <c r="D344" s="46"/>
    </row>
    <row r="345" spans="1:4">
      <c r="A345" s="46"/>
      <c r="B345" s="47"/>
      <c r="C345" s="46"/>
      <c r="D345" s="46"/>
    </row>
    <row r="346" spans="1:4">
      <c r="A346" s="46"/>
      <c r="B346" s="47"/>
      <c r="C346" s="46"/>
      <c r="D346" s="46"/>
    </row>
    <row r="347" spans="1:4">
      <c r="A347" s="46"/>
      <c r="B347" s="47"/>
      <c r="C347" s="46"/>
      <c r="D347" s="46"/>
    </row>
    <row r="348" spans="1:4">
      <c r="A348" s="46"/>
      <c r="B348" s="47"/>
      <c r="C348" s="46"/>
      <c r="D348" s="46"/>
    </row>
    <row r="349" spans="1:4">
      <c r="A349" s="46"/>
      <c r="B349" s="47"/>
      <c r="C349" s="46"/>
      <c r="D349" s="46"/>
    </row>
    <row r="350" spans="1:4">
      <c r="A350" s="46"/>
      <c r="B350" s="47"/>
      <c r="C350" s="46"/>
      <c r="D350" s="46"/>
    </row>
    <row r="351" spans="1:4">
      <c r="A351" s="46"/>
      <c r="B351" s="47"/>
      <c r="C351" s="46"/>
      <c r="D351" s="46"/>
    </row>
    <row r="352" spans="1:4">
      <c r="A352" s="46"/>
      <c r="B352" s="47"/>
      <c r="C352" s="46"/>
      <c r="D352" s="46"/>
    </row>
    <row r="353" spans="1:4">
      <c r="A353" s="46"/>
      <c r="B353" s="47"/>
      <c r="C353" s="46"/>
      <c r="D353" s="46"/>
    </row>
    <row r="354" spans="1:4">
      <c r="A354" s="46"/>
      <c r="B354" s="47"/>
      <c r="C354" s="46"/>
      <c r="D354" s="46"/>
    </row>
    <row r="355" spans="1:4">
      <c r="A355" s="46"/>
      <c r="B355" s="47"/>
      <c r="C355" s="46"/>
      <c r="D355" s="46"/>
    </row>
    <row r="356" spans="1:4">
      <c r="A356" s="46"/>
      <c r="B356" s="47"/>
      <c r="C356" s="46"/>
      <c r="D356" s="46"/>
    </row>
    <row r="357" spans="1:4">
      <c r="A357" s="46"/>
      <c r="B357" s="47"/>
      <c r="C357" s="46"/>
      <c r="D357" s="46"/>
    </row>
    <row r="358" spans="1:4">
      <c r="A358" s="46"/>
      <c r="B358" s="47"/>
      <c r="C358" s="46"/>
      <c r="D358" s="46"/>
    </row>
    <row r="359" spans="1:4">
      <c r="A359" s="46"/>
      <c r="B359" s="47"/>
      <c r="C359" s="46"/>
      <c r="D359" s="46"/>
    </row>
    <row r="360" spans="1:4">
      <c r="A360" s="46"/>
      <c r="B360" s="47"/>
      <c r="C360" s="46"/>
      <c r="D360" s="46"/>
    </row>
    <row r="361" spans="1:4">
      <c r="A361" s="46"/>
      <c r="B361" s="47"/>
      <c r="C361" s="46"/>
      <c r="D361" s="46"/>
    </row>
    <row r="362" spans="1:4">
      <c r="A362" s="46"/>
      <c r="B362" s="47"/>
      <c r="C362" s="46"/>
      <c r="D362" s="46"/>
    </row>
    <row r="363" spans="1:4">
      <c r="A363" s="46"/>
      <c r="B363" s="47"/>
      <c r="C363" s="46"/>
      <c r="D363" s="46"/>
    </row>
    <row r="364" spans="1:4">
      <c r="A364" s="46"/>
      <c r="B364" s="47"/>
      <c r="C364" s="46"/>
      <c r="D364" s="46"/>
    </row>
    <row r="365" spans="1:4">
      <c r="A365" s="46"/>
      <c r="B365" s="47"/>
      <c r="C365" s="46"/>
      <c r="D365" s="46"/>
    </row>
    <row r="366" spans="1:4">
      <c r="A366" s="46"/>
      <c r="B366" s="47"/>
      <c r="C366" s="46"/>
      <c r="D366" s="46"/>
    </row>
    <row r="367" spans="1:4">
      <c r="A367" s="46"/>
      <c r="B367" s="47"/>
      <c r="C367" s="46"/>
      <c r="D367" s="46"/>
    </row>
    <row r="368" spans="1:4">
      <c r="A368" s="46"/>
      <c r="B368" s="47"/>
      <c r="C368" s="46"/>
      <c r="D368" s="46"/>
    </row>
    <row r="369" spans="1:4">
      <c r="A369" s="46"/>
      <c r="B369" s="47"/>
      <c r="C369" s="46"/>
      <c r="D369" s="46"/>
    </row>
    <row r="370" spans="1:4">
      <c r="A370" s="46"/>
      <c r="B370" s="47"/>
      <c r="C370" s="46"/>
      <c r="D370" s="46"/>
    </row>
    <row r="371" spans="1:4">
      <c r="A371" s="46"/>
      <c r="B371" s="47"/>
      <c r="C371" s="46"/>
      <c r="D371" s="46"/>
    </row>
    <row r="372" spans="1:4">
      <c r="A372" s="46"/>
      <c r="B372" s="47"/>
      <c r="C372" s="46"/>
      <c r="D372" s="46"/>
    </row>
    <row r="373" spans="1:4">
      <c r="A373" s="46"/>
      <c r="B373" s="47"/>
      <c r="C373" s="46"/>
      <c r="D373" s="46"/>
    </row>
    <row r="374" spans="1:4">
      <c r="A374" s="46"/>
      <c r="B374" s="47"/>
      <c r="C374" s="46"/>
      <c r="D374" s="46"/>
    </row>
    <row r="375" spans="1:4">
      <c r="A375" s="46"/>
      <c r="B375" s="47"/>
      <c r="C375" s="46"/>
      <c r="D375" s="46"/>
    </row>
    <row r="376" spans="1:4">
      <c r="A376" s="46"/>
      <c r="B376" s="47"/>
      <c r="C376" s="46"/>
      <c r="D376" s="46"/>
    </row>
    <row r="377" spans="1:4">
      <c r="A377" s="46"/>
      <c r="B377" s="47"/>
      <c r="C377" s="46"/>
      <c r="D377" s="46"/>
    </row>
    <row r="378" spans="1:4">
      <c r="A378" s="46"/>
      <c r="B378" s="47"/>
      <c r="C378" s="46"/>
      <c r="D378" s="46"/>
    </row>
    <row r="379" spans="1:4">
      <c r="A379" s="46"/>
      <c r="B379" s="47"/>
      <c r="C379" s="46"/>
      <c r="D379" s="46"/>
    </row>
    <row r="380" spans="1:4">
      <c r="A380" s="46"/>
      <c r="B380" s="47"/>
      <c r="C380" s="46"/>
      <c r="D380" s="46"/>
    </row>
    <row r="381" spans="1:4">
      <c r="A381" s="46"/>
      <c r="B381" s="47"/>
      <c r="C381" s="46"/>
      <c r="D381" s="46"/>
    </row>
    <row r="382" spans="1:4">
      <c r="A382" s="46"/>
      <c r="B382" s="47"/>
      <c r="C382" s="46"/>
      <c r="D382" s="46"/>
    </row>
    <row r="383" spans="1:4">
      <c r="A383" s="46"/>
      <c r="B383" s="47"/>
      <c r="C383" s="46"/>
      <c r="D383" s="46"/>
    </row>
    <row r="384" spans="1:4">
      <c r="A384" s="46"/>
      <c r="B384" s="47"/>
      <c r="C384" s="46"/>
      <c r="D384" s="46"/>
    </row>
    <row r="385" spans="1:4">
      <c r="A385" s="46"/>
      <c r="B385" s="47"/>
      <c r="C385" s="46"/>
      <c r="D385" s="46"/>
    </row>
    <row r="386" spans="1:4">
      <c r="A386" s="46"/>
      <c r="B386" s="47"/>
      <c r="C386" s="46"/>
      <c r="D386" s="46"/>
    </row>
    <row r="387" spans="1:4">
      <c r="A387" s="46"/>
      <c r="B387" s="47"/>
      <c r="C387" s="46"/>
      <c r="D387" s="46"/>
    </row>
    <row r="388" spans="1:4">
      <c r="A388" s="46"/>
      <c r="B388" s="47"/>
      <c r="C388" s="46"/>
      <c r="D388" s="46"/>
    </row>
    <row r="389" spans="1:4">
      <c r="A389" s="46"/>
      <c r="B389" s="47"/>
      <c r="C389" s="46"/>
      <c r="D389" s="46"/>
    </row>
    <row r="390" spans="1:4">
      <c r="A390" s="46"/>
      <c r="B390" s="47"/>
      <c r="C390" s="46"/>
      <c r="D390" s="46"/>
    </row>
    <row r="391" spans="1:4">
      <c r="A391" s="46"/>
      <c r="B391" s="47"/>
      <c r="C391" s="46"/>
      <c r="D391" s="46"/>
    </row>
    <row r="392" spans="1:4">
      <c r="A392" s="46"/>
      <c r="B392" s="47"/>
      <c r="C392" s="46"/>
      <c r="D392" s="46"/>
    </row>
    <row r="393" spans="1:4">
      <c r="A393" s="46"/>
      <c r="B393" s="47"/>
      <c r="C393" s="46"/>
      <c r="D393" s="46"/>
    </row>
    <row r="394" spans="1:4">
      <c r="A394" s="46"/>
      <c r="B394" s="47"/>
      <c r="C394" s="46"/>
      <c r="D394" s="46"/>
    </row>
    <row r="395" spans="1:4">
      <c r="A395" s="46"/>
      <c r="B395" s="47"/>
      <c r="C395" s="46"/>
      <c r="D395" s="46"/>
    </row>
    <row r="396" spans="1:4">
      <c r="A396" s="46"/>
      <c r="B396" s="47"/>
      <c r="C396" s="46"/>
      <c r="D396" s="46"/>
    </row>
    <row r="397" spans="1:4">
      <c r="A397" s="46"/>
      <c r="B397" s="47"/>
      <c r="C397" s="46"/>
      <c r="D397" s="46"/>
    </row>
    <row r="398" spans="1:4">
      <c r="A398" s="46"/>
      <c r="B398" s="47"/>
      <c r="C398" s="46"/>
      <c r="D398" s="46"/>
    </row>
    <row r="399" spans="1:4">
      <c r="A399" s="46"/>
      <c r="B399" s="47"/>
      <c r="C399" s="46"/>
      <c r="D399" s="46"/>
    </row>
    <row r="400" spans="1:4">
      <c r="A400" s="46"/>
      <c r="B400" s="47"/>
      <c r="C400" s="46"/>
      <c r="D400" s="46"/>
    </row>
    <row r="401" spans="1:4">
      <c r="A401" s="46"/>
      <c r="B401" s="47"/>
      <c r="C401" s="46"/>
      <c r="D401" s="46"/>
    </row>
    <row r="402" spans="1:4">
      <c r="A402" s="46"/>
      <c r="B402" s="47"/>
      <c r="C402" s="46"/>
      <c r="D402" s="46"/>
    </row>
    <row r="403" spans="1:4">
      <c r="A403" s="46"/>
      <c r="B403" s="47"/>
      <c r="C403" s="46"/>
      <c r="D403" s="46"/>
    </row>
    <row r="404" spans="1:4">
      <c r="A404" s="46"/>
      <c r="B404" s="47"/>
      <c r="C404" s="46"/>
      <c r="D404" s="46"/>
    </row>
    <row r="405" spans="1:4">
      <c r="A405" s="46"/>
      <c r="B405" s="47"/>
      <c r="C405" s="46"/>
      <c r="D405" s="46"/>
    </row>
    <row r="406" spans="1:4">
      <c r="A406" s="46"/>
      <c r="B406" s="47"/>
      <c r="C406" s="46"/>
      <c r="D406" s="46"/>
    </row>
    <row r="407" spans="1:4">
      <c r="A407" s="46"/>
      <c r="B407" s="47"/>
      <c r="C407" s="46"/>
      <c r="D407" s="46"/>
    </row>
    <row r="408" spans="1:4">
      <c r="A408" s="46"/>
      <c r="B408" s="47"/>
      <c r="C408" s="46"/>
      <c r="D408" s="46"/>
    </row>
    <row r="409" spans="1:4">
      <c r="A409" s="46"/>
      <c r="B409" s="47"/>
      <c r="C409" s="46"/>
      <c r="D409" s="46"/>
    </row>
    <row r="410" spans="1:4">
      <c r="A410" s="46"/>
      <c r="B410" s="47"/>
      <c r="C410" s="46"/>
      <c r="D410" s="46"/>
    </row>
    <row r="411" spans="1:4">
      <c r="A411" s="46"/>
      <c r="B411" s="47"/>
      <c r="C411" s="46"/>
      <c r="D411" s="46"/>
    </row>
    <row r="412" spans="1:4">
      <c r="A412" s="46"/>
      <c r="B412" s="47"/>
      <c r="C412" s="46"/>
      <c r="D412" s="46"/>
    </row>
    <row r="413" spans="1:4">
      <c r="A413" s="46"/>
      <c r="B413" s="47"/>
      <c r="C413" s="46"/>
      <c r="D413" s="46"/>
    </row>
    <row r="414" spans="1:4">
      <c r="A414" s="46"/>
      <c r="B414" s="47"/>
      <c r="C414" s="46"/>
      <c r="D414" s="46"/>
    </row>
    <row r="415" spans="1:4">
      <c r="A415" s="46"/>
      <c r="B415" s="47"/>
      <c r="C415" s="46"/>
      <c r="D415" s="46"/>
    </row>
    <row r="416" spans="1:4">
      <c r="A416" s="46"/>
      <c r="B416" s="47"/>
      <c r="C416" s="46"/>
      <c r="D416" s="46"/>
    </row>
    <row r="417" spans="1:4">
      <c r="A417" s="46"/>
      <c r="B417" s="47"/>
      <c r="C417" s="46"/>
      <c r="D417" s="46"/>
    </row>
    <row r="418" spans="1:4">
      <c r="A418" s="46"/>
      <c r="B418" s="47"/>
      <c r="C418" s="46"/>
      <c r="D418" s="46"/>
    </row>
    <row r="419" spans="1:4">
      <c r="A419" s="46"/>
      <c r="B419" s="47"/>
      <c r="C419" s="46"/>
      <c r="D419" s="46"/>
    </row>
    <row r="420" spans="1:4">
      <c r="A420" s="46"/>
      <c r="B420" s="47"/>
      <c r="C420" s="46"/>
      <c r="D420" s="46"/>
    </row>
    <row r="421" spans="1:4">
      <c r="A421" s="46"/>
      <c r="B421" s="47"/>
      <c r="C421" s="46"/>
      <c r="D421" s="46"/>
    </row>
    <row r="422" spans="1:4">
      <c r="A422" s="46"/>
      <c r="B422" s="47"/>
      <c r="C422" s="46"/>
      <c r="D422" s="46"/>
    </row>
    <row r="423" spans="1:4">
      <c r="A423" s="46"/>
      <c r="B423" s="47"/>
      <c r="C423" s="46"/>
      <c r="D423" s="46"/>
    </row>
    <row r="424" spans="1:4">
      <c r="A424" s="46"/>
      <c r="B424" s="47"/>
      <c r="C424" s="46"/>
      <c r="D424" s="46"/>
    </row>
    <row r="425" spans="1:4">
      <c r="A425" s="46"/>
      <c r="B425" s="47"/>
      <c r="C425" s="46"/>
      <c r="D425" s="46"/>
    </row>
    <row r="426" spans="1:4">
      <c r="A426" s="46"/>
      <c r="B426" s="47"/>
      <c r="C426" s="46"/>
      <c r="D426" s="46"/>
    </row>
    <row r="427" spans="1:4">
      <c r="A427" s="46"/>
      <c r="B427" s="47"/>
      <c r="C427" s="46"/>
      <c r="D427" s="46"/>
    </row>
    <row r="428" spans="1:4">
      <c r="A428" s="46"/>
      <c r="B428" s="47"/>
      <c r="C428" s="46"/>
      <c r="D428" s="46"/>
    </row>
    <row r="429" spans="1:4">
      <c r="A429" s="46"/>
      <c r="B429" s="47"/>
      <c r="C429" s="46"/>
      <c r="D429" s="46"/>
    </row>
    <row r="430" spans="1:4">
      <c r="A430" s="46"/>
      <c r="B430" s="47"/>
      <c r="C430" s="46"/>
      <c r="D430" s="46"/>
    </row>
    <row r="431" spans="1:4">
      <c r="A431" s="46"/>
      <c r="B431" s="47"/>
      <c r="C431" s="46"/>
      <c r="D431" s="46"/>
    </row>
    <row r="432" spans="1:4">
      <c r="A432" s="46"/>
      <c r="B432" s="47"/>
      <c r="C432" s="46"/>
      <c r="D432" s="46"/>
    </row>
    <row r="433" spans="1:4">
      <c r="A433" s="46"/>
      <c r="B433" s="47"/>
      <c r="C433" s="46"/>
      <c r="D433" s="46"/>
    </row>
    <row r="434" spans="1:4">
      <c r="A434" s="46"/>
      <c r="B434" s="47"/>
      <c r="C434" s="46"/>
      <c r="D434" s="46"/>
    </row>
    <row r="435" spans="1:4">
      <c r="A435" s="46"/>
      <c r="B435" s="47"/>
      <c r="C435" s="46"/>
      <c r="D435" s="46"/>
    </row>
    <row r="436" spans="1:4">
      <c r="A436" s="46"/>
      <c r="B436" s="47"/>
      <c r="C436" s="46"/>
      <c r="D436" s="46"/>
    </row>
    <row r="437" spans="1:4">
      <c r="A437" s="46"/>
      <c r="B437" s="47"/>
      <c r="C437" s="46"/>
      <c r="D437" s="46"/>
    </row>
    <row r="438" spans="1:4">
      <c r="A438" s="46"/>
      <c r="B438" s="47"/>
      <c r="C438" s="46"/>
      <c r="D438" s="46"/>
    </row>
    <row r="439" spans="1:4">
      <c r="A439" s="46"/>
      <c r="B439" s="47"/>
      <c r="C439" s="46"/>
      <c r="D439" s="46"/>
    </row>
    <row r="440" spans="1:4">
      <c r="A440" s="46"/>
      <c r="B440" s="47"/>
      <c r="C440" s="46"/>
      <c r="D440" s="46"/>
    </row>
    <row r="441" spans="1:4">
      <c r="A441" s="46"/>
      <c r="B441" s="47"/>
      <c r="C441" s="46"/>
      <c r="D441" s="46"/>
    </row>
    <row r="442" spans="1:4">
      <c r="A442" s="46"/>
      <c r="B442" s="47"/>
      <c r="C442" s="46"/>
      <c r="D442" s="46"/>
    </row>
    <row r="443" spans="1:4">
      <c r="A443" s="46"/>
      <c r="B443" s="47"/>
      <c r="C443" s="46"/>
      <c r="D443" s="46"/>
    </row>
    <row r="444" spans="1:4">
      <c r="A444" s="46"/>
      <c r="B444" s="47"/>
      <c r="C444" s="46"/>
      <c r="D444" s="46"/>
    </row>
    <row r="445" spans="1:4">
      <c r="A445" s="46"/>
      <c r="B445" s="47"/>
      <c r="C445" s="46"/>
      <c r="D445" s="46"/>
    </row>
    <row r="446" spans="1:4">
      <c r="A446" s="46"/>
      <c r="B446" s="47"/>
      <c r="C446" s="46"/>
      <c r="D446" s="46"/>
    </row>
    <row r="447" spans="1:4">
      <c r="A447" s="46"/>
      <c r="B447" s="47"/>
      <c r="C447" s="46"/>
      <c r="D447" s="46"/>
    </row>
    <row r="448" spans="1:4">
      <c r="A448" s="46"/>
      <c r="B448" s="47"/>
      <c r="C448" s="46"/>
      <c r="D448" s="46"/>
    </row>
    <row r="449" spans="1:4">
      <c r="A449" s="46"/>
      <c r="B449" s="47"/>
      <c r="C449" s="46"/>
      <c r="D449" s="46"/>
    </row>
    <row r="450" spans="1:4">
      <c r="A450" s="46"/>
      <c r="B450" s="47"/>
      <c r="C450" s="46"/>
      <c r="D450" s="46"/>
    </row>
    <row r="451" spans="1:4">
      <c r="A451" s="46"/>
      <c r="B451" s="47"/>
      <c r="C451" s="46"/>
      <c r="D451" s="46"/>
    </row>
    <row r="452" spans="1:4">
      <c r="A452" s="46"/>
      <c r="B452" s="47"/>
      <c r="C452" s="46"/>
      <c r="D452" s="46"/>
    </row>
    <row r="453" spans="1:4">
      <c r="A453" s="46"/>
      <c r="B453" s="47"/>
      <c r="C453" s="46"/>
      <c r="D453" s="46"/>
    </row>
    <row r="454" spans="1:4">
      <c r="A454" s="46"/>
      <c r="B454" s="47"/>
      <c r="C454" s="46"/>
      <c r="D454" s="46"/>
    </row>
    <row r="455" spans="1:4">
      <c r="A455" s="46"/>
      <c r="B455" s="47"/>
      <c r="C455" s="46"/>
      <c r="D455" s="46"/>
    </row>
    <row r="456" spans="1:4">
      <c r="A456" s="46"/>
      <c r="B456" s="47"/>
      <c r="C456" s="46"/>
      <c r="D456" s="46"/>
    </row>
    <row r="457" spans="1:4">
      <c r="A457" s="46"/>
      <c r="B457" s="47"/>
      <c r="C457" s="46"/>
      <c r="D457" s="46"/>
    </row>
    <row r="458" spans="1:4">
      <c r="A458" s="46"/>
      <c r="B458" s="47"/>
      <c r="C458" s="46"/>
      <c r="D458" s="46"/>
    </row>
    <row r="459" spans="1:4">
      <c r="A459" s="46"/>
      <c r="B459" s="47"/>
      <c r="C459" s="46"/>
      <c r="D459" s="46"/>
    </row>
    <row r="460" spans="1:4">
      <c r="A460" s="46"/>
      <c r="B460" s="47"/>
      <c r="C460" s="46"/>
      <c r="D460" s="46"/>
    </row>
    <row r="461" spans="1:4">
      <c r="A461" s="46"/>
      <c r="B461" s="47"/>
      <c r="C461" s="46"/>
      <c r="D461" s="46"/>
    </row>
    <row r="462" spans="1:4">
      <c r="A462" s="46"/>
      <c r="B462" s="47"/>
      <c r="C462" s="46"/>
      <c r="D462" s="46"/>
    </row>
    <row r="463" spans="1:4">
      <c r="A463" s="46"/>
      <c r="B463" s="47"/>
      <c r="C463" s="46"/>
      <c r="D463" s="46"/>
    </row>
    <row r="464" spans="1:4">
      <c r="A464" s="46"/>
      <c r="B464" s="47"/>
      <c r="C464" s="46"/>
      <c r="D464" s="46"/>
    </row>
    <row r="465" spans="1:4">
      <c r="A465" s="46"/>
      <c r="B465" s="47"/>
      <c r="C465" s="46"/>
      <c r="D465" s="46"/>
    </row>
    <row r="466" spans="1:4">
      <c r="A466" s="46"/>
      <c r="B466" s="47"/>
      <c r="C466" s="46"/>
      <c r="D466" s="46"/>
    </row>
    <row r="467" spans="1:4">
      <c r="A467" s="46"/>
      <c r="B467" s="47"/>
      <c r="C467" s="46"/>
      <c r="D467" s="46"/>
    </row>
    <row r="468" spans="1:4">
      <c r="A468" s="46"/>
      <c r="B468" s="47"/>
      <c r="C468" s="46"/>
      <c r="D468" s="46"/>
    </row>
    <row r="469" spans="1:4">
      <c r="A469" s="46"/>
      <c r="B469" s="47"/>
      <c r="C469" s="46"/>
      <c r="D469" s="46"/>
    </row>
    <row r="470" spans="1:4">
      <c r="A470" s="46"/>
      <c r="B470" s="47"/>
      <c r="C470" s="46"/>
      <c r="D470" s="46"/>
    </row>
    <row r="471" spans="1:4">
      <c r="A471" s="46"/>
      <c r="B471" s="47"/>
      <c r="C471" s="46"/>
      <c r="D471" s="46"/>
    </row>
    <row r="472" spans="1:4">
      <c r="A472" s="46"/>
      <c r="B472" s="47"/>
      <c r="C472" s="46"/>
      <c r="D472" s="46"/>
    </row>
    <row r="473" spans="1:4">
      <c r="A473" s="46"/>
      <c r="B473" s="47"/>
      <c r="C473" s="46"/>
      <c r="D473" s="46"/>
    </row>
    <row r="474" spans="1:4">
      <c r="A474" s="46"/>
      <c r="B474" s="47"/>
      <c r="C474" s="46"/>
      <c r="D474" s="46"/>
    </row>
    <row r="475" spans="1:4">
      <c r="A475" s="46"/>
      <c r="B475" s="47"/>
      <c r="C475" s="46"/>
      <c r="D475" s="46"/>
    </row>
    <row r="476" spans="1:4">
      <c r="A476" s="46"/>
      <c r="B476" s="47"/>
      <c r="C476" s="46"/>
      <c r="D476" s="46"/>
    </row>
    <row r="477" spans="1:4">
      <c r="A477" s="46"/>
      <c r="B477" s="47"/>
      <c r="C477" s="46"/>
      <c r="D477" s="46"/>
    </row>
    <row r="478" spans="1:4">
      <c r="A478" s="46"/>
      <c r="B478" s="47"/>
      <c r="C478" s="46"/>
      <c r="D478" s="46"/>
    </row>
    <row r="479" spans="1:4">
      <c r="A479" s="46"/>
      <c r="B479" s="47"/>
      <c r="C479" s="46"/>
      <c r="D479" s="46"/>
    </row>
    <row r="480" spans="1:4">
      <c r="A480" s="46"/>
      <c r="B480" s="47"/>
      <c r="C480" s="46"/>
      <c r="D480" s="46"/>
    </row>
    <row r="481" spans="1:4">
      <c r="A481" s="46"/>
      <c r="B481" s="47"/>
      <c r="C481" s="46"/>
      <c r="D481" s="46"/>
    </row>
    <row r="482" spans="1:4">
      <c r="A482" s="46"/>
      <c r="B482" s="47"/>
      <c r="C482" s="46"/>
      <c r="D482" s="46"/>
    </row>
    <row r="483" spans="1:4">
      <c r="A483" s="46"/>
      <c r="B483" s="47"/>
      <c r="C483" s="46"/>
      <c r="D483" s="46"/>
    </row>
    <row r="484" spans="1:4">
      <c r="A484" s="46"/>
      <c r="B484" s="47"/>
      <c r="C484" s="46"/>
      <c r="D484" s="46"/>
    </row>
    <row r="485" spans="1:4">
      <c r="A485" s="46"/>
      <c r="B485" s="47"/>
      <c r="C485" s="46"/>
      <c r="D485" s="46"/>
    </row>
    <row r="486" spans="1:4">
      <c r="A486" s="46"/>
      <c r="B486" s="47"/>
      <c r="C486" s="46"/>
      <c r="D486" s="46"/>
    </row>
    <row r="487" spans="1:4">
      <c r="A487" s="46"/>
      <c r="B487" s="47"/>
      <c r="C487" s="46"/>
      <c r="D487" s="46"/>
    </row>
    <row r="488" spans="1:4">
      <c r="A488" s="46"/>
      <c r="B488" s="47"/>
      <c r="C488" s="46"/>
      <c r="D488" s="46"/>
    </row>
    <row r="489" spans="1:4">
      <c r="A489" s="46"/>
      <c r="B489" s="47"/>
      <c r="C489" s="46"/>
      <c r="D489" s="46"/>
    </row>
    <row r="490" spans="1:4">
      <c r="A490" s="46"/>
      <c r="B490" s="47"/>
      <c r="C490" s="46"/>
      <c r="D490" s="46"/>
    </row>
    <row r="491" spans="1:4">
      <c r="A491" s="46"/>
      <c r="B491" s="47"/>
      <c r="C491" s="46"/>
      <c r="D491" s="46"/>
    </row>
    <row r="492" spans="1:4">
      <c r="A492" s="46"/>
      <c r="B492" s="47"/>
      <c r="C492" s="46"/>
      <c r="D492" s="46"/>
    </row>
    <row r="493" spans="1:4">
      <c r="A493" s="46"/>
      <c r="B493" s="47"/>
      <c r="C493" s="46"/>
      <c r="D493" s="46"/>
    </row>
    <row r="494" spans="1:4">
      <c r="A494" s="46"/>
      <c r="B494" s="47"/>
      <c r="C494" s="46"/>
      <c r="D494" s="46"/>
    </row>
    <row r="495" spans="1:4">
      <c r="A495" s="46"/>
      <c r="B495" s="47"/>
      <c r="C495" s="46"/>
      <c r="D495" s="46"/>
    </row>
    <row r="496" spans="1:4">
      <c r="A496" s="46"/>
      <c r="B496" s="47"/>
      <c r="C496" s="46"/>
      <c r="D496" s="46"/>
    </row>
    <row r="497" spans="1:4">
      <c r="A497" s="46"/>
      <c r="B497" s="47"/>
      <c r="C497" s="46"/>
      <c r="D497" s="46"/>
    </row>
    <row r="498" spans="1:4">
      <c r="A498" s="46"/>
      <c r="B498" s="47"/>
      <c r="C498" s="46"/>
      <c r="D498" s="46"/>
    </row>
    <row r="499" spans="1:4">
      <c r="A499" s="46"/>
      <c r="B499" s="47"/>
      <c r="C499" s="46"/>
      <c r="D499" s="46"/>
    </row>
    <row r="500" spans="1:4">
      <c r="A500" s="46"/>
      <c r="B500" s="47"/>
      <c r="C500" s="46"/>
      <c r="D500" s="46"/>
    </row>
  </sheetData>
  <autoFilter ref="A1:D500"/>
  <conditionalFormatting sqref="A2:A5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rgb="FFA6A6A6"/>
    <pageSetUpPr fitToPage="1"/>
  </sheetPr>
  <dimension ref="A1:M35"/>
  <sheetViews>
    <sheetView showGridLines="0" workbookViewId="0">
      <pane ySplit="12" topLeftCell="A13" activePane="bottomLeft" state="frozen"/>
      <selection pane="bottomLeft"/>
    </sheetView>
  </sheetViews>
  <sheetFormatPr defaultRowHeight="15"/>
  <cols>
    <col min="1" max="1" width="6.7109375" customWidth="1"/>
    <col min="2" max="2" width="9.7109375" customWidth="1"/>
    <col min="3" max="3" width="40.7109375" customWidth="1"/>
    <col min="4" max="4" width="8.7109375" customWidth="1"/>
    <col min="5" max="5" width="9.7109375" customWidth="1"/>
    <col min="6" max="6" width="15.7109375" customWidth="1"/>
    <col min="7" max="7" width="16.7109375" customWidth="1"/>
    <col min="8" max="8" width="17.7109375" customWidth="1"/>
    <col min="9" max="9" width="2.7109375" customWidth="1"/>
    <col min="10" max="10" width="12.7109375" customWidth="1"/>
    <col min="11" max="11" width="15.7109375" customWidth="1"/>
    <col min="12" max="12" width="14.7109375" customWidth="1"/>
    <col min="13" max="13" width="22.7109375" customWidth="1"/>
    <col min="14" max="14" width="2.7109375" customWidth="1"/>
    <col min="15" max="15" width="20.7109375" customWidth="1"/>
  </cols>
  <sheetData>
    <row r="1" spans="1:13" ht="30" customHeight="1">
      <c r="A1" s="48">
        <f>"ĐƠN HÀNG - "&amp;UPPER(TongQuan!C3)</f>
        <v>0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</row>
    <row r="2" spans="1:13">
      <c r="A2" s="2" t="s">
        <v>32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>
      <c r="A3" s="16" t="s">
        <v>33</v>
      </c>
      <c r="B3" s="16"/>
      <c r="C3" s="16"/>
      <c r="D3" s="16"/>
      <c r="E3" s="16"/>
      <c r="F3" s="16"/>
      <c r="G3" s="16"/>
      <c r="H3" s="16"/>
      <c r="J3" s="16" t="s">
        <v>34</v>
      </c>
      <c r="K3" s="16"/>
      <c r="L3" s="16"/>
      <c r="M3" s="16"/>
    </row>
    <row r="4" spans="1:13">
      <c r="A4" s="3" t="s">
        <v>35</v>
      </c>
      <c r="B4" s="3"/>
      <c r="C4" s="46"/>
      <c r="D4" s="3" t="s">
        <v>40</v>
      </c>
      <c r="E4" s="3"/>
      <c r="F4" s="46"/>
      <c r="G4" s="46"/>
      <c r="H4" s="46"/>
      <c r="J4" s="49" t="s">
        <v>45</v>
      </c>
      <c r="K4" s="49"/>
      <c r="L4" s="50">
        <f>G33</f>
        <v>0</v>
      </c>
      <c r="M4" s="50"/>
    </row>
    <row r="5" spans="1:13">
      <c r="A5" s="3" t="s">
        <v>36</v>
      </c>
      <c r="B5" s="3"/>
      <c r="C5" s="51"/>
      <c r="D5" s="3" t="s">
        <v>41</v>
      </c>
      <c r="E5" s="3"/>
      <c r="F5" s="51"/>
      <c r="G5" s="46"/>
      <c r="H5" s="46"/>
      <c r="J5" s="52" t="s">
        <v>49</v>
      </c>
      <c r="K5" s="53">
        <v>0.08</v>
      </c>
      <c r="L5" s="50">
        <f>G34</f>
        <v>0</v>
      </c>
      <c r="M5" s="50"/>
    </row>
    <row r="6" spans="1:13">
      <c r="A6" s="3" t="s">
        <v>37</v>
      </c>
      <c r="B6" s="3"/>
      <c r="C6" s="46"/>
      <c r="D6" s="3" t="s">
        <v>42</v>
      </c>
      <c r="E6" s="3"/>
      <c r="F6" s="54">
        <f>IF(COUNTA(J13:J22)=0,"Chưa xuất","Đã xuất")</f>
        <v>0</v>
      </c>
      <c r="G6" s="54"/>
      <c r="H6" s="54"/>
      <c r="J6" s="3" t="s">
        <v>46</v>
      </c>
      <c r="K6" s="3"/>
      <c r="L6" s="55">
        <f>G35</f>
        <v>0</v>
      </c>
      <c r="M6" s="55"/>
    </row>
    <row r="7" spans="1:13">
      <c r="A7" s="3" t="s">
        <v>38</v>
      </c>
      <c r="B7" s="3"/>
      <c r="C7" s="46"/>
      <c r="D7" s="3" t="s">
        <v>43</v>
      </c>
      <c r="E7" s="3"/>
      <c r="F7" s="56">
        <f>IF(COUNTA(J13:J22)=0,"",J13&amp;IF(COUNTA(J13:J22)&gt;1," (+"&amp;(COUNTA(J13:J22)-1)&amp;" HĐ)",""))</f>
        <v>0</v>
      </c>
      <c r="G7" s="57">
        <f>IF(K13="","",K13)</f>
        <v>0</v>
      </c>
      <c r="H7" s="57"/>
      <c r="J7" s="49" t="s">
        <v>47</v>
      </c>
      <c r="K7" s="49"/>
      <c r="L7" s="50">
        <f>SUMIF(TongQuan!$P$13:$P$212,$C$4,TongQuan!$Q$13:$Q$212)</f>
        <v>0</v>
      </c>
      <c r="M7" s="50"/>
    </row>
    <row r="8" spans="1:13">
      <c r="A8" s="3" t="s">
        <v>3</v>
      </c>
      <c r="B8" s="3"/>
      <c r="C8" s="46"/>
      <c r="D8" s="3" t="s">
        <v>44</v>
      </c>
      <c r="E8" s="3"/>
      <c r="F8" s="51"/>
      <c r="G8" s="51"/>
      <c r="H8" s="51"/>
      <c r="J8" s="3" t="s">
        <v>48</v>
      </c>
      <c r="K8" s="3"/>
      <c r="L8" s="55">
        <f>L6-L7</f>
        <v>0</v>
      </c>
      <c r="M8" s="55"/>
    </row>
    <row r="9" spans="1:13">
      <c r="A9" s="3" t="s">
        <v>39</v>
      </c>
      <c r="B9" s="3"/>
      <c r="C9" s="54">
        <f>COUNTA(C13:C32)</f>
        <v>0</v>
      </c>
      <c r="J9" s="3" t="s">
        <v>50</v>
      </c>
      <c r="K9" s="3"/>
      <c r="L9" s="58">
        <f>IF(L6=0,"Chưa có giá",IF(L8&lt;0,"Thu thừa",IF(L8=0,"Đã thu đủ",IF(AND(F8&lt;&gt;"",TODAY()&gt;F8),"QUÁ HẠN "&amp;(TODAY()-F8)&amp;" ngày",IF(L7&gt;0,"Thu một phần","Chưa thu")))))</f>
        <v>0</v>
      </c>
      <c r="M9" s="58"/>
    </row>
    <row r="10" spans="1:13" ht="26" customHeight="1">
      <c r="A10" s="59">
        <f>"CẦN LÀM:  "&amp;IF(C4="","Nhập mã đơn",IF(COUNTIFS(C13:C32,"&lt;&gt;",F13:F32,"")&gt;0,"Có mã hàng CHƯA CÓ GIÁ",IF(AND(F4="Đã giao",F6&lt;&gt;"Đã xuất"),"Đã giao - CHƯA XUẤT HÓA ĐƠN",IF(AND(F6="Đã xuất",F4="Chưa giao"),"Đã xuất HĐ - chưa giao hàng",IF(F4="","Cập nhật tình trạng giao hàng",IF(AND(L8&gt;0,F8&lt;&gt;"",TODAY()&gt;F8),"Quá hạn "&amp;(TODAY()-F8)&amp;" ngày - đòi tiền",IF(L8&gt;0,"Chờ thu tiền",IF(L8&lt;0,"Kiểm tra thu thừa","Hoàn tất"))))))))</f>
        <v>0</v>
      </c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</row>
    <row r="11" spans="1:13">
      <c r="A11" s="16" t="s">
        <v>51</v>
      </c>
      <c r="B11" s="16"/>
      <c r="C11" s="16"/>
      <c r="D11" s="16"/>
      <c r="E11" s="16"/>
      <c r="F11" s="16"/>
      <c r="G11" s="16"/>
      <c r="H11" s="16"/>
      <c r="J11" s="16" t="s">
        <v>52</v>
      </c>
      <c r="K11" s="16"/>
      <c r="L11" s="16"/>
      <c r="M11" s="16"/>
    </row>
    <row r="12" spans="1:13" ht="44" customHeight="1">
      <c r="A12" s="18" t="s">
        <v>53</v>
      </c>
      <c r="B12" s="18" t="s">
        <v>54</v>
      </c>
      <c r="C12" s="18" t="s">
        <v>55</v>
      </c>
      <c r="D12" s="18" t="s">
        <v>56</v>
      </c>
      <c r="E12" s="18" t="s">
        <v>57</v>
      </c>
      <c r="F12" s="18" t="s">
        <v>58</v>
      </c>
      <c r="G12" s="18" t="s">
        <v>59</v>
      </c>
      <c r="H12" s="18" t="s">
        <v>60</v>
      </c>
      <c r="J12" s="18" t="s">
        <v>61</v>
      </c>
      <c r="K12" s="18" t="s">
        <v>62</v>
      </c>
      <c r="L12" s="18" t="s">
        <v>63</v>
      </c>
      <c r="M12" s="18" t="s">
        <v>3</v>
      </c>
    </row>
    <row r="13" spans="1:13">
      <c r="A13" s="20">
        <f>IF(C13="","",ROW()-12)</f>
        <v>0</v>
      </c>
      <c r="B13" s="20">
        <f>IF(C13="","","KHH")</f>
        <v>0</v>
      </c>
      <c r="C13" s="23"/>
      <c r="D13" s="20">
        <f>IF(C13="","","Cái")</f>
        <v>0</v>
      </c>
      <c r="E13" s="60"/>
      <c r="F13" s="24">
        <f>IF(C13="","",IFERROR(VLOOKUP(C13,BangGia!$A$2:$B$500,2,FALSE),IFERROR(LOOKUP(2,1/((BangGia!$A$2:$A$500&lt;&gt;"")*ISNUMBER(SEARCH(BangGia!$A$2:$A$500,C13))),BangGia!$B$2:$B$500),"")))</f>
        <v>0</v>
      </c>
      <c r="G13" s="61">
        <f>IF(OR(E13="",F13=""),"",ROUND(E13*F13,0))</f>
        <v>0</v>
      </c>
      <c r="H13" s="61">
        <f>IF(G13="","",ROUND(G13*(1+$K$5),0))</f>
        <v>0</v>
      </c>
      <c r="J13" s="62"/>
      <c r="K13" s="63"/>
      <c r="L13" s="64"/>
      <c r="M13" s="46"/>
    </row>
    <row r="14" spans="1:13">
      <c r="A14" s="25">
        <f>IF(C14="","",ROW()-12)</f>
        <v>0</v>
      </c>
      <c r="B14" s="25">
        <f>IF(C14="","","KHH")</f>
        <v>0</v>
      </c>
      <c r="C14" s="28"/>
      <c r="D14" s="25">
        <f>IF(C14="","","Cái")</f>
        <v>0</v>
      </c>
      <c r="E14" s="65"/>
      <c r="F14" s="29">
        <f>IF(C14="","",IFERROR(VLOOKUP(C14,BangGia!$A$2:$B$500,2,FALSE),IFERROR(LOOKUP(2,1/((BangGia!$A$2:$A$500&lt;&gt;"")*ISNUMBER(SEARCH(BangGia!$A$2:$A$500,C14))),BangGia!$B$2:$B$500),"")))</f>
        <v>0</v>
      </c>
      <c r="G14" s="61">
        <f>IF(OR(E14="",F14=""),"",ROUND(E14*F14,0))</f>
        <v>0</v>
      </c>
      <c r="H14" s="61">
        <f>IF(G14="","",ROUND(G14*(1+$K$5),0))</f>
        <v>0</v>
      </c>
      <c r="J14" s="62"/>
      <c r="K14" s="63"/>
      <c r="L14" s="64"/>
      <c r="M14" s="46"/>
    </row>
    <row r="15" spans="1:13">
      <c r="A15" s="20">
        <f>IF(C15="","",ROW()-12)</f>
        <v>0</v>
      </c>
      <c r="B15" s="20">
        <f>IF(C15="","","KHH")</f>
        <v>0</v>
      </c>
      <c r="C15" s="23"/>
      <c r="D15" s="20">
        <f>IF(C15="","","Cái")</f>
        <v>0</v>
      </c>
      <c r="E15" s="60"/>
      <c r="F15" s="24">
        <f>IF(C15="","",IFERROR(VLOOKUP(C15,BangGia!$A$2:$B$500,2,FALSE),IFERROR(LOOKUP(2,1/((BangGia!$A$2:$A$500&lt;&gt;"")*ISNUMBER(SEARCH(BangGia!$A$2:$A$500,C15))),BangGia!$B$2:$B$500),"")))</f>
        <v>0</v>
      </c>
      <c r="G15" s="61">
        <f>IF(OR(E15="",F15=""),"",ROUND(E15*F15,0))</f>
        <v>0</v>
      </c>
      <c r="H15" s="61">
        <f>IF(G15="","",ROUND(G15*(1+$K$5),0))</f>
        <v>0</v>
      </c>
      <c r="J15" s="62"/>
      <c r="K15" s="63"/>
      <c r="L15" s="64"/>
      <c r="M15" s="46"/>
    </row>
    <row r="16" spans="1:13">
      <c r="A16" s="25">
        <f>IF(C16="","",ROW()-12)</f>
        <v>0</v>
      </c>
      <c r="B16" s="25">
        <f>IF(C16="","","KHH")</f>
        <v>0</v>
      </c>
      <c r="C16" s="28"/>
      <c r="D16" s="25">
        <f>IF(C16="","","Cái")</f>
        <v>0</v>
      </c>
      <c r="E16" s="65"/>
      <c r="F16" s="29">
        <f>IF(C16="","",IFERROR(VLOOKUP(C16,BangGia!$A$2:$B$500,2,FALSE),IFERROR(LOOKUP(2,1/((BangGia!$A$2:$A$500&lt;&gt;"")*ISNUMBER(SEARCH(BangGia!$A$2:$A$500,C16))),BangGia!$B$2:$B$500),"")))</f>
        <v>0</v>
      </c>
      <c r="G16" s="61">
        <f>IF(OR(E16="",F16=""),"",ROUND(E16*F16,0))</f>
        <v>0</v>
      </c>
      <c r="H16" s="61">
        <f>IF(G16="","",ROUND(G16*(1+$K$5),0))</f>
        <v>0</v>
      </c>
      <c r="J16" s="62"/>
      <c r="K16" s="63"/>
      <c r="L16" s="64"/>
      <c r="M16" s="46"/>
    </row>
    <row r="17" spans="1:13">
      <c r="A17" s="20">
        <f>IF(C17="","",ROW()-12)</f>
        <v>0</v>
      </c>
      <c r="B17" s="20">
        <f>IF(C17="","","KHH")</f>
        <v>0</v>
      </c>
      <c r="C17" s="23"/>
      <c r="D17" s="20">
        <f>IF(C17="","","Cái")</f>
        <v>0</v>
      </c>
      <c r="E17" s="60"/>
      <c r="F17" s="24">
        <f>IF(C17="","",IFERROR(VLOOKUP(C17,BangGia!$A$2:$B$500,2,FALSE),IFERROR(LOOKUP(2,1/((BangGia!$A$2:$A$500&lt;&gt;"")*ISNUMBER(SEARCH(BangGia!$A$2:$A$500,C17))),BangGia!$B$2:$B$500),"")))</f>
        <v>0</v>
      </c>
      <c r="G17" s="61">
        <f>IF(OR(E17="",F17=""),"",ROUND(E17*F17,0))</f>
        <v>0</v>
      </c>
      <c r="H17" s="61">
        <f>IF(G17="","",ROUND(G17*(1+$K$5),0))</f>
        <v>0</v>
      </c>
      <c r="J17" s="62"/>
      <c r="K17" s="63"/>
      <c r="L17" s="64"/>
      <c r="M17" s="46"/>
    </row>
    <row r="18" spans="1:13">
      <c r="A18" s="25">
        <f>IF(C18="","",ROW()-12)</f>
        <v>0</v>
      </c>
      <c r="B18" s="25">
        <f>IF(C18="","","KHH")</f>
        <v>0</v>
      </c>
      <c r="C18" s="28"/>
      <c r="D18" s="25">
        <f>IF(C18="","","Cái")</f>
        <v>0</v>
      </c>
      <c r="E18" s="65"/>
      <c r="F18" s="29">
        <f>IF(C18="","",IFERROR(VLOOKUP(C18,BangGia!$A$2:$B$500,2,FALSE),IFERROR(LOOKUP(2,1/((BangGia!$A$2:$A$500&lt;&gt;"")*ISNUMBER(SEARCH(BangGia!$A$2:$A$500,C18))),BangGia!$B$2:$B$500),"")))</f>
        <v>0</v>
      </c>
      <c r="G18" s="61">
        <f>IF(OR(E18="",F18=""),"",ROUND(E18*F18,0))</f>
        <v>0</v>
      </c>
      <c r="H18" s="61">
        <f>IF(G18="","",ROUND(G18*(1+$K$5),0))</f>
        <v>0</v>
      </c>
      <c r="J18" s="62"/>
      <c r="K18" s="63"/>
      <c r="L18" s="64"/>
      <c r="M18" s="46"/>
    </row>
    <row r="19" spans="1:13">
      <c r="A19" s="20">
        <f>IF(C19="","",ROW()-12)</f>
        <v>0</v>
      </c>
      <c r="B19" s="20">
        <f>IF(C19="","","KHH")</f>
        <v>0</v>
      </c>
      <c r="C19" s="23"/>
      <c r="D19" s="20">
        <f>IF(C19="","","Cái")</f>
        <v>0</v>
      </c>
      <c r="E19" s="60"/>
      <c r="F19" s="24">
        <f>IF(C19="","",IFERROR(VLOOKUP(C19,BangGia!$A$2:$B$500,2,FALSE),IFERROR(LOOKUP(2,1/((BangGia!$A$2:$A$500&lt;&gt;"")*ISNUMBER(SEARCH(BangGia!$A$2:$A$500,C19))),BangGia!$B$2:$B$500),"")))</f>
        <v>0</v>
      </c>
      <c r="G19" s="61">
        <f>IF(OR(E19="",F19=""),"",ROUND(E19*F19,0))</f>
        <v>0</v>
      </c>
      <c r="H19" s="61">
        <f>IF(G19="","",ROUND(G19*(1+$K$5),0))</f>
        <v>0</v>
      </c>
      <c r="J19" s="62"/>
      <c r="K19" s="63"/>
      <c r="L19" s="64"/>
      <c r="M19" s="46"/>
    </row>
    <row r="20" spans="1:13">
      <c r="A20" s="25">
        <f>IF(C20="","",ROW()-12)</f>
        <v>0</v>
      </c>
      <c r="B20" s="25">
        <f>IF(C20="","","KHH")</f>
        <v>0</v>
      </c>
      <c r="C20" s="28"/>
      <c r="D20" s="25">
        <f>IF(C20="","","Cái")</f>
        <v>0</v>
      </c>
      <c r="E20" s="65"/>
      <c r="F20" s="29">
        <f>IF(C20="","",IFERROR(VLOOKUP(C20,BangGia!$A$2:$B$500,2,FALSE),IFERROR(LOOKUP(2,1/((BangGia!$A$2:$A$500&lt;&gt;"")*ISNUMBER(SEARCH(BangGia!$A$2:$A$500,C20))),BangGia!$B$2:$B$500),"")))</f>
        <v>0</v>
      </c>
      <c r="G20" s="61">
        <f>IF(OR(E20="",F20=""),"",ROUND(E20*F20,0))</f>
        <v>0</v>
      </c>
      <c r="H20" s="61">
        <f>IF(G20="","",ROUND(G20*(1+$K$5),0))</f>
        <v>0</v>
      </c>
      <c r="J20" s="62"/>
      <c r="K20" s="63"/>
      <c r="L20" s="64"/>
      <c r="M20" s="46"/>
    </row>
    <row r="21" spans="1:13">
      <c r="A21" s="20">
        <f>IF(C21="","",ROW()-12)</f>
        <v>0</v>
      </c>
      <c r="B21" s="20">
        <f>IF(C21="","","KHH")</f>
        <v>0</v>
      </c>
      <c r="C21" s="23"/>
      <c r="D21" s="20">
        <f>IF(C21="","","Cái")</f>
        <v>0</v>
      </c>
      <c r="E21" s="60"/>
      <c r="F21" s="24">
        <f>IF(C21="","",IFERROR(VLOOKUP(C21,BangGia!$A$2:$B$500,2,FALSE),IFERROR(LOOKUP(2,1/((BangGia!$A$2:$A$500&lt;&gt;"")*ISNUMBER(SEARCH(BangGia!$A$2:$A$500,C21))),BangGia!$B$2:$B$500),"")))</f>
        <v>0</v>
      </c>
      <c r="G21" s="61">
        <f>IF(OR(E21="",F21=""),"",ROUND(E21*F21,0))</f>
        <v>0</v>
      </c>
      <c r="H21" s="61">
        <f>IF(G21="","",ROUND(G21*(1+$K$5),0))</f>
        <v>0</v>
      </c>
      <c r="J21" s="62"/>
      <c r="K21" s="63"/>
      <c r="L21" s="64"/>
      <c r="M21" s="46"/>
    </row>
    <row r="22" spans="1:13">
      <c r="A22" s="25">
        <f>IF(C22="","",ROW()-12)</f>
        <v>0</v>
      </c>
      <c r="B22" s="25">
        <f>IF(C22="","","KHH")</f>
        <v>0</v>
      </c>
      <c r="C22" s="28"/>
      <c r="D22" s="25">
        <f>IF(C22="","","Cái")</f>
        <v>0</v>
      </c>
      <c r="E22" s="65"/>
      <c r="F22" s="29">
        <f>IF(C22="","",IFERROR(VLOOKUP(C22,BangGia!$A$2:$B$500,2,FALSE),IFERROR(LOOKUP(2,1/((BangGia!$A$2:$A$500&lt;&gt;"")*ISNUMBER(SEARCH(BangGia!$A$2:$A$500,C22))),BangGia!$B$2:$B$500),"")))</f>
        <v>0</v>
      </c>
      <c r="G22" s="61">
        <f>IF(OR(E22="",F22=""),"",ROUND(E22*F22,0))</f>
        <v>0</v>
      </c>
      <c r="H22" s="61">
        <f>IF(G22="","",ROUND(G22*(1+$K$5),0))</f>
        <v>0</v>
      </c>
      <c r="J22" s="62"/>
      <c r="K22" s="63"/>
      <c r="L22" s="64"/>
      <c r="M22" s="46"/>
    </row>
    <row r="23" spans="1:13">
      <c r="A23" s="20">
        <f>IF(C23="","",ROW()-12)</f>
        <v>0</v>
      </c>
      <c r="B23" s="20">
        <f>IF(C23="","","KHH")</f>
        <v>0</v>
      </c>
      <c r="C23" s="23"/>
      <c r="D23" s="20">
        <f>IF(C23="","","Cái")</f>
        <v>0</v>
      </c>
      <c r="E23" s="60"/>
      <c r="F23" s="24">
        <f>IF(C23="","",IFERROR(VLOOKUP(C23,BangGia!$A$2:$B$500,2,FALSE),IFERROR(LOOKUP(2,1/((BangGia!$A$2:$A$500&lt;&gt;"")*ISNUMBER(SEARCH(BangGia!$A$2:$A$500,C23))),BangGia!$B$2:$B$500),"")))</f>
        <v>0</v>
      </c>
      <c r="G23" s="61">
        <f>IF(OR(E23="",F23=""),"",ROUND(E23*F23,0))</f>
        <v>0</v>
      </c>
      <c r="H23" s="61">
        <f>IF(G23="","",ROUND(G23*(1+$K$5),0))</f>
        <v>0</v>
      </c>
      <c r="J23" s="66" t="s">
        <v>66</v>
      </c>
      <c r="K23" s="66"/>
      <c r="L23" s="50">
        <f>SUM(L13:L22)</f>
        <v>0</v>
      </c>
      <c r="M23" s="58">
        <f>IF(L23=0,"",IF(L23=L6,"Khớp tổng đơn","LỆCH "&amp;TEXT(L23-L6,"#,##0")))</f>
        <v>0</v>
      </c>
    </row>
    <row r="24" spans="1:13">
      <c r="A24" s="25">
        <f>IF(C24="","",ROW()-12)</f>
        <v>0</v>
      </c>
      <c r="B24" s="25">
        <f>IF(C24="","","KHH")</f>
        <v>0</v>
      </c>
      <c r="C24" s="28"/>
      <c r="D24" s="25">
        <f>IF(C24="","","Cái")</f>
        <v>0</v>
      </c>
      <c r="E24" s="65"/>
      <c r="F24" s="29">
        <f>IF(C24="","",IFERROR(VLOOKUP(C24,BangGia!$A$2:$B$500,2,FALSE),IFERROR(LOOKUP(2,1/((BangGia!$A$2:$A$500&lt;&gt;"")*ISNUMBER(SEARCH(BangGia!$A$2:$A$500,C24))),BangGia!$B$2:$B$500),"")))</f>
        <v>0</v>
      </c>
      <c r="G24" s="61">
        <f>IF(OR(E24="",F24=""),"",ROUND(E24*F24,0))</f>
        <v>0</v>
      </c>
      <c r="H24" s="61">
        <f>IF(G24="","",ROUND(G24*(1+$K$5),0))</f>
        <v>0</v>
      </c>
    </row>
    <row r="25" spans="1:13">
      <c r="A25" s="20">
        <f>IF(C25="","",ROW()-12)</f>
        <v>0</v>
      </c>
      <c r="B25" s="20">
        <f>IF(C25="","","KHH")</f>
        <v>0</v>
      </c>
      <c r="C25" s="23"/>
      <c r="D25" s="20">
        <f>IF(C25="","","Cái")</f>
        <v>0</v>
      </c>
      <c r="E25" s="60"/>
      <c r="F25" s="24">
        <f>IF(C25="","",IFERROR(VLOOKUP(C25,BangGia!$A$2:$B$500,2,FALSE),IFERROR(LOOKUP(2,1/((BangGia!$A$2:$A$500&lt;&gt;"")*ISNUMBER(SEARCH(BangGia!$A$2:$A$500,C25))),BangGia!$B$2:$B$500),"")))</f>
        <v>0</v>
      </c>
      <c r="G25" s="61">
        <f>IF(OR(E25="",F25=""),"",ROUND(E25*F25,0))</f>
        <v>0</v>
      </c>
      <c r="H25" s="61">
        <f>IF(G25="","",ROUND(G25*(1+$K$5),0))</f>
        <v>0</v>
      </c>
      <c r="J25" s="67" t="s">
        <v>67</v>
      </c>
      <c r="K25" s="67"/>
      <c r="L25" s="67"/>
      <c r="M25" s="67"/>
    </row>
    <row r="26" spans="1:13">
      <c r="A26" s="25">
        <f>IF(C26="","",ROW()-12)</f>
        <v>0</v>
      </c>
      <c r="B26" s="25">
        <f>IF(C26="","","KHH")</f>
        <v>0</v>
      </c>
      <c r="C26" s="28"/>
      <c r="D26" s="25">
        <f>IF(C26="","","Cái")</f>
        <v>0</v>
      </c>
      <c r="E26" s="65"/>
      <c r="F26" s="29">
        <f>IF(C26="","",IFERROR(VLOOKUP(C26,BangGia!$A$2:$B$500,2,FALSE),IFERROR(LOOKUP(2,1/((BangGia!$A$2:$A$500&lt;&gt;"")*ISNUMBER(SEARCH(BangGia!$A$2:$A$500,C26))),BangGia!$B$2:$B$500),"")))</f>
        <v>0</v>
      </c>
      <c r="G26" s="61">
        <f>IF(OR(E26="",F26=""),"",ROUND(E26*F26,0))</f>
        <v>0</v>
      </c>
      <c r="H26" s="61">
        <f>IF(G26="","",ROUND(G26*(1+$K$5),0))</f>
        <v>0</v>
      </c>
      <c r="J26" s="67"/>
      <c r="K26" s="67"/>
      <c r="L26" s="67"/>
      <c r="M26" s="67"/>
    </row>
    <row r="27" spans="1:13">
      <c r="A27" s="20">
        <f>IF(C27="","",ROW()-12)</f>
        <v>0</v>
      </c>
      <c r="B27" s="20">
        <f>IF(C27="","","KHH")</f>
        <v>0</v>
      </c>
      <c r="C27" s="23"/>
      <c r="D27" s="20">
        <f>IF(C27="","","Cái")</f>
        <v>0</v>
      </c>
      <c r="E27" s="60"/>
      <c r="F27" s="24">
        <f>IF(C27="","",IFERROR(VLOOKUP(C27,BangGia!$A$2:$B$500,2,FALSE),IFERROR(LOOKUP(2,1/((BangGia!$A$2:$A$500&lt;&gt;"")*ISNUMBER(SEARCH(BangGia!$A$2:$A$500,C27))),BangGia!$B$2:$B$500),"")))</f>
        <v>0</v>
      </c>
      <c r="G27" s="61">
        <f>IF(OR(E27="",F27=""),"",ROUND(E27*F27,0))</f>
        <v>0</v>
      </c>
      <c r="H27" s="61">
        <f>IF(G27="","",ROUND(G27*(1+$K$5),0))</f>
        <v>0</v>
      </c>
    </row>
    <row r="28" spans="1:13">
      <c r="A28" s="25">
        <f>IF(C28="","",ROW()-12)</f>
        <v>0</v>
      </c>
      <c r="B28" s="25">
        <f>IF(C28="","","KHH")</f>
        <v>0</v>
      </c>
      <c r="C28" s="28"/>
      <c r="D28" s="25">
        <f>IF(C28="","","Cái")</f>
        <v>0</v>
      </c>
      <c r="E28" s="65"/>
      <c r="F28" s="29">
        <f>IF(C28="","",IFERROR(VLOOKUP(C28,BangGia!$A$2:$B$500,2,FALSE),IFERROR(LOOKUP(2,1/((BangGia!$A$2:$A$500&lt;&gt;"")*ISNUMBER(SEARCH(BangGia!$A$2:$A$500,C28))),BangGia!$B$2:$B$500),"")))</f>
        <v>0</v>
      </c>
      <c r="G28" s="61">
        <f>IF(OR(E28="",F28=""),"",ROUND(E28*F28,0))</f>
        <v>0</v>
      </c>
      <c r="H28" s="61">
        <f>IF(G28="","",ROUND(G28*(1+$K$5),0))</f>
        <v>0</v>
      </c>
    </row>
    <row r="29" spans="1:13">
      <c r="A29" s="20">
        <f>IF(C29="","",ROW()-12)</f>
        <v>0</v>
      </c>
      <c r="B29" s="20">
        <f>IF(C29="","","KHH")</f>
        <v>0</v>
      </c>
      <c r="C29" s="23"/>
      <c r="D29" s="20">
        <f>IF(C29="","","Cái")</f>
        <v>0</v>
      </c>
      <c r="E29" s="60"/>
      <c r="F29" s="24">
        <f>IF(C29="","",IFERROR(VLOOKUP(C29,BangGia!$A$2:$B$500,2,FALSE),IFERROR(LOOKUP(2,1/((BangGia!$A$2:$A$500&lt;&gt;"")*ISNUMBER(SEARCH(BangGia!$A$2:$A$500,C29))),BangGia!$B$2:$B$500),"")))</f>
        <v>0</v>
      </c>
      <c r="G29" s="61">
        <f>IF(OR(E29="",F29=""),"",ROUND(E29*F29,0))</f>
        <v>0</v>
      </c>
      <c r="H29" s="61">
        <f>IF(G29="","",ROUND(G29*(1+$K$5),0))</f>
        <v>0</v>
      </c>
    </row>
    <row r="30" spans="1:13">
      <c r="A30" s="25">
        <f>IF(C30="","",ROW()-12)</f>
        <v>0</v>
      </c>
      <c r="B30" s="25">
        <f>IF(C30="","","KHH")</f>
        <v>0</v>
      </c>
      <c r="C30" s="28"/>
      <c r="D30" s="25">
        <f>IF(C30="","","Cái")</f>
        <v>0</v>
      </c>
      <c r="E30" s="65"/>
      <c r="F30" s="29">
        <f>IF(C30="","",IFERROR(VLOOKUP(C30,BangGia!$A$2:$B$500,2,FALSE),IFERROR(LOOKUP(2,1/((BangGia!$A$2:$A$500&lt;&gt;"")*ISNUMBER(SEARCH(BangGia!$A$2:$A$500,C30))),BangGia!$B$2:$B$500),"")))</f>
        <v>0</v>
      </c>
      <c r="G30" s="61">
        <f>IF(OR(E30="",F30=""),"",ROUND(E30*F30,0))</f>
        <v>0</v>
      </c>
      <c r="H30" s="61">
        <f>IF(G30="","",ROUND(G30*(1+$K$5),0))</f>
        <v>0</v>
      </c>
    </row>
    <row r="31" spans="1:13">
      <c r="A31" s="20">
        <f>IF(C31="","",ROW()-12)</f>
        <v>0</v>
      </c>
      <c r="B31" s="20">
        <f>IF(C31="","","KHH")</f>
        <v>0</v>
      </c>
      <c r="C31" s="23"/>
      <c r="D31" s="20">
        <f>IF(C31="","","Cái")</f>
        <v>0</v>
      </c>
      <c r="E31" s="60"/>
      <c r="F31" s="24">
        <f>IF(C31="","",IFERROR(VLOOKUP(C31,BangGia!$A$2:$B$500,2,FALSE),IFERROR(LOOKUP(2,1/((BangGia!$A$2:$A$500&lt;&gt;"")*ISNUMBER(SEARCH(BangGia!$A$2:$A$500,C31))),BangGia!$B$2:$B$500),"")))</f>
        <v>0</v>
      </c>
      <c r="G31" s="61">
        <f>IF(OR(E31="",F31=""),"",ROUND(E31*F31,0))</f>
        <v>0</v>
      </c>
      <c r="H31" s="61">
        <f>IF(G31="","",ROUND(G31*(1+$K$5),0))</f>
        <v>0</v>
      </c>
    </row>
    <row r="32" spans="1:13">
      <c r="A32" s="25">
        <f>IF(C32="","",ROW()-12)</f>
        <v>0</v>
      </c>
      <c r="B32" s="25">
        <f>IF(C32="","","KHH")</f>
        <v>0</v>
      </c>
      <c r="C32" s="28"/>
      <c r="D32" s="25">
        <f>IF(C32="","","Cái")</f>
        <v>0</v>
      </c>
      <c r="E32" s="65"/>
      <c r="F32" s="29">
        <f>IF(C32="","",IFERROR(VLOOKUP(C32,BangGia!$A$2:$B$500,2,FALSE),IFERROR(LOOKUP(2,1/((BangGia!$A$2:$A$500&lt;&gt;"")*ISNUMBER(SEARCH(BangGia!$A$2:$A$500,C32))),BangGia!$B$2:$B$500),"")))</f>
        <v>0</v>
      </c>
      <c r="G32" s="61">
        <f>IF(OR(E32="",F32=""),"",ROUND(E32*F32,0))</f>
        <v>0</v>
      </c>
      <c r="H32" s="61">
        <f>IF(G32="","",ROUND(G32*(1+$K$5),0))</f>
        <v>0</v>
      </c>
    </row>
    <row r="33" spans="1:8">
      <c r="A33" s="66" t="s">
        <v>64</v>
      </c>
      <c r="B33" s="66"/>
      <c r="C33" s="66"/>
      <c r="D33" s="66"/>
      <c r="E33" s="66"/>
      <c r="F33" s="66"/>
      <c r="G33" s="50">
        <f>SUM(G13:G32)</f>
        <v>0</v>
      </c>
      <c r="H33" s="50"/>
    </row>
    <row r="34" spans="1:8">
      <c r="A34" s="66">
        <f>"Thuế VAT "&amp;TEXT($K$5,"0%")</f>
        <v>0</v>
      </c>
      <c r="B34" s="66"/>
      <c r="C34" s="66"/>
      <c r="D34" s="66"/>
      <c r="E34" s="66"/>
      <c r="F34" s="66"/>
      <c r="G34" s="50">
        <f>ROUND(G33*$K$5,0)</f>
        <v>0</v>
      </c>
      <c r="H34" s="50"/>
    </row>
    <row r="35" spans="1:8">
      <c r="A35" s="68" t="s">
        <v>65</v>
      </c>
      <c r="B35" s="68"/>
      <c r="C35" s="68"/>
      <c r="D35" s="68"/>
      <c r="E35" s="68"/>
      <c r="F35" s="68"/>
      <c r="G35" s="55">
        <f>G33+G34</f>
        <v>0</v>
      </c>
      <c r="H35" s="55"/>
    </row>
  </sheetData>
  <mergeCells count="42">
    <mergeCell ref="A1:M1"/>
    <mergeCell ref="A2:M2"/>
    <mergeCell ref="A3:H3"/>
    <mergeCell ref="J3:M3"/>
    <mergeCell ref="A4:B4"/>
    <mergeCell ref="A5:B5"/>
    <mergeCell ref="A6:B6"/>
    <mergeCell ref="A7:B7"/>
    <mergeCell ref="A8:B8"/>
    <mergeCell ref="A9:B9"/>
    <mergeCell ref="D4:E4"/>
    <mergeCell ref="D5:E5"/>
    <mergeCell ref="D6:E6"/>
    <mergeCell ref="D7:E7"/>
    <mergeCell ref="D8:E8"/>
    <mergeCell ref="F4:H4"/>
    <mergeCell ref="F8:H8"/>
    <mergeCell ref="G5:H5"/>
    <mergeCell ref="F6:H6"/>
    <mergeCell ref="G7:H7"/>
    <mergeCell ref="J4:K4"/>
    <mergeCell ref="L4:M4"/>
    <mergeCell ref="J6:K6"/>
    <mergeCell ref="L6:M6"/>
    <mergeCell ref="J7:K7"/>
    <mergeCell ref="L7:M7"/>
    <mergeCell ref="J8:K8"/>
    <mergeCell ref="L8:M8"/>
    <mergeCell ref="L5:M5"/>
    <mergeCell ref="J9:K9"/>
    <mergeCell ref="L9:M9"/>
    <mergeCell ref="A10:M10"/>
    <mergeCell ref="A11:H11"/>
    <mergeCell ref="J11:M11"/>
    <mergeCell ref="A33:F33"/>
    <mergeCell ref="G33:H33"/>
    <mergeCell ref="A34:F34"/>
    <mergeCell ref="G34:H34"/>
    <mergeCell ref="A35:F35"/>
    <mergeCell ref="G35:H35"/>
    <mergeCell ref="J23:K23"/>
    <mergeCell ref="J25:M26"/>
  </mergeCells>
  <conditionalFormatting sqref="A10:M10">
    <cfRule type="expression" dxfId="6" priority="8">
      <formula>ISNUMBER(SEARCH("CHƯA XUẤT",$A$10))</formula>
    </cfRule>
    <cfRule type="expression" dxfId="1" priority="9">
      <formula>ISNUMBER(SEARCH("Quá hạn",$A$10))</formula>
    </cfRule>
    <cfRule type="expression" dxfId="7" priority="10">
      <formula>ISNUMBER(SEARCH("CHƯA CÓ GIÁ",$A$10))</formula>
    </cfRule>
    <cfRule type="expression" dxfId="2" priority="11">
      <formula>ISNUMBER(SEARCH("Hoàn tất",$A$10))</formula>
    </cfRule>
    <cfRule type="expression" dxfId="8" priority="12">
      <formula>ISNUMBER(SEARCH("Chờ thu",$A$10))</formula>
    </cfRule>
  </conditionalFormatting>
  <conditionalFormatting sqref="F13:F32">
    <cfRule type="expression" dxfId="3" priority="3">
      <formula>AND($C13&lt;&gt;"",$F13="")</formula>
    </cfRule>
  </conditionalFormatting>
  <conditionalFormatting sqref="F4:H4">
    <cfRule type="expression" dxfId="9" priority="13">
      <formula>$F$4="Đã giao"</formula>
    </cfRule>
    <cfRule type="expression" dxfId="3" priority="14">
      <formula>$F$4="Chưa giao"</formula>
    </cfRule>
  </conditionalFormatting>
  <conditionalFormatting sqref="F6:H6">
    <cfRule type="expression" dxfId="9" priority="15">
      <formula>$F$6="Đã xuất"</formula>
    </cfRule>
    <cfRule type="expression" dxfId="3" priority="16">
      <formula>$F$6="Chưa xuất"</formula>
    </cfRule>
  </conditionalFormatting>
  <conditionalFormatting sqref="L8:M8">
    <cfRule type="expression" dxfId="4" priority="4">
      <formula>$L$8&gt;0</formula>
    </cfRule>
    <cfRule type="expression" dxfId="5" priority="5">
      <formula>AND($L$6&gt;0,$L$8&lt;=0)</formula>
    </cfRule>
  </conditionalFormatting>
  <conditionalFormatting sqref="L9:M9">
    <cfRule type="expression" dxfId="1" priority="6">
      <formula>ISNUMBER(SEARCH("QUÁ HẠN",$L$9))</formula>
    </cfRule>
    <cfRule type="expression" dxfId="2" priority="7">
      <formula>$L$9="Đã thu đủ"</formula>
    </cfRule>
  </conditionalFormatting>
  <conditionalFormatting sqref="M23">
    <cfRule type="expression" dxfId="1" priority="1">
      <formula>ISNUMBER(SEARCH("LỆCH",$M$23))</formula>
    </cfRule>
    <cfRule type="expression" dxfId="2" priority="2">
      <formula>$M$23="Khớp tổng đơn"</formula>
    </cfRule>
  </conditionalFormatting>
  <dataValidations count="2">
    <dataValidation type="list" allowBlank="1" showInputMessage="1" showErrorMessage="1" sqref="F4">
      <formula1>"Chưa giao,Giao một phần,Đã giao"</formula1>
    </dataValidation>
    <dataValidation type="list" allowBlank="1" showInputMessage="1" promptTitle="Model" prompt="Chọn model trong bảng giá hoặc gõ tự do" sqref="C13:C32">
      <formula1>BangGia!$A$2:$A$500</formula1>
    </dataValidation>
  </dataValidations>
  <pageMargins left="0.7" right="0.7" top="0.75" bottom="0.75" header="0.3" footer="0.3"/>
  <pageSetup paperSize="9" fitToHeight="0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rgb="FF2E75B6"/>
    <pageSetUpPr fitToPage="1"/>
  </sheetPr>
  <dimension ref="A1:M35"/>
  <sheetViews>
    <sheetView showGridLines="0" workbookViewId="0">
      <pane ySplit="12" topLeftCell="A13" activePane="bottomLeft" state="frozen"/>
      <selection pane="bottomLeft"/>
    </sheetView>
  </sheetViews>
  <sheetFormatPr defaultRowHeight="15"/>
  <cols>
    <col min="1" max="1" width="6.7109375" customWidth="1"/>
    <col min="2" max="2" width="9.7109375" customWidth="1"/>
    <col min="3" max="3" width="40.7109375" customWidth="1"/>
    <col min="4" max="4" width="8.7109375" customWidth="1"/>
    <col min="5" max="5" width="9.7109375" customWidth="1"/>
    <col min="6" max="6" width="15.7109375" customWidth="1"/>
    <col min="7" max="7" width="16.7109375" customWidth="1"/>
    <col min="8" max="8" width="17.7109375" customWidth="1"/>
    <col min="9" max="9" width="2.7109375" customWidth="1"/>
    <col min="10" max="10" width="12.7109375" customWidth="1"/>
    <col min="11" max="11" width="15.7109375" customWidth="1"/>
    <col min="12" max="12" width="14.7109375" customWidth="1"/>
    <col min="13" max="13" width="22.7109375" customWidth="1"/>
    <col min="14" max="14" width="2.7109375" customWidth="1"/>
    <col min="15" max="15" width="20.7109375" customWidth="1"/>
  </cols>
  <sheetData>
    <row r="1" spans="1:13" ht="30" customHeight="1">
      <c r="A1" s="48">
        <f>"ĐƠN HÀNG - "&amp;UPPER(TongQuan!C3)</f>
        <v>0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</row>
    <row r="2" spans="1:13">
      <c r="A2" s="2" t="s">
        <v>32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>
      <c r="A3" s="16" t="s">
        <v>33</v>
      </c>
      <c r="B3" s="16"/>
      <c r="C3" s="16"/>
      <c r="D3" s="16"/>
      <c r="E3" s="16"/>
      <c r="F3" s="16"/>
      <c r="G3" s="16"/>
      <c r="H3" s="16"/>
      <c r="J3" s="16" t="s">
        <v>34</v>
      </c>
      <c r="K3" s="16"/>
      <c r="L3" s="16"/>
      <c r="M3" s="16"/>
    </row>
    <row r="4" spans="1:13">
      <c r="A4" s="3" t="s">
        <v>35</v>
      </c>
      <c r="B4" s="3"/>
      <c r="C4" s="46" t="s">
        <v>68</v>
      </c>
      <c r="D4" s="3" t="s">
        <v>40</v>
      </c>
      <c r="E4" s="3"/>
      <c r="F4" s="46"/>
      <c r="G4" s="46"/>
      <c r="H4" s="46"/>
      <c r="J4" s="49" t="s">
        <v>45</v>
      </c>
      <c r="K4" s="49"/>
      <c r="L4" s="50">
        <f>G33</f>
        <v>0</v>
      </c>
      <c r="M4" s="50"/>
    </row>
    <row r="5" spans="1:13">
      <c r="A5" s="3" t="s">
        <v>36</v>
      </c>
      <c r="B5" s="3"/>
      <c r="C5" s="51"/>
      <c r="D5" s="3" t="s">
        <v>41</v>
      </c>
      <c r="E5" s="3"/>
      <c r="F5" s="51"/>
      <c r="G5" s="46"/>
      <c r="H5" s="46"/>
      <c r="J5" s="52" t="s">
        <v>49</v>
      </c>
      <c r="K5" s="53">
        <v>0.08</v>
      </c>
      <c r="L5" s="50">
        <f>G34</f>
        <v>0</v>
      </c>
      <c r="M5" s="50"/>
    </row>
    <row r="6" spans="1:13">
      <c r="A6" s="3" t="s">
        <v>37</v>
      </c>
      <c r="B6" s="3"/>
      <c r="C6" s="46" t="s">
        <v>69</v>
      </c>
      <c r="D6" s="3" t="s">
        <v>42</v>
      </c>
      <c r="E6" s="3"/>
      <c r="F6" s="54">
        <f>IF(COUNTA(J13:J22)=0,"Chưa xuất","Đã xuất")</f>
        <v>0</v>
      </c>
      <c r="G6" s="54"/>
      <c r="H6" s="54"/>
      <c r="J6" s="3" t="s">
        <v>46</v>
      </c>
      <c r="K6" s="3"/>
      <c r="L6" s="55">
        <f>G35</f>
        <v>0</v>
      </c>
      <c r="M6" s="55"/>
    </row>
    <row r="7" spans="1:13">
      <c r="A7" s="3" t="s">
        <v>38</v>
      </c>
      <c r="B7" s="3"/>
      <c r="C7" s="46"/>
      <c r="D7" s="3" t="s">
        <v>43</v>
      </c>
      <c r="E7" s="3"/>
      <c r="F7" s="56">
        <f>IF(COUNTA(J13:J22)=0,"",J13&amp;IF(COUNTA(J13:J22)&gt;1," (+"&amp;(COUNTA(J13:J22)-1)&amp;" HĐ)",""))</f>
        <v>0</v>
      </c>
      <c r="G7" s="57">
        <f>IF(K13="","",K13)</f>
        <v>0</v>
      </c>
      <c r="H7" s="57"/>
      <c r="J7" s="49" t="s">
        <v>47</v>
      </c>
      <c r="K7" s="49"/>
      <c r="L7" s="50">
        <f>SUMIF(TongQuan!$P$13:$P$212,$C$4,TongQuan!$Q$13:$Q$212)</f>
        <v>0</v>
      </c>
      <c r="M7" s="50"/>
    </row>
    <row r="8" spans="1:13">
      <c r="A8" s="3" t="s">
        <v>3</v>
      </c>
      <c r="B8" s="3"/>
      <c r="C8" s="46" t="s">
        <v>70</v>
      </c>
      <c r="D8" s="3" t="s">
        <v>44</v>
      </c>
      <c r="E8" s="3"/>
      <c r="F8" s="51"/>
      <c r="G8" s="51"/>
      <c r="H8" s="51"/>
      <c r="J8" s="3" t="s">
        <v>48</v>
      </c>
      <c r="K8" s="3"/>
      <c r="L8" s="55">
        <f>L6-L7</f>
        <v>0</v>
      </c>
      <c r="M8" s="55"/>
    </row>
    <row r="9" spans="1:13">
      <c r="A9" s="3" t="s">
        <v>39</v>
      </c>
      <c r="B9" s="3"/>
      <c r="C9" s="54">
        <f>COUNTA(C13:C32)</f>
        <v>0</v>
      </c>
      <c r="J9" s="3" t="s">
        <v>50</v>
      </c>
      <c r="K9" s="3"/>
      <c r="L9" s="58">
        <f>IF(L6=0,"Chưa có giá",IF(L8&lt;0,"Thu thừa",IF(L8=0,"Đã thu đủ",IF(AND(F8&lt;&gt;"",TODAY()&gt;F8),"QUÁ HẠN "&amp;(TODAY()-F8)&amp;" ngày",IF(L7&gt;0,"Thu một phần","Chưa thu")))))</f>
        <v>0</v>
      </c>
      <c r="M9" s="58"/>
    </row>
    <row r="10" spans="1:13" ht="26" customHeight="1">
      <c r="A10" s="59">
        <f>"CẦN LÀM:  "&amp;IF(C4="","Nhập mã đơn",IF(COUNTIFS(C13:C32,"&lt;&gt;",F13:F32,"")&gt;0,"Có mã hàng CHƯA CÓ GIÁ",IF(AND(F4="Đã giao",F6&lt;&gt;"Đã xuất"),"Đã giao - CHƯA XUẤT HÓA ĐƠN",IF(AND(F6="Đã xuất",F4="Chưa giao"),"Đã xuất HĐ - chưa giao hàng",IF(F4="","Cập nhật tình trạng giao hàng",IF(AND(L8&gt;0,F8&lt;&gt;"",TODAY()&gt;F8),"Quá hạn "&amp;(TODAY()-F8)&amp;" ngày - đòi tiền",IF(L8&gt;0,"Chờ thu tiền",IF(L8&lt;0,"Kiểm tra thu thừa","Hoàn tất"))))))))</f>
        <v>0</v>
      </c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</row>
    <row r="11" spans="1:13">
      <c r="A11" s="16" t="s">
        <v>51</v>
      </c>
      <c r="B11" s="16"/>
      <c r="C11" s="16"/>
      <c r="D11" s="16"/>
      <c r="E11" s="16"/>
      <c r="F11" s="16"/>
      <c r="G11" s="16"/>
      <c r="H11" s="16"/>
      <c r="J11" s="16" t="s">
        <v>52</v>
      </c>
      <c r="K11" s="16"/>
      <c r="L11" s="16"/>
      <c r="M11" s="16"/>
    </row>
    <row r="12" spans="1:13" ht="44" customHeight="1">
      <c r="A12" s="18" t="s">
        <v>53</v>
      </c>
      <c r="B12" s="18" t="s">
        <v>54</v>
      </c>
      <c r="C12" s="18" t="s">
        <v>55</v>
      </c>
      <c r="D12" s="18" t="s">
        <v>56</v>
      </c>
      <c r="E12" s="18" t="s">
        <v>57</v>
      </c>
      <c r="F12" s="18" t="s">
        <v>58</v>
      </c>
      <c r="G12" s="18" t="s">
        <v>59</v>
      </c>
      <c r="H12" s="18" t="s">
        <v>60</v>
      </c>
      <c r="J12" s="18" t="s">
        <v>61</v>
      </c>
      <c r="K12" s="18" t="s">
        <v>62</v>
      </c>
      <c r="L12" s="18" t="s">
        <v>63</v>
      </c>
      <c r="M12" s="18" t="s">
        <v>3</v>
      </c>
    </row>
    <row r="13" spans="1:13">
      <c r="A13" s="20">
        <f>IF(C13="","",ROW()-12)</f>
        <v>0</v>
      </c>
      <c r="B13" s="20">
        <f>IF(C13="","","KHH")</f>
        <v>0</v>
      </c>
      <c r="C13" s="23" t="s">
        <v>71</v>
      </c>
      <c r="D13" s="20">
        <f>IF(C13="","","Cái")</f>
        <v>0</v>
      </c>
      <c r="E13" s="60">
        <v>2</v>
      </c>
      <c r="F13" s="24">
        <f>IF(C13="","",IFERROR(VLOOKUP(C13,BangGia!$A$2:$B$500,2,FALSE),IFERROR(LOOKUP(2,1/((BangGia!$A$2:$A$500&lt;&gt;"")*ISNUMBER(SEARCH(BangGia!$A$2:$A$500,C13))),BangGia!$B$2:$B$500),"")))</f>
        <v>0</v>
      </c>
      <c r="G13" s="61">
        <f>IF(OR(E13="",F13=""),"",ROUND(E13*F13,0))</f>
        <v>0</v>
      </c>
      <c r="H13" s="61">
        <f>IF(G13="","",ROUND(G13*(1+$K$5),0))</f>
        <v>0</v>
      </c>
      <c r="J13" s="62"/>
      <c r="K13" s="63"/>
      <c r="L13" s="64"/>
      <c r="M13" s="46"/>
    </row>
    <row r="14" spans="1:13">
      <c r="A14" s="25">
        <f>IF(C14="","",ROW()-12)</f>
        <v>0</v>
      </c>
      <c r="B14" s="25">
        <f>IF(C14="","","KHH")</f>
        <v>0</v>
      </c>
      <c r="C14" s="28" t="s">
        <v>72</v>
      </c>
      <c r="D14" s="25">
        <f>IF(C14="","","Cái")</f>
        <v>0</v>
      </c>
      <c r="E14" s="65">
        <v>2</v>
      </c>
      <c r="F14" s="29">
        <f>IF(C14="","",IFERROR(VLOOKUP(C14,BangGia!$A$2:$B$500,2,FALSE),IFERROR(LOOKUP(2,1/((BangGia!$A$2:$A$500&lt;&gt;"")*ISNUMBER(SEARCH(BangGia!$A$2:$A$500,C14))),BangGia!$B$2:$B$500),"")))</f>
        <v>0</v>
      </c>
      <c r="G14" s="61">
        <f>IF(OR(E14="",F14=""),"",ROUND(E14*F14,0))</f>
        <v>0</v>
      </c>
      <c r="H14" s="61">
        <f>IF(G14="","",ROUND(G14*(1+$K$5),0))</f>
        <v>0</v>
      </c>
      <c r="J14" s="62"/>
      <c r="K14" s="63"/>
      <c r="L14" s="64"/>
      <c r="M14" s="46"/>
    </row>
    <row r="15" spans="1:13">
      <c r="A15" s="20">
        <f>IF(C15="","",ROW()-12)</f>
        <v>0</v>
      </c>
      <c r="B15" s="20">
        <f>IF(C15="","","KHH")</f>
        <v>0</v>
      </c>
      <c r="C15" s="23"/>
      <c r="D15" s="20">
        <f>IF(C15="","","Cái")</f>
        <v>0</v>
      </c>
      <c r="E15" s="60"/>
      <c r="F15" s="24">
        <f>IF(C15="","",IFERROR(VLOOKUP(C15,BangGia!$A$2:$B$500,2,FALSE),IFERROR(LOOKUP(2,1/((BangGia!$A$2:$A$500&lt;&gt;"")*ISNUMBER(SEARCH(BangGia!$A$2:$A$500,C15))),BangGia!$B$2:$B$500),"")))</f>
        <v>0</v>
      </c>
      <c r="G15" s="61">
        <f>IF(OR(E15="",F15=""),"",ROUND(E15*F15,0))</f>
        <v>0</v>
      </c>
      <c r="H15" s="61">
        <f>IF(G15="","",ROUND(G15*(1+$K$5),0))</f>
        <v>0</v>
      </c>
      <c r="J15" s="62"/>
      <c r="K15" s="63"/>
      <c r="L15" s="64"/>
      <c r="M15" s="46"/>
    </row>
    <row r="16" spans="1:13">
      <c r="A16" s="25">
        <f>IF(C16="","",ROW()-12)</f>
        <v>0</v>
      </c>
      <c r="B16" s="25">
        <f>IF(C16="","","KHH")</f>
        <v>0</v>
      </c>
      <c r="C16" s="28"/>
      <c r="D16" s="25">
        <f>IF(C16="","","Cái")</f>
        <v>0</v>
      </c>
      <c r="E16" s="65"/>
      <c r="F16" s="29">
        <f>IF(C16="","",IFERROR(VLOOKUP(C16,BangGia!$A$2:$B$500,2,FALSE),IFERROR(LOOKUP(2,1/((BangGia!$A$2:$A$500&lt;&gt;"")*ISNUMBER(SEARCH(BangGia!$A$2:$A$500,C16))),BangGia!$B$2:$B$500),"")))</f>
        <v>0</v>
      </c>
      <c r="G16" s="61">
        <f>IF(OR(E16="",F16=""),"",ROUND(E16*F16,0))</f>
        <v>0</v>
      </c>
      <c r="H16" s="61">
        <f>IF(G16="","",ROUND(G16*(1+$K$5),0))</f>
        <v>0</v>
      </c>
      <c r="J16" s="62"/>
      <c r="K16" s="63"/>
      <c r="L16" s="64"/>
      <c r="M16" s="46"/>
    </row>
    <row r="17" spans="1:13">
      <c r="A17" s="20">
        <f>IF(C17="","",ROW()-12)</f>
        <v>0</v>
      </c>
      <c r="B17" s="20">
        <f>IF(C17="","","KHH")</f>
        <v>0</v>
      </c>
      <c r="C17" s="23"/>
      <c r="D17" s="20">
        <f>IF(C17="","","Cái")</f>
        <v>0</v>
      </c>
      <c r="E17" s="60"/>
      <c r="F17" s="24">
        <f>IF(C17="","",IFERROR(VLOOKUP(C17,BangGia!$A$2:$B$500,2,FALSE),IFERROR(LOOKUP(2,1/((BangGia!$A$2:$A$500&lt;&gt;"")*ISNUMBER(SEARCH(BangGia!$A$2:$A$500,C17))),BangGia!$B$2:$B$500),"")))</f>
        <v>0</v>
      </c>
      <c r="G17" s="61">
        <f>IF(OR(E17="",F17=""),"",ROUND(E17*F17,0))</f>
        <v>0</v>
      </c>
      <c r="H17" s="61">
        <f>IF(G17="","",ROUND(G17*(1+$K$5),0))</f>
        <v>0</v>
      </c>
      <c r="J17" s="62"/>
      <c r="K17" s="63"/>
      <c r="L17" s="64"/>
      <c r="M17" s="46"/>
    </row>
    <row r="18" spans="1:13">
      <c r="A18" s="25">
        <f>IF(C18="","",ROW()-12)</f>
        <v>0</v>
      </c>
      <c r="B18" s="25">
        <f>IF(C18="","","KHH")</f>
        <v>0</v>
      </c>
      <c r="C18" s="28"/>
      <c r="D18" s="25">
        <f>IF(C18="","","Cái")</f>
        <v>0</v>
      </c>
      <c r="E18" s="65"/>
      <c r="F18" s="29">
        <f>IF(C18="","",IFERROR(VLOOKUP(C18,BangGia!$A$2:$B$500,2,FALSE),IFERROR(LOOKUP(2,1/((BangGia!$A$2:$A$500&lt;&gt;"")*ISNUMBER(SEARCH(BangGia!$A$2:$A$500,C18))),BangGia!$B$2:$B$500),"")))</f>
        <v>0</v>
      </c>
      <c r="G18" s="61">
        <f>IF(OR(E18="",F18=""),"",ROUND(E18*F18,0))</f>
        <v>0</v>
      </c>
      <c r="H18" s="61">
        <f>IF(G18="","",ROUND(G18*(1+$K$5),0))</f>
        <v>0</v>
      </c>
      <c r="J18" s="62"/>
      <c r="K18" s="63"/>
      <c r="L18" s="64"/>
      <c r="M18" s="46"/>
    </row>
    <row r="19" spans="1:13">
      <c r="A19" s="20">
        <f>IF(C19="","",ROW()-12)</f>
        <v>0</v>
      </c>
      <c r="B19" s="20">
        <f>IF(C19="","","KHH")</f>
        <v>0</v>
      </c>
      <c r="C19" s="23"/>
      <c r="D19" s="20">
        <f>IF(C19="","","Cái")</f>
        <v>0</v>
      </c>
      <c r="E19" s="60"/>
      <c r="F19" s="24">
        <f>IF(C19="","",IFERROR(VLOOKUP(C19,BangGia!$A$2:$B$500,2,FALSE),IFERROR(LOOKUP(2,1/((BangGia!$A$2:$A$500&lt;&gt;"")*ISNUMBER(SEARCH(BangGia!$A$2:$A$500,C19))),BangGia!$B$2:$B$500),"")))</f>
        <v>0</v>
      </c>
      <c r="G19" s="61">
        <f>IF(OR(E19="",F19=""),"",ROUND(E19*F19,0))</f>
        <v>0</v>
      </c>
      <c r="H19" s="61">
        <f>IF(G19="","",ROUND(G19*(1+$K$5),0))</f>
        <v>0</v>
      </c>
      <c r="J19" s="62"/>
      <c r="K19" s="63"/>
      <c r="L19" s="64"/>
      <c r="M19" s="46"/>
    </row>
    <row r="20" spans="1:13">
      <c r="A20" s="25">
        <f>IF(C20="","",ROW()-12)</f>
        <v>0</v>
      </c>
      <c r="B20" s="25">
        <f>IF(C20="","","KHH")</f>
        <v>0</v>
      </c>
      <c r="C20" s="28"/>
      <c r="D20" s="25">
        <f>IF(C20="","","Cái")</f>
        <v>0</v>
      </c>
      <c r="E20" s="65"/>
      <c r="F20" s="29">
        <f>IF(C20="","",IFERROR(VLOOKUP(C20,BangGia!$A$2:$B$500,2,FALSE),IFERROR(LOOKUP(2,1/((BangGia!$A$2:$A$500&lt;&gt;"")*ISNUMBER(SEARCH(BangGia!$A$2:$A$500,C20))),BangGia!$B$2:$B$500),"")))</f>
        <v>0</v>
      </c>
      <c r="G20" s="61">
        <f>IF(OR(E20="",F20=""),"",ROUND(E20*F20,0))</f>
        <v>0</v>
      </c>
      <c r="H20" s="61">
        <f>IF(G20="","",ROUND(G20*(1+$K$5),0))</f>
        <v>0</v>
      </c>
      <c r="J20" s="62"/>
      <c r="K20" s="63"/>
      <c r="L20" s="64"/>
      <c r="M20" s="46"/>
    </row>
    <row r="21" spans="1:13">
      <c r="A21" s="20">
        <f>IF(C21="","",ROW()-12)</f>
        <v>0</v>
      </c>
      <c r="B21" s="20">
        <f>IF(C21="","","KHH")</f>
        <v>0</v>
      </c>
      <c r="C21" s="23"/>
      <c r="D21" s="20">
        <f>IF(C21="","","Cái")</f>
        <v>0</v>
      </c>
      <c r="E21" s="60"/>
      <c r="F21" s="24">
        <f>IF(C21="","",IFERROR(VLOOKUP(C21,BangGia!$A$2:$B$500,2,FALSE),IFERROR(LOOKUP(2,1/((BangGia!$A$2:$A$500&lt;&gt;"")*ISNUMBER(SEARCH(BangGia!$A$2:$A$500,C21))),BangGia!$B$2:$B$500),"")))</f>
        <v>0</v>
      </c>
      <c r="G21" s="61">
        <f>IF(OR(E21="",F21=""),"",ROUND(E21*F21,0))</f>
        <v>0</v>
      </c>
      <c r="H21" s="61">
        <f>IF(G21="","",ROUND(G21*(1+$K$5),0))</f>
        <v>0</v>
      </c>
      <c r="J21" s="62"/>
      <c r="K21" s="63"/>
      <c r="L21" s="64"/>
      <c r="M21" s="46"/>
    </row>
    <row r="22" spans="1:13">
      <c r="A22" s="25">
        <f>IF(C22="","",ROW()-12)</f>
        <v>0</v>
      </c>
      <c r="B22" s="25">
        <f>IF(C22="","","KHH")</f>
        <v>0</v>
      </c>
      <c r="C22" s="28"/>
      <c r="D22" s="25">
        <f>IF(C22="","","Cái")</f>
        <v>0</v>
      </c>
      <c r="E22" s="65"/>
      <c r="F22" s="29">
        <f>IF(C22="","",IFERROR(VLOOKUP(C22,BangGia!$A$2:$B$500,2,FALSE),IFERROR(LOOKUP(2,1/((BangGia!$A$2:$A$500&lt;&gt;"")*ISNUMBER(SEARCH(BangGia!$A$2:$A$500,C22))),BangGia!$B$2:$B$500),"")))</f>
        <v>0</v>
      </c>
      <c r="G22" s="61">
        <f>IF(OR(E22="",F22=""),"",ROUND(E22*F22,0))</f>
        <v>0</v>
      </c>
      <c r="H22" s="61">
        <f>IF(G22="","",ROUND(G22*(1+$K$5),0))</f>
        <v>0</v>
      </c>
      <c r="J22" s="62"/>
      <c r="K22" s="63"/>
      <c r="L22" s="64"/>
      <c r="M22" s="46"/>
    </row>
    <row r="23" spans="1:13">
      <c r="A23" s="20">
        <f>IF(C23="","",ROW()-12)</f>
        <v>0</v>
      </c>
      <c r="B23" s="20">
        <f>IF(C23="","","KHH")</f>
        <v>0</v>
      </c>
      <c r="C23" s="23"/>
      <c r="D23" s="20">
        <f>IF(C23="","","Cái")</f>
        <v>0</v>
      </c>
      <c r="E23" s="60"/>
      <c r="F23" s="24">
        <f>IF(C23="","",IFERROR(VLOOKUP(C23,BangGia!$A$2:$B$500,2,FALSE),IFERROR(LOOKUP(2,1/((BangGia!$A$2:$A$500&lt;&gt;"")*ISNUMBER(SEARCH(BangGia!$A$2:$A$500,C23))),BangGia!$B$2:$B$500),"")))</f>
        <v>0</v>
      </c>
      <c r="G23" s="61">
        <f>IF(OR(E23="",F23=""),"",ROUND(E23*F23,0))</f>
        <v>0</v>
      </c>
      <c r="H23" s="61">
        <f>IF(G23="","",ROUND(G23*(1+$K$5),0))</f>
        <v>0</v>
      </c>
      <c r="J23" s="66" t="s">
        <v>66</v>
      </c>
      <c r="K23" s="66"/>
      <c r="L23" s="50">
        <f>SUM(L13:L22)</f>
        <v>0</v>
      </c>
      <c r="M23" s="58">
        <f>IF(L23=0,"",IF(L23=L6,"Khớp tổng đơn","LỆCH "&amp;TEXT(L23-L6,"#,##0")))</f>
        <v>0</v>
      </c>
    </row>
    <row r="24" spans="1:13">
      <c r="A24" s="25">
        <f>IF(C24="","",ROW()-12)</f>
        <v>0</v>
      </c>
      <c r="B24" s="25">
        <f>IF(C24="","","KHH")</f>
        <v>0</v>
      </c>
      <c r="C24" s="28"/>
      <c r="D24" s="25">
        <f>IF(C24="","","Cái")</f>
        <v>0</v>
      </c>
      <c r="E24" s="65"/>
      <c r="F24" s="29">
        <f>IF(C24="","",IFERROR(VLOOKUP(C24,BangGia!$A$2:$B$500,2,FALSE),IFERROR(LOOKUP(2,1/((BangGia!$A$2:$A$500&lt;&gt;"")*ISNUMBER(SEARCH(BangGia!$A$2:$A$500,C24))),BangGia!$B$2:$B$500),"")))</f>
        <v>0</v>
      </c>
      <c r="G24" s="61">
        <f>IF(OR(E24="",F24=""),"",ROUND(E24*F24,0))</f>
        <v>0</v>
      </c>
      <c r="H24" s="61">
        <f>IF(G24="","",ROUND(G24*(1+$K$5),0))</f>
        <v>0</v>
      </c>
    </row>
    <row r="25" spans="1:13">
      <c r="A25" s="20">
        <f>IF(C25="","",ROW()-12)</f>
        <v>0</v>
      </c>
      <c r="B25" s="20">
        <f>IF(C25="","","KHH")</f>
        <v>0</v>
      </c>
      <c r="C25" s="23"/>
      <c r="D25" s="20">
        <f>IF(C25="","","Cái")</f>
        <v>0</v>
      </c>
      <c r="E25" s="60"/>
      <c r="F25" s="24">
        <f>IF(C25="","",IFERROR(VLOOKUP(C25,BangGia!$A$2:$B$500,2,FALSE),IFERROR(LOOKUP(2,1/((BangGia!$A$2:$A$500&lt;&gt;"")*ISNUMBER(SEARCH(BangGia!$A$2:$A$500,C25))),BangGia!$B$2:$B$500),"")))</f>
        <v>0</v>
      </c>
      <c r="G25" s="61">
        <f>IF(OR(E25="",F25=""),"",ROUND(E25*F25,0))</f>
        <v>0</v>
      </c>
      <c r="H25" s="61">
        <f>IF(G25="","",ROUND(G25*(1+$K$5),0))</f>
        <v>0</v>
      </c>
      <c r="J25" s="67" t="s">
        <v>67</v>
      </c>
      <c r="K25" s="67"/>
      <c r="L25" s="67"/>
      <c r="M25" s="67"/>
    </row>
    <row r="26" spans="1:13">
      <c r="A26" s="25">
        <f>IF(C26="","",ROW()-12)</f>
        <v>0</v>
      </c>
      <c r="B26" s="25">
        <f>IF(C26="","","KHH")</f>
        <v>0</v>
      </c>
      <c r="C26" s="28"/>
      <c r="D26" s="25">
        <f>IF(C26="","","Cái")</f>
        <v>0</v>
      </c>
      <c r="E26" s="65"/>
      <c r="F26" s="29">
        <f>IF(C26="","",IFERROR(VLOOKUP(C26,BangGia!$A$2:$B$500,2,FALSE),IFERROR(LOOKUP(2,1/((BangGia!$A$2:$A$500&lt;&gt;"")*ISNUMBER(SEARCH(BangGia!$A$2:$A$500,C26))),BangGia!$B$2:$B$500),"")))</f>
        <v>0</v>
      </c>
      <c r="G26" s="61">
        <f>IF(OR(E26="",F26=""),"",ROUND(E26*F26,0))</f>
        <v>0</v>
      </c>
      <c r="H26" s="61">
        <f>IF(G26="","",ROUND(G26*(1+$K$5),0))</f>
        <v>0</v>
      </c>
      <c r="J26" s="67"/>
      <c r="K26" s="67"/>
      <c r="L26" s="67"/>
      <c r="M26" s="67"/>
    </row>
    <row r="27" spans="1:13">
      <c r="A27" s="20">
        <f>IF(C27="","",ROW()-12)</f>
        <v>0</v>
      </c>
      <c r="B27" s="20">
        <f>IF(C27="","","KHH")</f>
        <v>0</v>
      </c>
      <c r="C27" s="23"/>
      <c r="D27" s="20">
        <f>IF(C27="","","Cái")</f>
        <v>0</v>
      </c>
      <c r="E27" s="60"/>
      <c r="F27" s="24">
        <f>IF(C27="","",IFERROR(VLOOKUP(C27,BangGia!$A$2:$B$500,2,FALSE),IFERROR(LOOKUP(2,1/((BangGia!$A$2:$A$500&lt;&gt;"")*ISNUMBER(SEARCH(BangGia!$A$2:$A$500,C27))),BangGia!$B$2:$B$500),"")))</f>
        <v>0</v>
      </c>
      <c r="G27" s="61">
        <f>IF(OR(E27="",F27=""),"",ROUND(E27*F27,0))</f>
        <v>0</v>
      </c>
      <c r="H27" s="61">
        <f>IF(G27="","",ROUND(G27*(1+$K$5),0))</f>
        <v>0</v>
      </c>
    </row>
    <row r="28" spans="1:13">
      <c r="A28" s="25">
        <f>IF(C28="","",ROW()-12)</f>
        <v>0</v>
      </c>
      <c r="B28" s="25">
        <f>IF(C28="","","KHH")</f>
        <v>0</v>
      </c>
      <c r="C28" s="28"/>
      <c r="D28" s="25">
        <f>IF(C28="","","Cái")</f>
        <v>0</v>
      </c>
      <c r="E28" s="65"/>
      <c r="F28" s="29">
        <f>IF(C28="","",IFERROR(VLOOKUP(C28,BangGia!$A$2:$B$500,2,FALSE),IFERROR(LOOKUP(2,1/((BangGia!$A$2:$A$500&lt;&gt;"")*ISNUMBER(SEARCH(BangGia!$A$2:$A$500,C28))),BangGia!$B$2:$B$500),"")))</f>
        <v>0</v>
      </c>
      <c r="G28" s="61">
        <f>IF(OR(E28="",F28=""),"",ROUND(E28*F28,0))</f>
        <v>0</v>
      </c>
      <c r="H28" s="61">
        <f>IF(G28="","",ROUND(G28*(1+$K$5),0))</f>
        <v>0</v>
      </c>
    </row>
    <row r="29" spans="1:13">
      <c r="A29" s="20">
        <f>IF(C29="","",ROW()-12)</f>
        <v>0</v>
      </c>
      <c r="B29" s="20">
        <f>IF(C29="","","KHH")</f>
        <v>0</v>
      </c>
      <c r="C29" s="23"/>
      <c r="D29" s="20">
        <f>IF(C29="","","Cái")</f>
        <v>0</v>
      </c>
      <c r="E29" s="60"/>
      <c r="F29" s="24">
        <f>IF(C29="","",IFERROR(VLOOKUP(C29,BangGia!$A$2:$B$500,2,FALSE),IFERROR(LOOKUP(2,1/((BangGia!$A$2:$A$500&lt;&gt;"")*ISNUMBER(SEARCH(BangGia!$A$2:$A$500,C29))),BangGia!$B$2:$B$500),"")))</f>
        <v>0</v>
      </c>
      <c r="G29" s="61">
        <f>IF(OR(E29="",F29=""),"",ROUND(E29*F29,0))</f>
        <v>0</v>
      </c>
      <c r="H29" s="61">
        <f>IF(G29="","",ROUND(G29*(1+$K$5),0))</f>
        <v>0</v>
      </c>
    </row>
    <row r="30" spans="1:13">
      <c r="A30" s="25">
        <f>IF(C30="","",ROW()-12)</f>
        <v>0</v>
      </c>
      <c r="B30" s="25">
        <f>IF(C30="","","KHH")</f>
        <v>0</v>
      </c>
      <c r="C30" s="28"/>
      <c r="D30" s="25">
        <f>IF(C30="","","Cái")</f>
        <v>0</v>
      </c>
      <c r="E30" s="65"/>
      <c r="F30" s="29">
        <f>IF(C30="","",IFERROR(VLOOKUP(C30,BangGia!$A$2:$B$500,2,FALSE),IFERROR(LOOKUP(2,1/((BangGia!$A$2:$A$500&lt;&gt;"")*ISNUMBER(SEARCH(BangGia!$A$2:$A$500,C30))),BangGia!$B$2:$B$500),"")))</f>
        <v>0</v>
      </c>
      <c r="G30" s="61">
        <f>IF(OR(E30="",F30=""),"",ROUND(E30*F30,0))</f>
        <v>0</v>
      </c>
      <c r="H30" s="61">
        <f>IF(G30="","",ROUND(G30*(1+$K$5),0))</f>
        <v>0</v>
      </c>
    </row>
    <row r="31" spans="1:13">
      <c r="A31" s="20">
        <f>IF(C31="","",ROW()-12)</f>
        <v>0</v>
      </c>
      <c r="B31" s="20">
        <f>IF(C31="","","KHH")</f>
        <v>0</v>
      </c>
      <c r="C31" s="23"/>
      <c r="D31" s="20">
        <f>IF(C31="","","Cái")</f>
        <v>0</v>
      </c>
      <c r="E31" s="60"/>
      <c r="F31" s="24">
        <f>IF(C31="","",IFERROR(VLOOKUP(C31,BangGia!$A$2:$B$500,2,FALSE),IFERROR(LOOKUP(2,1/((BangGia!$A$2:$A$500&lt;&gt;"")*ISNUMBER(SEARCH(BangGia!$A$2:$A$500,C31))),BangGia!$B$2:$B$500),"")))</f>
        <v>0</v>
      </c>
      <c r="G31" s="61">
        <f>IF(OR(E31="",F31=""),"",ROUND(E31*F31,0))</f>
        <v>0</v>
      </c>
      <c r="H31" s="61">
        <f>IF(G31="","",ROUND(G31*(1+$K$5),0))</f>
        <v>0</v>
      </c>
    </row>
    <row r="32" spans="1:13">
      <c r="A32" s="25">
        <f>IF(C32="","",ROW()-12)</f>
        <v>0</v>
      </c>
      <c r="B32" s="25">
        <f>IF(C32="","","KHH")</f>
        <v>0</v>
      </c>
      <c r="C32" s="28"/>
      <c r="D32" s="25">
        <f>IF(C32="","","Cái")</f>
        <v>0</v>
      </c>
      <c r="E32" s="65"/>
      <c r="F32" s="29">
        <f>IF(C32="","",IFERROR(VLOOKUP(C32,BangGia!$A$2:$B$500,2,FALSE),IFERROR(LOOKUP(2,1/((BangGia!$A$2:$A$500&lt;&gt;"")*ISNUMBER(SEARCH(BangGia!$A$2:$A$500,C32))),BangGia!$B$2:$B$500),"")))</f>
        <v>0</v>
      </c>
      <c r="G32" s="61">
        <f>IF(OR(E32="",F32=""),"",ROUND(E32*F32,0))</f>
        <v>0</v>
      </c>
      <c r="H32" s="61">
        <f>IF(G32="","",ROUND(G32*(1+$K$5),0))</f>
        <v>0</v>
      </c>
    </row>
    <row r="33" spans="1:8">
      <c r="A33" s="66" t="s">
        <v>64</v>
      </c>
      <c r="B33" s="66"/>
      <c r="C33" s="66"/>
      <c r="D33" s="66"/>
      <c r="E33" s="66"/>
      <c r="F33" s="66"/>
      <c r="G33" s="50">
        <f>SUM(G13:G32)</f>
        <v>0</v>
      </c>
      <c r="H33" s="50"/>
    </row>
    <row r="34" spans="1:8">
      <c r="A34" s="66">
        <f>"Thuế VAT "&amp;TEXT($K$5,"0%")</f>
        <v>0</v>
      </c>
      <c r="B34" s="66"/>
      <c r="C34" s="66"/>
      <c r="D34" s="66"/>
      <c r="E34" s="66"/>
      <c r="F34" s="66"/>
      <c r="G34" s="50">
        <f>ROUND(G33*$K$5,0)</f>
        <v>0</v>
      </c>
      <c r="H34" s="50"/>
    </row>
    <row r="35" spans="1:8">
      <c r="A35" s="68" t="s">
        <v>65</v>
      </c>
      <c r="B35" s="68"/>
      <c r="C35" s="68"/>
      <c r="D35" s="68"/>
      <c r="E35" s="68"/>
      <c r="F35" s="68"/>
      <c r="G35" s="55">
        <f>G33+G34</f>
        <v>0</v>
      </c>
      <c r="H35" s="55"/>
    </row>
  </sheetData>
  <mergeCells count="42">
    <mergeCell ref="A1:M1"/>
    <mergeCell ref="A2:M2"/>
    <mergeCell ref="A3:H3"/>
    <mergeCell ref="J3:M3"/>
    <mergeCell ref="A4:B4"/>
    <mergeCell ref="A5:B5"/>
    <mergeCell ref="A6:B6"/>
    <mergeCell ref="A7:B7"/>
    <mergeCell ref="A8:B8"/>
    <mergeCell ref="A9:B9"/>
    <mergeCell ref="D4:E4"/>
    <mergeCell ref="D5:E5"/>
    <mergeCell ref="D6:E6"/>
    <mergeCell ref="D7:E7"/>
    <mergeCell ref="D8:E8"/>
    <mergeCell ref="F4:H4"/>
    <mergeCell ref="F8:H8"/>
    <mergeCell ref="G5:H5"/>
    <mergeCell ref="F6:H6"/>
    <mergeCell ref="G7:H7"/>
    <mergeCell ref="J4:K4"/>
    <mergeCell ref="L4:M4"/>
    <mergeCell ref="J6:K6"/>
    <mergeCell ref="L6:M6"/>
    <mergeCell ref="J7:K7"/>
    <mergeCell ref="L7:M7"/>
    <mergeCell ref="J8:K8"/>
    <mergeCell ref="L8:M8"/>
    <mergeCell ref="L5:M5"/>
    <mergeCell ref="J9:K9"/>
    <mergeCell ref="L9:M9"/>
    <mergeCell ref="A10:M10"/>
    <mergeCell ref="A11:H11"/>
    <mergeCell ref="J11:M11"/>
    <mergeCell ref="A33:F33"/>
    <mergeCell ref="G33:H33"/>
    <mergeCell ref="A34:F34"/>
    <mergeCell ref="G34:H34"/>
    <mergeCell ref="A35:F35"/>
    <mergeCell ref="G35:H35"/>
    <mergeCell ref="J23:K23"/>
    <mergeCell ref="J25:M26"/>
  </mergeCells>
  <conditionalFormatting sqref="A10:M10">
    <cfRule type="expression" dxfId="6" priority="8">
      <formula>ISNUMBER(SEARCH("CHƯA XUẤT",$A$10))</formula>
    </cfRule>
    <cfRule type="expression" dxfId="1" priority="9">
      <formula>ISNUMBER(SEARCH("Quá hạn",$A$10))</formula>
    </cfRule>
    <cfRule type="expression" dxfId="7" priority="10">
      <formula>ISNUMBER(SEARCH("CHƯA CÓ GIÁ",$A$10))</formula>
    </cfRule>
    <cfRule type="expression" dxfId="2" priority="11">
      <formula>ISNUMBER(SEARCH("Hoàn tất",$A$10))</formula>
    </cfRule>
    <cfRule type="expression" dxfId="8" priority="12">
      <formula>ISNUMBER(SEARCH("Chờ thu",$A$10))</formula>
    </cfRule>
  </conditionalFormatting>
  <conditionalFormatting sqref="F13:F32">
    <cfRule type="expression" dxfId="3" priority="3">
      <formula>AND($C13&lt;&gt;"",$F13="")</formula>
    </cfRule>
  </conditionalFormatting>
  <conditionalFormatting sqref="F4:H4">
    <cfRule type="expression" dxfId="9" priority="13">
      <formula>$F$4="Đã giao"</formula>
    </cfRule>
    <cfRule type="expression" dxfId="3" priority="14">
      <formula>$F$4="Chưa giao"</formula>
    </cfRule>
  </conditionalFormatting>
  <conditionalFormatting sqref="F6:H6">
    <cfRule type="expression" dxfId="9" priority="15">
      <formula>$F$6="Đã xuất"</formula>
    </cfRule>
    <cfRule type="expression" dxfId="3" priority="16">
      <formula>$F$6="Chưa xuất"</formula>
    </cfRule>
  </conditionalFormatting>
  <conditionalFormatting sqref="L8:M8">
    <cfRule type="expression" dxfId="4" priority="4">
      <formula>$L$8&gt;0</formula>
    </cfRule>
    <cfRule type="expression" dxfId="5" priority="5">
      <formula>AND($L$6&gt;0,$L$8&lt;=0)</formula>
    </cfRule>
  </conditionalFormatting>
  <conditionalFormatting sqref="L9:M9">
    <cfRule type="expression" dxfId="1" priority="6">
      <formula>ISNUMBER(SEARCH("QUÁ HẠN",$L$9))</formula>
    </cfRule>
    <cfRule type="expression" dxfId="2" priority="7">
      <formula>$L$9="Đã thu đủ"</formula>
    </cfRule>
  </conditionalFormatting>
  <conditionalFormatting sqref="M23">
    <cfRule type="expression" dxfId="1" priority="1">
      <formula>ISNUMBER(SEARCH("LỆCH",$M$23))</formula>
    </cfRule>
    <cfRule type="expression" dxfId="2" priority="2">
      <formula>$M$23="Khớp tổng đơn"</formula>
    </cfRule>
  </conditionalFormatting>
  <dataValidations count="2">
    <dataValidation type="list" allowBlank="1" showInputMessage="1" showErrorMessage="1" sqref="F4">
      <formula1>"Chưa giao,Giao một phần,Đã giao"</formula1>
    </dataValidation>
    <dataValidation type="list" allowBlank="1" showInputMessage="1" promptTitle="Model" prompt="Chọn model trong bảng giá hoặc gõ tự do" sqref="C13:C32">
      <formula1>BangGia!$A$2:$A$500</formula1>
    </dataValidation>
  </dataValidations>
  <pageMargins left="0.7" right="0.7" top="0.75" bottom="0.75" header="0.3" footer="0.3"/>
  <pageSetup paperSize="9" fitToHeight="0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TongQuan</vt:lpstr>
      <vt:lpstr>HuongDan</vt:lpstr>
      <vt:lpstr>BangGia</vt:lpstr>
      <vt:lpstr>MAU_DON</vt:lpstr>
      <vt:lpstr>ĐH-2610-003</vt:lpstr>
      <vt:lpstr>MAU_DON!Print_Area</vt:lpstr>
      <vt:lpstr>'ĐH-2610-003'!Print_Area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2026-10-29T08:49:28Z</dcterms:created>
  <dcterms:modified xsi:type="dcterms:W3CDTF">2026-10-29T08:49:28Z</dcterms:modified>
</cp:coreProperties>
</file>