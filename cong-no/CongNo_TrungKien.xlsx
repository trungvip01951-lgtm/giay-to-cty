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ngHop" sheetId="1" state="visible" r:id="rId3"/>
    <sheet name="DonHang" sheetId="2" state="visible" r:id="rId4"/>
    <sheet name="ChiTiet" sheetId="3" state="visible" r:id="rId5"/>
    <sheet name="ThuTien" sheetId="4" state="visible" r:id="rId6"/>
    <sheet name="KhachHang" sheetId="5" state="visible" r:id="rId7"/>
    <sheet name="HuongDan" sheetId="6" state="visible" r:id="rId8"/>
  </sheets>
  <definedNames>
    <definedName function="false" hidden="true" localSheetId="2" name="_xlnm._FilterDatabase" vbProcedure="false">ChiTiet!$A$1:$I$2000</definedName>
    <definedName function="false" hidden="true" localSheetId="1" name="_xlnm._FilterDatabase" vbProcedure="false">DonHang!$A$1:$U$500</definedName>
    <definedName function="false" hidden="true" localSheetId="4" name="_xlnm._FilterDatabase" vbProcedure="false">KhachHang!$A$1:$J$200</definedName>
    <definedName function="false" hidden="true" localSheetId="3" name="_xlnm._FilterDatabase" vbProcedure="false">ThuTien!$A$1:$G$2000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<sst xmlns="http://schemas.openxmlformats.org/spreadsheetml/2006/main" count="137" uniqueCount="101">
  <si>
    <t xml:space="preserve">TỔNG HỢP CÔNG NỢ - TRUNG KIÊN</t>
  </si>
  <si>
    <t xml:space="preserve">Tổng số đơn hàng</t>
  </si>
  <si>
    <t xml:space="preserve">Tổng phải thu (đã gồm VAT)</t>
  </si>
  <si>
    <t xml:space="preserve">Đã thu</t>
  </si>
  <si>
    <t xml:space="preserve">CÒN NỢ (khách còn phải trả)</t>
  </si>
  <si>
    <t xml:space="preserve">Trong đó quá hạn</t>
  </si>
  <si>
    <t xml:space="preserve">Đơn đã giao nhưng CHƯA xuất HĐ</t>
  </si>
  <si>
    <t xml:space="preserve">Đơn đã xuất HĐ nhưng chưa giao</t>
  </si>
  <si>
    <t xml:space="preserve">Đơn chưa cập nhật giao hàng</t>
  </si>
  <si>
    <t xml:space="preserve">Đơn chưa thu đủ tiền</t>
  </si>
  <si>
    <t xml:space="preserve">Xem chi tiết: sheet DonHang (cột 'Cần làm' tô màu), KhachHang (công nợ từng khách).</t>
  </si>
  <si>
    <t xml:space="preserve">Mã đơn</t>
  </si>
  <si>
    <t xml:space="preserve">Ngày đơn</t>
  </si>
  <si>
    <t xml:space="preserve">Khách hàng</t>
  </si>
  <si>
    <t xml:space="preserve">MST</t>
  </si>
  <si>
    <t xml:space="preserve">Nội dung đơn / Số báo giá, hợp đồng</t>
  </si>
  <si>
    <t xml:space="preserve">Giao hàng</t>
  </si>
  <si>
    <t xml:space="preserve">Ngày giao</t>
  </si>
  <si>
    <t xml:space="preserve">Xuất hóa đơn</t>
  </si>
  <si>
    <t xml:space="preserve">Số hóa đơn</t>
  </si>
  <si>
    <t xml:space="preserve">Ngày hóa đơn</t>
  </si>
  <si>
    <t xml:space="preserve">Tiền hàng (chưa VAT)</t>
  </si>
  <si>
    <t xml:space="preserve">VAT %
(trống = 8%)</t>
  </si>
  <si>
    <t xml:space="preserve">Tiền VAT</t>
  </si>
  <si>
    <t xml:space="preserve">Tổng phải thu</t>
  </si>
  <si>
    <t xml:space="preserve">Còn nợ</t>
  </si>
  <si>
    <t xml:space="preserve">Hạn thanh toán</t>
  </si>
  <si>
    <t xml:space="preserve">Quá hạn (ngày)</t>
  </si>
  <si>
    <t xml:space="preserve">Tình trạng thu tiền</t>
  </si>
  <si>
    <t xml:space="preserve">Cần làm</t>
  </si>
  <si>
    <t xml:space="preserve">Ghi chú</t>
  </si>
  <si>
    <t xml:space="preserve">ĐH-2610-001</t>
  </si>
  <si>
    <t xml:space="preserve">CÔNG TY CỔ PHẦN CÔNG NGHỆ FATA</t>
  </si>
  <si>
    <t xml:space="preserve">Hợp đồng HĐKT102026-TK-H + Phụ lục 01</t>
  </si>
  <si>
    <t xml:space="preserve">Đã giao</t>
  </si>
  <si>
    <t xml:space="preserve">Đã xuất</t>
  </si>
  <si>
    <t xml:space="preserve">00002771</t>
  </si>
  <si>
    <t xml:space="preserve">VÍ DỤ thật: hạn 17/11/2026 theo công nợ của FATA</t>
  </si>
  <si>
    <t xml:space="preserve">ĐH-2610-002</t>
  </si>
  <si>
    <t xml:space="preserve">CÔNG TY TNHH HOÀNG VIÊN QUẢNG BÁ</t>
  </si>
  <si>
    <t xml:space="preserve">Báo giá BG-28102026-006</t>
  </si>
  <si>
    <t xml:space="preserve">VÍ DỤ: chưa cập nhật giao hàng, xuất HĐ, thu tiền</t>
  </si>
  <si>
    <t xml:space="preserve">ĐH-2609-001</t>
  </si>
  <si>
    <t xml:space="preserve">CÔNG TY TNHH TIẾN ĐẠI</t>
  </si>
  <si>
    <t xml:space="preserve">Hóa đơn 00002469 (hợp đồng + biên bản giao nhận đang làm)</t>
  </si>
  <si>
    <t xml:space="preserve">00002469</t>
  </si>
  <si>
    <t xml:space="preserve">VÍ DỤ: chưa cập nhật giao hàng và số đã thu</t>
  </si>
  <si>
    <t xml:space="preserve">ĐH-2610-003</t>
  </si>
  <si>
    <t xml:space="preserve">Công ty TNHH vật tư thiết bị Thu Liên</t>
  </si>
  <si>
    <t xml:space="preserve">Đơn hàng Dương Kính (phiếu xuất kho)</t>
  </si>
  <si>
    <t xml:space="preserve">VÍ DỤ: chưa có đơn giá</t>
  </si>
  <si>
    <t xml:space="preserve">Mã kho</t>
  </si>
  <si>
    <t xml:space="preserve">Mã hàng / Tên hàng, model</t>
  </si>
  <si>
    <t xml:space="preserve">ĐVT</t>
  </si>
  <si>
    <t xml:space="preserve">Số lượng</t>
  </si>
  <si>
    <t xml:space="preserve">Đơn giá (chưa VAT)</t>
  </si>
  <si>
    <t xml:space="preserve">Thành tiền</t>
  </si>
  <si>
    <t xml:space="preserve">KHH</t>
  </si>
  <si>
    <t xml:space="preserve">Máy bơm nước ly tâm trục ngang AQUARIS CM65-160/15</t>
  </si>
  <si>
    <t xml:space="preserve">cái</t>
  </si>
  <si>
    <t xml:space="preserve">Máy bơm nước trục rời AQUARIS AQR65-200/15</t>
  </si>
  <si>
    <t xml:space="preserve">Bơm chìm nước thải PEROTAC 65WC25-15-2.2</t>
  </si>
  <si>
    <t xml:space="preserve">Máy bơm nước SVm-1500F</t>
  </si>
  <si>
    <t xml:space="preserve">Ống cốt dù phủ nhựa PVC DK65mm</t>
  </si>
  <si>
    <t xml:space="preserve">mét</t>
  </si>
  <si>
    <t xml:space="preserve">Máy bơm hỏa tiễn 6SA35/6</t>
  </si>
  <si>
    <t xml:space="preserve">Máy bơm chìm 200WQ600-12-37</t>
  </si>
  <si>
    <t xml:space="preserve">Ngày thu</t>
  </si>
  <si>
    <t xml:space="preserve">Số tiền thu</t>
  </si>
  <si>
    <t xml:space="preserve">Hình thức</t>
  </si>
  <si>
    <t xml:space="preserve">Số chứng từ / nội dung</t>
  </si>
  <si>
    <t xml:space="preserve">Chuyển khoản</t>
  </si>
  <si>
    <t xml:space="preserve">50% hợp đồng gốc (theo công nợ FATA)</t>
  </si>
  <si>
    <t xml:space="preserve">VÍ DỤ thật: ngày thu chưa rõ, anh điền</t>
  </si>
  <si>
    <t xml:space="preserve">Tên khách hàng</t>
  </si>
  <si>
    <t xml:space="preserve">Địa chỉ</t>
  </si>
  <si>
    <t xml:space="preserve">Điện thoại / kế toán</t>
  </si>
  <si>
    <t xml:space="preserve">Số đơn</t>
  </si>
  <si>
    <t xml:space="preserve">Còn nợ quá hạn</t>
  </si>
  <si>
    <t xml:space="preserve">2601102666</t>
  </si>
  <si>
    <t xml:space="preserve">Lô CN01, KCN Thụy Vân, xã Hy Cương, tỉnh Phú Thọ</t>
  </si>
  <si>
    <t xml:space="preserve">0912 455 310</t>
  </si>
  <si>
    <t xml:space="preserve">0100143403</t>
  </si>
  <si>
    <t xml:space="preserve">Số 96, đường Tô Ngọc Vân, Phường Tây Hồ, TP Hà Nội</t>
  </si>
  <si>
    <t xml:space="preserve">(84-24)37180888</t>
  </si>
  <si>
    <t xml:space="preserve">0200447853</t>
  </si>
  <si>
    <t xml:space="preserve">Thôn Câu Đông, xã An Quang, TP Hải Phòng</t>
  </si>
  <si>
    <t xml:space="preserve">Ms Luyến 0915.264.659; Ms Hương 0915.144.219</t>
  </si>
  <si>
    <t xml:space="preserve">Hà Nội</t>
  </si>
  <si>
    <t xml:space="preserve">CÁCH DÙNG (5 bước)</t>
  </si>
  <si>
    <t xml:space="preserve">1. KhachHang: thêm khách mới ở dòng trống đầu tiên (tên, MST, địa chỉ). Tên này sẽ hiện trong danh sách chọn ở DonHang.</t>
  </si>
  <si>
    <t xml:space="preserve">2. DonHang: mỗi đơn một dòng, gõ Mã đơn (ví dụ ĐH-2610-001: ĐH - năm tháng - số thứ tự), ngày, chọn khách, ghi số báo giá/hợp đồng.</t>
  </si>
  <si>
    <t xml:space="preserve">3. ChiTiet: mỗi mã hàng một dòng. Chọn Mã đơn, gõ mã hàng/model, ĐVT, số lượng, đơn giá CHƯA VAT. Thành tiền tự tính. Một đơn có bao nhiêu mã hàng cũng được.</t>
  </si>
  <si>
    <t xml:space="preserve">4. DonHang: chọn 'Giao hàng' (Chưa giao / Giao một phần / Đã giao) và 'Xuất hóa đơn' (Chưa xuất / Đã xuất), gõ số hóa đơn, ngày, hạn thanh toán.</t>
  </si>
  <si>
    <t xml:space="preserve">5. ThuTien: mỗi lần khách trả tiền một dòng (ngày, mã đơn, số tiền). Một đơn trả nhiều lần cũng được. Còn nợ tự tính.</t>
  </si>
  <si>
    <t xml:space="preserve">Ô màu xám là công thức, KHÔNG gõ vào. Ô trắng là chỗ nhập. Dòng vàng nhạt/ví dụ: xóa hoặc ghi đè khi dùng thật.</t>
  </si>
  <si>
    <t xml:space="preserve">VAT mặc định 8% (ô VAT % để trống). Đơn có VAT khác thì gõ vào, ví dụ 10%.</t>
  </si>
  <si>
    <t xml:space="preserve">Cột 'Cần làm' tự báo: Đã giao - CHƯA XUẤT HĐ (đỏ cam), Quá hạn (đỏ), Chưa giao (vàng), Hoàn tất (xanh lá).</t>
  </si>
  <si>
    <t xml:space="preserve">Quá hạn tính từ 'Hạn thanh toán' tới hôm nay (theo ngày máy tính). Để trống hạn thì không tính quá hạn.</t>
  </si>
  <si>
    <t xml:space="preserve">Dựng sẵn công thức cho 500 đơn, 2.000 dòng hàng, 2.000 lần thu, 200 khách. Cần thêm: kéo công thức của dòng cuối xuống.</t>
  </si>
  <si>
    <t xml:space="preserve">Số tiền VAT làm tròn đồng theo từng đơn; nếu hóa đơn lệch vài đồng so với bảng thì ghi chú ở cột Ghi chú.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</si>
</sst>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[RED]\-#,##0;&quot;&quot;"/>
    <numFmt numFmtId="167" formatCode="dd/mm/yyyy"/>
    <numFmt numFmtId="168" formatCode="0%"/>
    <numFmt numFmtId="169" formatCode="#,##0.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9999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tr">
        <f aca="true">"Cập nhật theo ngày máy: "&amp;TEXT(TODAY(),"dd/mm/yyyy")</f>
        <v>Cập nhật theo ngày máy: 29/10/2026</v>
      </c>
    </row>
    <row r="4" customFormat="false" ht="15" hidden="false" customHeight="false" outlineLevel="0" collapsed="false">
      <c r="A4" s="2" t="s">
        <v>1</v>
      </c>
      <c r="B4" s="3" t="n">
        <f aca="false">COUNTA(DonHang!A2:A500)</f>
        <v>4</v>
      </c>
    </row>
    <row r="5" customFormat="false" ht="15" hidden="false" customHeight="false" outlineLevel="0" collapsed="false">
      <c r="A5" s="2" t="s">
        <v>2</v>
      </c>
      <c r="B5" s="4" t="n">
        <f aca="false">SUM(DonHang!N2:N500)</f>
        <v>315252000</v>
      </c>
    </row>
    <row r="6" customFormat="false" ht="15" hidden="false" customHeight="false" outlineLevel="0" collapsed="false">
      <c r="A6" s="2" t="s">
        <v>3</v>
      </c>
      <c r="B6" s="4" t="n">
        <f aca="false">SUM(DonHang!O2:O500)</f>
        <v>130356000</v>
      </c>
    </row>
    <row r="7" customFormat="false" ht="15" hidden="false" customHeight="false" outlineLevel="0" collapsed="false">
      <c r="A7" s="5" t="s">
        <v>4</v>
      </c>
      <c r="B7" s="4" t="n">
        <f aca="false">SUM(DonHang!P2:P500)</f>
        <v>184896000</v>
      </c>
    </row>
    <row r="8" customFormat="false" ht="15" hidden="false" customHeight="false" outlineLevel="0" collapsed="false">
      <c r="A8" s="2" t="s">
        <v>5</v>
      </c>
      <c r="B8" s="4" t="n">
        <f aca="false">SUMIFS(DonHang!P2:P500,DonHang!R2:R500,"&gt;0")</f>
        <v>0</v>
      </c>
    </row>
    <row r="9" customFormat="false" ht="15" hidden="false" customHeight="false" outlineLevel="0" collapsed="false">
      <c r="A9" s="2" t="s">
        <v>6</v>
      </c>
      <c r="B9" s="3" t="n">
        <f aca="false">SUMPRODUCT((DonHang!A2:A500&lt;&gt;"")*(DonHang!F2:F500="Đã giao")*(DonHang!H2:H500&lt;&gt;"Đã xuất"))</f>
        <v>0</v>
      </c>
    </row>
    <row r="10" customFormat="false" ht="15" hidden="false" customHeight="false" outlineLevel="0" collapsed="false">
      <c r="A10" s="2" t="s">
        <v>7</v>
      </c>
      <c r="B10" s="3" t="n">
        <f aca="false">SUMPRODUCT((DonHang!A2:A500&lt;&gt;"")*(DonHang!H2:H500="Đã xuất")*(DonHang!F2:F500="Chưa giao"))</f>
        <v>0</v>
      </c>
    </row>
    <row r="11" customFormat="false" ht="15" hidden="false" customHeight="false" outlineLevel="0" collapsed="false">
      <c r="A11" s="2" t="s">
        <v>8</v>
      </c>
      <c r="B11" s="3" t="n">
        <f aca="false">SUMPRODUCT((DonHang!A2:A500&lt;&gt;"")*(DonHang!F2:F500=""))</f>
        <v>3</v>
      </c>
    </row>
    <row r="12" customFormat="false" ht="15" hidden="false" customHeight="false" outlineLevel="0" collapsed="false">
      <c r="A12" s="2" t="s">
        <v>9</v>
      </c>
      <c r="B12" s="3" t="n">
        <f aca="false">COUNTIF(DonHang!P2:P500,"&gt;0")</f>
        <v>3</v>
      </c>
    </row>
    <row r="14" customFormat="false" ht="15" hidden="false" customHeight="false" outlineLevel="0" collapsed="false">
      <c r="A14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6" min="14" style="0" width="16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6"/>
    <col collapsed="false" customWidth="true" hidden="false" outlineLevel="0" max="20" min="20" style="0" width="30"/>
    <col collapsed="false" customWidth="true" hidden="false" outlineLevel="0" max="21" min="21" style="0" width="28"/>
  </cols>
  <sheetData>
    <row r="1" customFormat="false" ht="36" hidden="false" customHeight="tru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3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</row>
    <row r="2" customFormat="false" ht="15" hidden="false" customHeight="false" outlineLevel="0" collapsed="false">
      <c r="A2" s="8" t="s">
        <v>31</v>
      </c>
      <c r="B2" s="9" t="n">
        <v>46300</v>
      </c>
      <c r="C2" s="8" t="s">
        <v>32</v>
      </c>
      <c r="D2" s="10" t="str">
        <f aca="false">IF(C2="","",IFERROR(VLOOKUP(C2,KhachHang!$A$2:$B$200,2,FALSE())&amp;"",""))</f>
        <v>2601102666</v>
      </c>
      <c r="E2" s="8" t="s">
        <v>33</v>
      </c>
      <c r="F2" s="8" t="s">
        <v>34</v>
      </c>
      <c r="G2" s="9"/>
      <c r="H2" s="8" t="s">
        <v>35</v>
      </c>
      <c r="I2" s="8" t="s">
        <v>36</v>
      </c>
      <c r="J2" s="9" t="n">
        <v>46312</v>
      </c>
      <c r="K2" s="11" t="n">
        <f aca="false">IF(A2="","",SUMIFS(ChiTiet!$I$2:$I$2000,ChiTiet!$A$2:$A$2000,A2))</f>
        <v>269600000</v>
      </c>
      <c r="L2" s="12"/>
      <c r="M2" s="11" t="n">
        <f aca="false">IF(A2="","",ROUND(K2*IF(L2="",0.08,L2),0))</f>
        <v>21568000</v>
      </c>
      <c r="N2" s="11" t="n">
        <f aca="false">IF(A2="","",K2+M2)</f>
        <v>291168000</v>
      </c>
      <c r="O2" s="11" t="n">
        <f aca="false">IF(A2="","",SUMIFS(ThuTien!$D$2:$D$2000,ThuTien!$B$2:$B$2000,A2))</f>
        <v>130356000</v>
      </c>
      <c r="P2" s="11" t="n">
        <f aca="false">IF(A2="","",N2-O2)</f>
        <v>160812000</v>
      </c>
      <c r="Q2" s="9" t="n">
        <v>46343</v>
      </c>
      <c r="R2" s="10" t="n">
        <f aca="true">IF(A2="","",IF(AND(Q2&lt;&gt;"",P2&gt;0,TODAY()&gt;Q2),TODAY()-Q2,0))</f>
        <v>0</v>
      </c>
      <c r="S2" s="10" t="str">
        <f aca="false">IF(A2="","",IF(N2=0,"Chưa có tiền hàng",IF(P2&lt;0,"Thu thừa",IF(P2=0,"Đã thu đủ",IF(O2&gt;0,"Thu một phần","Chưa thu")))))</f>
        <v>Thu một phần</v>
      </c>
      <c r="T2" s="10" t="str">
        <f aca="false">IF(A2="","",IF(AND(F2="Đã giao",H2&lt;&gt;"Đã xuất"),"Đã giao - CHƯA XUẤT HĐ",IF(AND(H2="Đã xuất",F2="Chưa giao"),"Đã xuất HĐ - chưa giao",IF(F2="","Chưa cập nhật giao hàng",IF(R2&gt;0,"Quá hạn "&amp;R2&amp;" ngày - đòi tiền",IF(P2&gt;0,"Chờ thu tiền",IF(P2&lt;0,"Kiểm tra thu thừa",IF(AND(F2="Đã giao",H2="Đã xuất"),"Hoàn tất","Theo dõi"))))))))</f>
        <v>Chờ thu tiền</v>
      </c>
      <c r="U2" s="8" t="s">
        <v>37</v>
      </c>
    </row>
    <row r="3" customFormat="false" ht="15" hidden="false" customHeight="false" outlineLevel="0" collapsed="false">
      <c r="A3" s="8" t="s">
        <v>38</v>
      </c>
      <c r="B3" s="9" t="n">
        <v>46322</v>
      </c>
      <c r="C3" s="8" t="s">
        <v>39</v>
      </c>
      <c r="D3" s="10" t="str">
        <f aca="false">IF(C3="","",IFERROR(VLOOKUP(C3,KhachHang!$A$2:$B$200,2,FALSE())&amp;"",""))</f>
        <v>0100143403</v>
      </c>
      <c r="E3" s="8" t="s">
        <v>40</v>
      </c>
      <c r="F3" s="8"/>
      <c r="G3" s="9"/>
      <c r="H3" s="8"/>
      <c r="I3" s="8"/>
      <c r="J3" s="9"/>
      <c r="K3" s="11" t="n">
        <f aca="false">IF(A3="","",SUMIFS(ChiTiet!$I$2:$I$2000,ChiTiet!$A$2:$A$2000,A3))</f>
        <v>11600000</v>
      </c>
      <c r="L3" s="12"/>
      <c r="M3" s="11" t="n">
        <f aca="false">IF(A3="","",ROUND(K3*IF(L3="",0.08,L3),0))</f>
        <v>928000</v>
      </c>
      <c r="N3" s="11" t="n">
        <f aca="false">IF(A3="","",K3+M3)</f>
        <v>12528000</v>
      </c>
      <c r="O3" s="11" t="n">
        <f aca="false">IF(A3="","",SUMIFS(ThuTien!$D$2:$D$2000,ThuTien!$B$2:$B$2000,A3))</f>
        <v>0</v>
      </c>
      <c r="P3" s="11" t="n">
        <f aca="false">IF(A3="","",N3-O3)</f>
        <v>12528000</v>
      </c>
      <c r="Q3" s="9"/>
      <c r="R3" s="10" t="n">
        <f aca="true">IF(A3="","",IF(AND(Q3&lt;&gt;"",P3&gt;0,TODAY()&gt;Q3),TODAY()-Q3,0))</f>
        <v>0</v>
      </c>
      <c r="S3" s="10" t="str">
        <f aca="false">IF(A3="","",IF(N3=0,"Chưa có tiền hàng",IF(P3&lt;0,"Thu thừa",IF(P3=0,"Đã thu đủ",IF(O3&gt;0,"Thu một phần","Chưa thu")))))</f>
        <v>Chưa thu</v>
      </c>
      <c r="T3" s="10" t="str">
        <f aca="false">IF(A3="","",IF(AND(F3="Đã giao",H3&lt;&gt;"Đã xuất"),"Đã giao - CHƯA XUẤT HĐ",IF(AND(H3="Đã xuất",F3="Chưa giao"),"Đã xuất HĐ - chưa giao",IF(F3="","Chưa cập nhật giao hàng",IF(R3&gt;0,"Quá hạn "&amp;R3&amp;" ngày - đòi tiền",IF(P3&gt;0,"Chờ thu tiền",IF(P3&lt;0,"Kiểm tra thu thừa",IF(AND(F3="Đã giao",H3="Đã xuất"),"Hoàn tất","Theo dõi"))))))))</f>
        <v>Chưa cập nhật giao hàng</v>
      </c>
      <c r="U3" s="8" t="s">
        <v>41</v>
      </c>
    </row>
    <row r="4" customFormat="false" ht="15" hidden="false" customHeight="false" outlineLevel="0" collapsed="false">
      <c r="A4" s="8" t="s">
        <v>42</v>
      </c>
      <c r="B4" s="9"/>
      <c r="C4" s="8" t="s">
        <v>43</v>
      </c>
      <c r="D4" s="10" t="str">
        <f aca="false">IF(C4="","",IFERROR(VLOOKUP(C4,KhachHang!$A$2:$B$200,2,FALSE())&amp;"",""))</f>
        <v>0200447853</v>
      </c>
      <c r="E4" s="8" t="s">
        <v>44</v>
      </c>
      <c r="F4" s="8"/>
      <c r="G4" s="9"/>
      <c r="H4" s="8" t="s">
        <v>35</v>
      </c>
      <c r="I4" s="8" t="s">
        <v>45</v>
      </c>
      <c r="J4" s="9" t="n">
        <v>46283</v>
      </c>
      <c r="K4" s="11" t="n">
        <f aca="false">IF(A4="","",SUMIFS(ChiTiet!$I$2:$I$2000,ChiTiet!$A$2:$A$2000,A4))</f>
        <v>10700000</v>
      </c>
      <c r="L4" s="12"/>
      <c r="M4" s="11" t="n">
        <f aca="false">IF(A4="","",ROUND(K4*IF(L4="",0.08,L4),0))</f>
        <v>856000</v>
      </c>
      <c r="N4" s="11" t="n">
        <f aca="false">IF(A4="","",K4+M4)</f>
        <v>11556000</v>
      </c>
      <c r="O4" s="11" t="n">
        <f aca="false">IF(A4="","",SUMIFS(ThuTien!$D$2:$D$2000,ThuTien!$B$2:$B$2000,A4))</f>
        <v>0</v>
      </c>
      <c r="P4" s="11" t="n">
        <f aca="false">IF(A4="","",N4-O4)</f>
        <v>11556000</v>
      </c>
      <c r="Q4" s="9"/>
      <c r="R4" s="10" t="n">
        <f aca="true">IF(A4="","",IF(AND(Q4&lt;&gt;"",P4&gt;0,TODAY()&gt;Q4),TODAY()-Q4,0))</f>
        <v>0</v>
      </c>
      <c r="S4" s="10" t="str">
        <f aca="false">IF(A4="","",IF(N4=0,"Chưa có tiền hàng",IF(P4&lt;0,"Thu thừa",IF(P4=0,"Đã thu đủ",IF(O4&gt;0,"Thu một phần","Chưa thu")))))</f>
        <v>Chưa thu</v>
      </c>
      <c r="T4" s="10" t="str">
        <f aca="false">IF(A4="","",IF(AND(F4="Đã giao",H4&lt;&gt;"Đã xuất"),"Đã giao - CHƯA XUẤT HĐ",IF(AND(H4="Đã xuất",F4="Chưa giao"),"Đã xuất HĐ - chưa giao",IF(F4="","Chưa cập nhật giao hàng",IF(R4&gt;0,"Quá hạn "&amp;R4&amp;" ngày - đòi tiền",IF(P4&gt;0,"Chờ thu tiền",IF(P4&lt;0,"Kiểm tra thu thừa",IF(AND(F4="Đã giao",H4="Đã xuất"),"Hoàn tất","Theo dõi"))))))))</f>
        <v>Chưa cập nhật giao hàng</v>
      </c>
      <c r="U4" s="8" t="s">
        <v>46</v>
      </c>
    </row>
    <row r="5" customFormat="false" ht="15" hidden="false" customHeight="false" outlineLevel="0" collapsed="false">
      <c r="A5" s="8" t="s">
        <v>47</v>
      </c>
      <c r="B5" s="9"/>
      <c r="C5" s="8" t="s">
        <v>48</v>
      </c>
      <c r="D5" s="10" t="str">
        <f aca="false">IF(C5="","",IFERROR(VLOOKUP(C5,KhachHang!$A$2:$B$200,2,FALSE())&amp;"",""))</f>
        <v/>
      </c>
      <c r="E5" s="8" t="s">
        <v>49</v>
      </c>
      <c r="F5" s="8"/>
      <c r="G5" s="9"/>
      <c r="H5" s="8"/>
      <c r="I5" s="8"/>
      <c r="J5" s="9"/>
      <c r="K5" s="11" t="n">
        <f aca="false">IF(A5="","",SUMIFS(ChiTiet!$I$2:$I$2000,ChiTiet!$A$2:$A$2000,A5))</f>
        <v>0</v>
      </c>
      <c r="L5" s="12"/>
      <c r="M5" s="11" t="n">
        <f aca="false">IF(A5="","",ROUND(K5*IF(L5="",0.08,L5),0))</f>
        <v>0</v>
      </c>
      <c r="N5" s="11" t="n">
        <f aca="false">IF(A5="","",K5+M5)</f>
        <v>0</v>
      </c>
      <c r="O5" s="11" t="n">
        <f aca="false">IF(A5="","",SUMIFS(ThuTien!$D$2:$D$2000,ThuTien!$B$2:$B$2000,A5))</f>
        <v>0</v>
      </c>
      <c r="P5" s="11" t="n">
        <f aca="false">IF(A5="","",N5-O5)</f>
        <v>0</v>
      </c>
      <c r="Q5" s="9"/>
      <c r="R5" s="10" t="n">
        <f aca="true">IF(A5="","",IF(AND(Q5&lt;&gt;"",P5&gt;0,TODAY()&gt;Q5),TODAY()-Q5,0))</f>
        <v>0</v>
      </c>
      <c r="S5" s="10" t="str">
        <f aca="false">IF(A5="","",IF(N5=0,"Chưa có tiền hàng",IF(P5&lt;0,"Thu thừa",IF(P5=0,"Đã thu đủ",IF(O5&gt;0,"Thu một phần","Chưa thu")))))</f>
        <v>Chưa có tiền hàng</v>
      </c>
      <c r="T5" s="10" t="str">
        <f aca="false">IF(A5="","",IF(AND(F5="Đã giao",H5&lt;&gt;"Đã xuất"),"Đã giao - CHƯA XUẤT HĐ",IF(AND(H5="Đã xuất",F5="Chưa giao"),"Đã xuất HĐ - chưa giao",IF(F5="","Chưa cập nhật giao hàng",IF(R5&gt;0,"Quá hạn "&amp;R5&amp;" ngày - đòi tiền",IF(P5&gt;0,"Chờ thu tiền",IF(P5&lt;0,"Kiểm tra thu thừa",IF(AND(F5="Đã giao",H5="Đã xuất"),"Hoàn tất","Theo dõi"))))))))</f>
        <v>Chưa cập nhật giao hàng</v>
      </c>
      <c r="U5" s="8" t="s">
        <v>50</v>
      </c>
    </row>
    <row r="6" customFormat="false" ht="15" hidden="false" customHeight="false" outlineLevel="0" collapsed="false">
      <c r="A6" s="8"/>
      <c r="B6" s="9"/>
      <c r="C6" s="8"/>
      <c r="D6" s="10" t="str">
        <f aca="false">IF(C6="","",IFERROR(VLOOKUP(C6,KhachHang!$A$2:$B$200,2,FALSE())&amp;"",""))</f>
        <v/>
      </c>
      <c r="E6" s="8"/>
      <c r="F6" s="8"/>
      <c r="G6" s="9"/>
      <c r="H6" s="8"/>
      <c r="I6" s="8"/>
      <c r="J6" s="9"/>
      <c r="K6" s="11" t="str">
        <f aca="false">IF(A6="","",SUMIFS(ChiTiet!$I$2:$I$2000,ChiTiet!$A$2:$A$2000,A6))</f>
        <v/>
      </c>
      <c r="L6" s="12"/>
      <c r="M6" s="11" t="str">
        <f aca="false">IF(A6="","",ROUND(K6*IF(L6="",0.08,L6),0))</f>
        <v/>
      </c>
      <c r="N6" s="11" t="str">
        <f aca="false">IF(A6="","",K6+M6)</f>
        <v/>
      </c>
      <c r="O6" s="11" t="str">
        <f aca="false">IF(A6="","",SUMIFS(ThuTien!$D$2:$D$2000,ThuTien!$B$2:$B$2000,A6))</f>
        <v/>
      </c>
      <c r="P6" s="11" t="str">
        <f aca="false">IF(A6="","",N6-O6)</f>
        <v/>
      </c>
      <c r="Q6" s="9"/>
      <c r="R6" s="10" t="str">
        <f aca="true">IF(A6="","",IF(AND(Q6&lt;&gt;"",P6&gt;0,TODAY()&gt;Q6),TODAY()-Q6,0))</f>
        <v/>
      </c>
      <c r="S6" s="10" t="str">
        <f aca="false">IF(A6="","",IF(N6=0,"Chưa có tiền hàng",IF(P6&lt;0,"Thu thừa",IF(P6=0,"Đã thu đủ",IF(O6&gt;0,"Thu một phần","Chưa thu")))))</f>
        <v/>
      </c>
      <c r="T6" s="10" t="str">
        <f aca="false">IF(A6="","",IF(AND(F6="Đã giao",H6&lt;&gt;"Đã xuất"),"Đã giao - CHƯA XUẤT HĐ",IF(AND(H6="Đã xuất",F6="Chưa giao"),"Đã xuất HĐ - chưa giao",IF(F6="","Chưa cập nhật giao hàng",IF(R6&gt;0,"Quá hạn "&amp;R6&amp;" ngày - đòi tiền",IF(P6&gt;0,"Chờ thu tiền",IF(P6&lt;0,"Kiểm tra thu thừa",IF(AND(F6="Đã giao",H6="Đã xuất"),"Hoàn tất","Theo dõi"))))))))</f>
        <v/>
      </c>
      <c r="U6" s="8"/>
    </row>
    <row r="7" customFormat="false" ht="15" hidden="false" customHeight="false" outlineLevel="0" collapsed="false">
      <c r="A7" s="8"/>
      <c r="B7" s="9"/>
      <c r="C7" s="8"/>
      <c r="D7" s="10" t="str">
        <f aca="false">IF(C7="","",IFERROR(VLOOKUP(C7,KhachHang!$A$2:$B$200,2,FALSE())&amp;"",""))</f>
        <v/>
      </c>
      <c r="E7" s="8"/>
      <c r="F7" s="8"/>
      <c r="G7" s="9"/>
      <c r="H7" s="8"/>
      <c r="I7" s="8"/>
      <c r="J7" s="9"/>
      <c r="K7" s="11" t="str">
        <f aca="false">IF(A7="","",SUMIFS(ChiTiet!$I$2:$I$2000,ChiTiet!$A$2:$A$2000,A7))</f>
        <v/>
      </c>
      <c r="L7" s="12"/>
      <c r="M7" s="11" t="str">
        <f aca="false">IF(A7="","",ROUND(K7*IF(L7="",0.08,L7),0))</f>
        <v/>
      </c>
      <c r="N7" s="11" t="str">
        <f aca="false">IF(A7="","",K7+M7)</f>
        <v/>
      </c>
      <c r="O7" s="11" t="str">
        <f aca="false">IF(A7="","",SUMIFS(ThuTien!$D$2:$D$2000,ThuTien!$B$2:$B$2000,A7))</f>
        <v/>
      </c>
      <c r="P7" s="11" t="str">
        <f aca="false">IF(A7="","",N7-O7)</f>
        <v/>
      </c>
      <c r="Q7" s="9"/>
      <c r="R7" s="10" t="str">
        <f aca="true">IF(A7="","",IF(AND(Q7&lt;&gt;"",P7&gt;0,TODAY()&gt;Q7),TODAY()-Q7,0))</f>
        <v/>
      </c>
      <c r="S7" s="10" t="str">
        <f aca="false">IF(A7="","",IF(N7=0,"Chưa có tiền hàng",IF(P7&lt;0,"Thu thừa",IF(P7=0,"Đã thu đủ",IF(O7&gt;0,"Thu một phần","Chưa thu")))))</f>
        <v/>
      </c>
      <c r="T7" s="10" t="str">
        <f aca="false">IF(A7="","",IF(AND(F7="Đã giao",H7&lt;&gt;"Đã xuất"),"Đã giao - CHƯA XUẤT HĐ",IF(AND(H7="Đã xuất",F7="Chưa giao"),"Đã xuất HĐ - chưa giao",IF(F7="","Chưa cập nhật giao hàng",IF(R7&gt;0,"Quá hạn "&amp;R7&amp;" ngày - đòi tiền",IF(P7&gt;0,"Chờ thu tiền",IF(P7&lt;0,"Kiểm tra thu thừa",IF(AND(F7="Đã giao",H7="Đã xuất"),"Hoàn tất","Theo dõi"))))))))</f>
        <v/>
      </c>
      <c r="U7" s="8"/>
    </row>
    <row r="8" customFormat="false" ht="15" hidden="false" customHeight="false" outlineLevel="0" collapsed="false">
      <c r="A8" s="8"/>
      <c r="B8" s="9"/>
      <c r="C8" s="8"/>
      <c r="D8" s="10" t="str">
        <f aca="false">IF(C8="","",IFERROR(VLOOKUP(C8,KhachHang!$A$2:$B$200,2,FALSE())&amp;"",""))</f>
        <v/>
      </c>
      <c r="E8" s="8"/>
      <c r="F8" s="8"/>
      <c r="G8" s="9"/>
      <c r="H8" s="8"/>
      <c r="I8" s="8"/>
      <c r="J8" s="9"/>
      <c r="K8" s="11" t="str">
        <f aca="false">IF(A8="","",SUMIFS(ChiTiet!$I$2:$I$2000,ChiTiet!$A$2:$A$2000,A8))</f>
        <v/>
      </c>
      <c r="L8" s="12"/>
      <c r="M8" s="11" t="str">
        <f aca="false">IF(A8="","",ROUND(K8*IF(L8="",0.08,L8),0))</f>
        <v/>
      </c>
      <c r="N8" s="11" t="str">
        <f aca="false">IF(A8="","",K8+M8)</f>
        <v/>
      </c>
      <c r="O8" s="11" t="str">
        <f aca="false">IF(A8="","",SUMIFS(ThuTien!$D$2:$D$2000,ThuTien!$B$2:$B$2000,A8))</f>
        <v/>
      </c>
      <c r="P8" s="11" t="str">
        <f aca="false">IF(A8="","",N8-O8)</f>
        <v/>
      </c>
      <c r="Q8" s="9"/>
      <c r="R8" s="10" t="str">
        <f aca="true">IF(A8="","",IF(AND(Q8&lt;&gt;"",P8&gt;0,TODAY()&gt;Q8),TODAY()-Q8,0))</f>
        <v/>
      </c>
      <c r="S8" s="10" t="str">
        <f aca="false">IF(A8="","",IF(N8=0,"Chưa có tiền hàng",IF(P8&lt;0,"Thu thừa",IF(P8=0,"Đã thu đủ",IF(O8&gt;0,"Thu một phần","Chưa thu")))))</f>
        <v/>
      </c>
      <c r="T8" s="10" t="str">
        <f aca="false">IF(A8="","",IF(AND(F8="Đã giao",H8&lt;&gt;"Đã xuất"),"Đã giao - CHƯA XUẤT HĐ",IF(AND(H8="Đã xuất",F8="Chưa giao"),"Đã xuất HĐ - chưa giao",IF(F8="","Chưa cập nhật giao hàng",IF(R8&gt;0,"Quá hạn "&amp;R8&amp;" ngày - đòi tiền",IF(P8&gt;0,"Chờ thu tiền",IF(P8&lt;0,"Kiểm tra thu thừa",IF(AND(F8="Đã giao",H8="Đã xuất"),"Hoàn tất","Theo dõi"))))))))</f>
        <v/>
      </c>
      <c r="U8" s="8"/>
    </row>
    <row r="9" customFormat="false" ht="15" hidden="false" customHeight="false" outlineLevel="0" collapsed="false">
      <c r="A9" s="8"/>
      <c r="B9" s="9"/>
      <c r="C9" s="8"/>
      <c r="D9" s="10" t="str">
        <f aca="false">IF(C9="","",IFERROR(VLOOKUP(C9,KhachHang!$A$2:$B$200,2,FALSE())&amp;"",""))</f>
        <v/>
      </c>
      <c r="E9" s="8"/>
      <c r="F9" s="8"/>
      <c r="G9" s="9"/>
      <c r="H9" s="8"/>
      <c r="I9" s="8"/>
      <c r="J9" s="9"/>
      <c r="K9" s="11" t="str">
        <f aca="false">IF(A9="","",SUMIFS(ChiTiet!$I$2:$I$2000,ChiTiet!$A$2:$A$2000,A9))</f>
        <v/>
      </c>
      <c r="L9" s="12"/>
      <c r="M9" s="11" t="str">
        <f aca="false">IF(A9="","",ROUND(K9*IF(L9="",0.08,L9),0))</f>
        <v/>
      </c>
      <c r="N9" s="11" t="str">
        <f aca="false">IF(A9="","",K9+M9)</f>
        <v/>
      </c>
      <c r="O9" s="11" t="str">
        <f aca="false">IF(A9="","",SUMIFS(ThuTien!$D$2:$D$2000,ThuTien!$B$2:$B$2000,A9))</f>
        <v/>
      </c>
      <c r="P9" s="11" t="str">
        <f aca="false">IF(A9="","",N9-O9)</f>
        <v/>
      </c>
      <c r="Q9" s="9"/>
      <c r="R9" s="10" t="str">
        <f aca="true">IF(A9="","",IF(AND(Q9&lt;&gt;"",P9&gt;0,TODAY()&gt;Q9),TODAY()-Q9,0))</f>
        <v/>
      </c>
      <c r="S9" s="10" t="str">
        <f aca="false">IF(A9="","",IF(N9=0,"Chưa có tiền hàng",IF(P9&lt;0,"Thu thừa",IF(P9=0,"Đã thu đủ",IF(O9&gt;0,"Thu một phần","Chưa thu")))))</f>
        <v/>
      </c>
      <c r="T9" s="10" t="str">
        <f aca="false">IF(A9="","",IF(AND(F9="Đã giao",H9&lt;&gt;"Đã xuất"),"Đã giao - CHƯA XUẤT HĐ",IF(AND(H9="Đã xuất",F9="Chưa giao"),"Đã xuất HĐ - chưa giao",IF(F9="","Chưa cập nhật giao hàng",IF(R9&gt;0,"Quá hạn "&amp;R9&amp;" ngày - đòi tiền",IF(P9&gt;0,"Chờ thu tiền",IF(P9&lt;0,"Kiểm tra thu thừa",IF(AND(F9="Đã giao",H9="Đã xuất"),"Hoàn tất","Theo dõi"))))))))</f>
        <v/>
      </c>
      <c r="U9" s="8"/>
    </row>
    <row r="10" customFormat="false" ht="15" hidden="false" customHeight="false" outlineLevel="0" collapsed="false">
      <c r="A10" s="8"/>
      <c r="B10" s="9"/>
      <c r="C10" s="8"/>
      <c r="D10" s="10" t="str">
        <f aca="false">IF(C10="","",IFERROR(VLOOKUP(C10,KhachHang!$A$2:$B$200,2,FALSE())&amp;"",""))</f>
        <v/>
      </c>
      <c r="E10" s="8"/>
      <c r="F10" s="8"/>
      <c r="G10" s="9"/>
      <c r="H10" s="8"/>
      <c r="I10" s="8"/>
      <c r="J10" s="9"/>
      <c r="K10" s="11" t="str">
        <f aca="false">IF(A10="","",SUMIFS(ChiTiet!$I$2:$I$2000,ChiTiet!$A$2:$A$2000,A10))</f>
        <v/>
      </c>
      <c r="L10" s="12"/>
      <c r="M10" s="11" t="str">
        <f aca="false">IF(A10="","",ROUND(K10*IF(L10="",0.08,L10),0))</f>
        <v/>
      </c>
      <c r="N10" s="11" t="str">
        <f aca="false">IF(A10="","",K10+M10)</f>
        <v/>
      </c>
      <c r="O10" s="11" t="str">
        <f aca="false">IF(A10="","",SUMIFS(ThuTien!$D$2:$D$2000,ThuTien!$B$2:$B$2000,A10))</f>
        <v/>
      </c>
      <c r="P10" s="11" t="str">
        <f aca="false">IF(A10="","",N10-O10)</f>
        <v/>
      </c>
      <c r="Q10" s="9"/>
      <c r="R10" s="10" t="str">
        <f aca="true">IF(A10="","",IF(AND(Q10&lt;&gt;"",P10&gt;0,TODAY()&gt;Q10),TODAY()-Q10,0))</f>
        <v/>
      </c>
      <c r="S10" s="10" t="str">
        <f aca="false">IF(A10="","",IF(N10=0,"Chưa có tiền hàng",IF(P10&lt;0,"Thu thừa",IF(P10=0,"Đã thu đủ",IF(O10&gt;0,"Thu một phần","Chưa thu")))))</f>
        <v/>
      </c>
      <c r="T10" s="10" t="str">
        <f aca="false">IF(A10="","",IF(AND(F10="Đã giao",H10&lt;&gt;"Đã xuất"),"Đã giao - CHƯA XUẤT HĐ",IF(AND(H10="Đã xuất",F10="Chưa giao"),"Đã xuất HĐ - chưa giao",IF(F10="","Chưa cập nhật giao hàng",IF(R10&gt;0,"Quá hạn "&amp;R10&amp;" ngày - đòi tiền",IF(P10&gt;0,"Chờ thu tiền",IF(P10&lt;0,"Kiểm tra thu thừa",IF(AND(F10="Đã giao",H10="Đã xuất"),"Hoàn tất","Theo dõi"))))))))</f>
        <v/>
      </c>
      <c r="U10" s="8"/>
    </row>
    <row r="11" customFormat="false" ht="15" hidden="false" customHeight="false" outlineLevel="0" collapsed="false">
      <c r="A11" s="8"/>
      <c r="B11" s="9"/>
      <c r="C11" s="8"/>
      <c r="D11" s="10" t="str">
        <f aca="false">IF(C11="","",IFERROR(VLOOKUP(C11,KhachHang!$A$2:$B$200,2,FALSE())&amp;"",""))</f>
        <v/>
      </c>
      <c r="E11" s="8"/>
      <c r="F11" s="8"/>
      <c r="G11" s="9"/>
      <c r="H11" s="8"/>
      <c r="I11" s="8"/>
      <c r="J11" s="9"/>
      <c r="K11" s="11" t="str">
        <f aca="false">IF(A11="","",SUMIFS(ChiTiet!$I$2:$I$2000,ChiTiet!$A$2:$A$2000,A11))</f>
        <v/>
      </c>
      <c r="L11" s="12"/>
      <c r="M11" s="11" t="str">
        <f aca="false">IF(A11="","",ROUND(K11*IF(L11="",0.08,L11),0))</f>
        <v/>
      </c>
      <c r="N11" s="11" t="str">
        <f aca="false">IF(A11="","",K11+M11)</f>
        <v/>
      </c>
      <c r="O11" s="11" t="str">
        <f aca="false">IF(A11="","",SUMIFS(ThuTien!$D$2:$D$2000,ThuTien!$B$2:$B$2000,A11))</f>
        <v/>
      </c>
      <c r="P11" s="11" t="str">
        <f aca="false">IF(A11="","",N11-O11)</f>
        <v/>
      </c>
      <c r="Q11" s="9"/>
      <c r="R11" s="10" t="str">
        <f aca="true">IF(A11="","",IF(AND(Q11&lt;&gt;"",P11&gt;0,TODAY()&gt;Q11),TODAY()-Q11,0))</f>
        <v/>
      </c>
      <c r="S11" s="10" t="str">
        <f aca="false">IF(A11="","",IF(N11=0,"Chưa có tiền hàng",IF(P11&lt;0,"Thu thừa",IF(P11=0,"Đã thu đủ",IF(O11&gt;0,"Thu một phần","Chưa thu")))))</f>
        <v/>
      </c>
      <c r="T11" s="10" t="str">
        <f aca="false">IF(A11="","",IF(AND(F11="Đã giao",H11&lt;&gt;"Đã xuất"),"Đã giao - CHƯA XUẤT HĐ",IF(AND(H11="Đã xuất",F11="Chưa giao"),"Đã xuất HĐ - chưa giao",IF(F11="","Chưa cập nhật giao hàng",IF(R11&gt;0,"Quá hạn "&amp;R11&amp;" ngày - đòi tiền",IF(P11&gt;0,"Chờ thu tiền",IF(P11&lt;0,"Kiểm tra thu thừa",IF(AND(F11="Đã giao",H11="Đã xuất"),"Hoàn tất","Theo dõi"))))))))</f>
        <v/>
      </c>
      <c r="U11" s="8"/>
    </row>
    <row r="12" customFormat="false" ht="15" hidden="false" customHeight="false" outlineLevel="0" collapsed="false">
      <c r="A12" s="8"/>
      <c r="B12" s="9"/>
      <c r="C12" s="8"/>
      <c r="D12" s="10" t="str">
        <f aca="false">IF(C12="","",IFERROR(VLOOKUP(C12,KhachHang!$A$2:$B$200,2,FALSE())&amp;"",""))</f>
        <v/>
      </c>
      <c r="E12" s="8"/>
      <c r="F12" s="8"/>
      <c r="G12" s="9"/>
      <c r="H12" s="8"/>
      <c r="I12" s="8"/>
      <c r="J12" s="9"/>
      <c r="K12" s="11" t="str">
        <f aca="false">IF(A12="","",SUMIFS(ChiTiet!$I$2:$I$2000,ChiTiet!$A$2:$A$2000,A12))</f>
        <v/>
      </c>
      <c r="L12" s="12"/>
      <c r="M12" s="11" t="str">
        <f aca="false">IF(A12="","",ROUND(K12*IF(L12="",0.08,L12),0))</f>
        <v/>
      </c>
      <c r="N12" s="11" t="str">
        <f aca="false">IF(A12="","",K12+M12)</f>
        <v/>
      </c>
      <c r="O12" s="11" t="str">
        <f aca="false">IF(A12="","",SUMIFS(ThuTien!$D$2:$D$2000,ThuTien!$B$2:$B$2000,A12))</f>
        <v/>
      </c>
      <c r="P12" s="11" t="str">
        <f aca="false">IF(A12="","",N12-O12)</f>
        <v/>
      </c>
      <c r="Q12" s="9"/>
      <c r="R12" s="10" t="str">
        <f aca="true">IF(A12="","",IF(AND(Q12&lt;&gt;"",P12&gt;0,TODAY()&gt;Q12),TODAY()-Q12,0))</f>
        <v/>
      </c>
      <c r="S12" s="10" t="str">
        <f aca="false">IF(A12="","",IF(N12=0,"Chưa có tiền hàng",IF(P12&lt;0,"Thu thừa",IF(P12=0,"Đã thu đủ",IF(O12&gt;0,"Thu một phần","Chưa thu")))))</f>
        <v/>
      </c>
      <c r="T12" s="10" t="str">
        <f aca="false">IF(A12="","",IF(AND(F12="Đã giao",H12&lt;&gt;"Đã xuất"),"Đã giao - CHƯA XUẤT HĐ",IF(AND(H12="Đã xuất",F12="Chưa giao"),"Đã xuất HĐ - chưa giao",IF(F12="","Chưa cập nhật giao hàng",IF(R12&gt;0,"Quá hạn "&amp;R12&amp;" ngày - đòi tiền",IF(P12&gt;0,"Chờ thu tiền",IF(P12&lt;0,"Kiểm tra thu thừa",IF(AND(F12="Đã giao",H12="Đã xuất"),"Hoàn tất","Theo dõi"))))))))</f>
        <v/>
      </c>
      <c r="U12" s="8"/>
    </row>
    <row r="13" customFormat="false" ht="15" hidden="false" customHeight="false" outlineLevel="0" collapsed="false">
      <c r="A13" s="8"/>
      <c r="B13" s="9"/>
      <c r="C13" s="8"/>
      <c r="D13" s="10" t="str">
        <f aca="false">IF(C13="","",IFERROR(VLOOKUP(C13,KhachHang!$A$2:$B$200,2,FALSE())&amp;"",""))</f>
        <v/>
      </c>
      <c r="E13" s="8"/>
      <c r="F13" s="8"/>
      <c r="G13" s="9"/>
      <c r="H13" s="8"/>
      <c r="I13" s="8"/>
      <c r="J13" s="9"/>
      <c r="K13" s="11" t="str">
        <f aca="false">IF(A13="","",SUMIFS(ChiTiet!$I$2:$I$2000,ChiTiet!$A$2:$A$2000,A13))</f>
        <v/>
      </c>
      <c r="L13" s="12"/>
      <c r="M13" s="11" t="str">
        <f aca="false">IF(A13="","",ROUND(K13*IF(L13="",0.08,L13),0))</f>
        <v/>
      </c>
      <c r="N13" s="11" t="str">
        <f aca="false">IF(A13="","",K13+M13)</f>
        <v/>
      </c>
      <c r="O13" s="11" t="str">
        <f aca="false">IF(A13="","",SUMIFS(ThuTien!$D$2:$D$2000,ThuTien!$B$2:$B$2000,A13))</f>
        <v/>
      </c>
      <c r="P13" s="11" t="str">
        <f aca="false">IF(A13="","",N13-O13)</f>
        <v/>
      </c>
      <c r="Q13" s="9"/>
      <c r="R13" s="10" t="str">
        <f aca="true">IF(A13="","",IF(AND(Q13&lt;&gt;"",P13&gt;0,TODAY()&gt;Q13),TODAY()-Q13,0))</f>
        <v/>
      </c>
      <c r="S13" s="10" t="str">
        <f aca="false">IF(A13="","",IF(N13=0,"Chưa có tiền hàng",IF(P13&lt;0,"Thu thừa",IF(P13=0,"Đã thu đủ",IF(O13&gt;0,"Thu một phần","Chưa thu")))))</f>
        <v/>
      </c>
      <c r="T13" s="10" t="str">
        <f aca="false">IF(A13="","",IF(AND(F13="Đã giao",H13&lt;&gt;"Đã xuất"),"Đã giao - CHƯA XUẤT HĐ",IF(AND(H13="Đã xuất",F13="Chưa giao"),"Đã xuất HĐ - chưa giao",IF(F13="","Chưa cập nhật giao hàng",IF(R13&gt;0,"Quá hạn "&amp;R13&amp;" ngày - đòi tiền",IF(P13&gt;0,"Chờ thu tiền",IF(P13&lt;0,"Kiểm tra thu thừa",IF(AND(F13="Đã giao",H13="Đã xuất"),"Hoàn tất","Theo dõi"))))))))</f>
        <v/>
      </c>
      <c r="U13" s="8"/>
    </row>
    <row r="14" customFormat="false" ht="15" hidden="false" customHeight="false" outlineLevel="0" collapsed="false">
      <c r="A14" s="8"/>
      <c r="B14" s="9"/>
      <c r="C14" s="8"/>
      <c r="D14" s="10" t="str">
        <f aca="false">IF(C14="","",IFERROR(VLOOKUP(C14,KhachHang!$A$2:$B$200,2,FALSE())&amp;"",""))</f>
        <v/>
      </c>
      <c r="E14" s="8"/>
      <c r="F14" s="8"/>
      <c r="G14" s="9"/>
      <c r="H14" s="8"/>
      <c r="I14" s="8"/>
      <c r="J14" s="9"/>
      <c r="K14" s="11" t="str">
        <f aca="false">IF(A14="","",SUMIFS(ChiTiet!$I$2:$I$2000,ChiTiet!$A$2:$A$2000,A14))</f>
        <v/>
      </c>
      <c r="L14" s="12"/>
      <c r="M14" s="11" t="str">
        <f aca="false">IF(A14="","",ROUND(K14*IF(L14="",0.08,L14),0))</f>
        <v/>
      </c>
      <c r="N14" s="11" t="str">
        <f aca="false">IF(A14="","",K14+M14)</f>
        <v/>
      </c>
      <c r="O14" s="11" t="str">
        <f aca="false">IF(A14="","",SUMIFS(ThuTien!$D$2:$D$2000,ThuTien!$B$2:$B$2000,A14))</f>
        <v/>
      </c>
      <c r="P14" s="11" t="str">
        <f aca="false">IF(A14="","",N14-O14)</f>
        <v/>
      </c>
      <c r="Q14" s="9"/>
      <c r="R14" s="10" t="str">
        <f aca="true">IF(A14="","",IF(AND(Q14&lt;&gt;"",P14&gt;0,TODAY()&gt;Q14),TODAY()-Q14,0))</f>
        <v/>
      </c>
      <c r="S14" s="10" t="str">
        <f aca="false">IF(A14="","",IF(N14=0,"Chưa có tiền hàng",IF(P14&lt;0,"Thu thừa",IF(P14=0,"Đã thu đủ",IF(O14&gt;0,"Thu một phần","Chưa thu")))))</f>
        <v/>
      </c>
      <c r="T14" s="10" t="str">
        <f aca="false">IF(A14="","",IF(AND(F14="Đã giao",H14&lt;&gt;"Đã xuất"),"Đã giao - CHƯA XUẤT HĐ",IF(AND(H14="Đã xuất",F14="Chưa giao"),"Đã xuất HĐ - chưa giao",IF(F14="","Chưa cập nhật giao hàng",IF(R14&gt;0,"Quá hạn "&amp;R14&amp;" ngày - đòi tiền",IF(P14&gt;0,"Chờ thu tiền",IF(P14&lt;0,"Kiểm tra thu thừa",IF(AND(F14="Đã giao",H14="Đã xuất"),"Hoàn tất","Theo dõi"))))))))</f>
        <v/>
      </c>
      <c r="U14" s="8"/>
    </row>
    <row r="15" customFormat="false" ht="15" hidden="false" customHeight="false" outlineLevel="0" collapsed="false">
      <c r="A15" s="8"/>
      <c r="B15" s="9"/>
      <c r="C15" s="8"/>
      <c r="D15" s="10" t="str">
        <f aca="false">IF(C15="","",IFERROR(VLOOKUP(C15,KhachHang!$A$2:$B$200,2,FALSE())&amp;"",""))</f>
        <v/>
      </c>
      <c r="E15" s="8"/>
      <c r="F15" s="8"/>
      <c r="G15" s="9"/>
      <c r="H15" s="8"/>
      <c r="I15" s="8"/>
      <c r="J15" s="9"/>
      <c r="K15" s="11" t="str">
        <f aca="false">IF(A15="","",SUMIFS(ChiTiet!$I$2:$I$2000,ChiTiet!$A$2:$A$2000,A15))</f>
        <v/>
      </c>
      <c r="L15" s="12"/>
      <c r="M15" s="11" t="str">
        <f aca="false">IF(A15="","",ROUND(K15*IF(L15="",0.08,L15),0))</f>
        <v/>
      </c>
      <c r="N15" s="11" t="str">
        <f aca="false">IF(A15="","",K15+M15)</f>
        <v/>
      </c>
      <c r="O15" s="11" t="str">
        <f aca="false">IF(A15="","",SUMIFS(ThuTien!$D$2:$D$2000,ThuTien!$B$2:$B$2000,A15))</f>
        <v/>
      </c>
      <c r="P15" s="11" t="str">
        <f aca="false">IF(A15="","",N15-O15)</f>
        <v/>
      </c>
      <c r="Q15" s="9"/>
      <c r="R15" s="10" t="str">
        <f aca="true">IF(A15="","",IF(AND(Q15&lt;&gt;"",P15&gt;0,TODAY()&gt;Q15),TODAY()-Q15,0))</f>
        <v/>
      </c>
      <c r="S15" s="10" t="str">
        <f aca="false">IF(A15="","",IF(N15=0,"Chưa có tiền hàng",IF(P15&lt;0,"Thu thừa",IF(P15=0,"Đã thu đủ",IF(O15&gt;0,"Thu một phần","Chưa thu")))))</f>
        <v/>
      </c>
      <c r="T15" s="10" t="str">
        <f aca="false">IF(A15="","",IF(AND(F15="Đã giao",H15&lt;&gt;"Đã xuất"),"Đã giao - CHƯA XUẤT HĐ",IF(AND(H15="Đã xuất",F15="Chưa giao"),"Đã xuất HĐ - chưa giao",IF(F15="","Chưa cập nhật giao hàng",IF(R15&gt;0,"Quá hạn "&amp;R15&amp;" ngày - đòi tiền",IF(P15&gt;0,"Chờ thu tiền",IF(P15&lt;0,"Kiểm tra thu thừa",IF(AND(F15="Đã giao",H15="Đã xuất"),"Hoàn tất","Theo dõi"))))))))</f>
        <v/>
      </c>
      <c r="U15" s="8"/>
    </row>
    <row r="16" customFormat="false" ht="15" hidden="false" customHeight="false" outlineLevel="0" collapsed="false">
      <c r="A16" s="8"/>
      <c r="B16" s="9"/>
      <c r="C16" s="8"/>
      <c r="D16" s="10" t="str">
        <f aca="false">IF(C16="","",IFERROR(VLOOKUP(C16,KhachHang!$A$2:$B$200,2,FALSE())&amp;"",""))</f>
        <v/>
      </c>
      <c r="E16" s="8"/>
      <c r="F16" s="8"/>
      <c r="G16" s="9"/>
      <c r="H16" s="8"/>
      <c r="I16" s="8"/>
      <c r="J16" s="9"/>
      <c r="K16" s="11" t="str">
        <f aca="false">IF(A16="","",SUMIFS(ChiTiet!$I$2:$I$2000,ChiTiet!$A$2:$A$2000,A16))</f>
        <v/>
      </c>
      <c r="L16" s="12"/>
      <c r="M16" s="11" t="str">
        <f aca="false">IF(A16="","",ROUND(K16*IF(L16="",0.08,L16),0))</f>
        <v/>
      </c>
      <c r="N16" s="11" t="str">
        <f aca="false">IF(A16="","",K16+M16)</f>
        <v/>
      </c>
      <c r="O16" s="11" t="str">
        <f aca="false">IF(A16="","",SUMIFS(ThuTien!$D$2:$D$2000,ThuTien!$B$2:$B$2000,A16))</f>
        <v/>
      </c>
      <c r="P16" s="11" t="str">
        <f aca="false">IF(A16="","",N16-O16)</f>
        <v/>
      </c>
      <c r="Q16" s="9"/>
      <c r="R16" s="10" t="str">
        <f aca="true">IF(A16="","",IF(AND(Q16&lt;&gt;"",P16&gt;0,TODAY()&gt;Q16),TODAY()-Q16,0))</f>
        <v/>
      </c>
      <c r="S16" s="10" t="str">
        <f aca="false">IF(A16="","",IF(N16=0,"Chưa có tiền hàng",IF(P16&lt;0,"Thu thừa",IF(P16=0,"Đã thu đủ",IF(O16&gt;0,"Thu một phần","Chưa thu")))))</f>
        <v/>
      </c>
      <c r="T16" s="10" t="str">
        <f aca="false">IF(A16="","",IF(AND(F16="Đã giao",H16&lt;&gt;"Đã xuất"),"Đã giao - CHƯA XUẤT HĐ",IF(AND(H16="Đã xuất",F16="Chưa giao"),"Đã xuất HĐ - chưa giao",IF(F16="","Chưa cập nhật giao hàng",IF(R16&gt;0,"Quá hạn "&amp;R16&amp;" ngày - đòi tiền",IF(P16&gt;0,"Chờ thu tiền",IF(P16&lt;0,"Kiểm tra thu thừa",IF(AND(F16="Đã giao",H16="Đã xuất"),"Hoàn tất","Theo dõi"))))))))</f>
        <v/>
      </c>
      <c r="U16" s="8"/>
    </row>
    <row r="17" customFormat="false" ht="15" hidden="false" customHeight="false" outlineLevel="0" collapsed="false">
      <c r="A17" s="8"/>
      <c r="B17" s="9"/>
      <c r="C17" s="8"/>
      <c r="D17" s="10" t="str">
        <f aca="false">IF(C17="","",IFERROR(VLOOKUP(C17,KhachHang!$A$2:$B$200,2,FALSE())&amp;"",""))</f>
        <v/>
      </c>
      <c r="E17" s="8"/>
      <c r="F17" s="8"/>
      <c r="G17" s="9"/>
      <c r="H17" s="8"/>
      <c r="I17" s="8"/>
      <c r="J17" s="9"/>
      <c r="K17" s="11" t="str">
        <f aca="false">IF(A17="","",SUMIFS(ChiTiet!$I$2:$I$2000,ChiTiet!$A$2:$A$2000,A17))</f>
        <v/>
      </c>
      <c r="L17" s="12"/>
      <c r="M17" s="11" t="str">
        <f aca="false">IF(A17="","",ROUND(K17*IF(L17="",0.08,L17),0))</f>
        <v/>
      </c>
      <c r="N17" s="11" t="str">
        <f aca="false">IF(A17="","",K17+M17)</f>
        <v/>
      </c>
      <c r="O17" s="11" t="str">
        <f aca="false">IF(A17="","",SUMIFS(ThuTien!$D$2:$D$2000,ThuTien!$B$2:$B$2000,A17))</f>
        <v/>
      </c>
      <c r="P17" s="11" t="str">
        <f aca="false">IF(A17="","",N17-O17)</f>
        <v/>
      </c>
      <c r="Q17" s="9"/>
      <c r="R17" s="10" t="str">
        <f aca="true">IF(A17="","",IF(AND(Q17&lt;&gt;"",P17&gt;0,TODAY()&gt;Q17),TODAY()-Q17,0))</f>
        <v/>
      </c>
      <c r="S17" s="10" t="str">
        <f aca="false">IF(A17="","",IF(N17=0,"Chưa có tiền hàng",IF(P17&lt;0,"Thu thừa",IF(P17=0,"Đã thu đủ",IF(O17&gt;0,"Thu một phần","Chưa thu")))))</f>
        <v/>
      </c>
      <c r="T17" s="10" t="str">
        <f aca="false">IF(A17="","",IF(AND(F17="Đã giao",H17&lt;&gt;"Đã xuất"),"Đã giao - CHƯA XUẤT HĐ",IF(AND(H17="Đã xuất",F17="Chưa giao"),"Đã xuất HĐ - chưa giao",IF(F17="","Chưa cập nhật giao hàng",IF(R17&gt;0,"Quá hạn "&amp;R17&amp;" ngày - đòi tiền",IF(P17&gt;0,"Chờ thu tiền",IF(P17&lt;0,"Kiểm tra thu thừa",IF(AND(F17="Đã giao",H17="Đã xuất"),"Hoàn tất","Theo dõi"))))))))</f>
        <v/>
      </c>
      <c r="U17" s="8"/>
    </row>
    <row r="18" customFormat="false" ht="15" hidden="false" customHeight="false" outlineLevel="0" collapsed="false">
      <c r="A18" s="8"/>
      <c r="B18" s="9"/>
      <c r="C18" s="8"/>
      <c r="D18" s="10" t="str">
        <f aca="false">IF(C18="","",IFERROR(VLOOKUP(C18,KhachHang!$A$2:$B$200,2,FALSE())&amp;"",""))</f>
        <v/>
      </c>
      <c r="E18" s="8"/>
      <c r="F18" s="8"/>
      <c r="G18" s="9"/>
      <c r="H18" s="8"/>
      <c r="I18" s="8"/>
      <c r="J18" s="9"/>
      <c r="K18" s="11" t="str">
        <f aca="false">IF(A18="","",SUMIFS(ChiTiet!$I$2:$I$2000,ChiTiet!$A$2:$A$2000,A18))</f>
        <v/>
      </c>
      <c r="L18" s="12"/>
      <c r="M18" s="11" t="str">
        <f aca="false">IF(A18="","",ROUND(K18*IF(L18="",0.08,L18),0))</f>
        <v/>
      </c>
      <c r="N18" s="11" t="str">
        <f aca="false">IF(A18="","",K18+M18)</f>
        <v/>
      </c>
      <c r="O18" s="11" t="str">
        <f aca="false">IF(A18="","",SUMIFS(ThuTien!$D$2:$D$2000,ThuTien!$B$2:$B$2000,A18))</f>
        <v/>
      </c>
      <c r="P18" s="11" t="str">
        <f aca="false">IF(A18="","",N18-O18)</f>
        <v/>
      </c>
      <c r="Q18" s="9"/>
      <c r="R18" s="10" t="str">
        <f aca="true">IF(A18="","",IF(AND(Q18&lt;&gt;"",P18&gt;0,TODAY()&gt;Q18),TODAY()-Q18,0))</f>
        <v/>
      </c>
      <c r="S18" s="10" t="str">
        <f aca="false">IF(A18="","",IF(N18=0,"Chưa có tiền hàng",IF(P18&lt;0,"Thu thừa",IF(P18=0,"Đã thu đủ",IF(O18&gt;0,"Thu một phần","Chưa thu")))))</f>
        <v/>
      </c>
      <c r="T18" s="10" t="str">
        <f aca="false">IF(A18="","",IF(AND(F18="Đã giao",H18&lt;&gt;"Đã xuất"),"Đã giao - CHƯA XUẤT HĐ",IF(AND(H18="Đã xuất",F18="Chưa giao"),"Đã xuất HĐ - chưa giao",IF(F18="","Chưa cập nhật giao hàng",IF(R18&gt;0,"Quá hạn "&amp;R18&amp;" ngày - đòi tiền",IF(P18&gt;0,"Chờ thu tiền",IF(P18&lt;0,"Kiểm tra thu thừa",IF(AND(F18="Đã giao",H18="Đã xuất"),"Hoàn tất","Theo dõi"))))))))</f>
        <v/>
      </c>
      <c r="U18" s="8"/>
    </row>
    <row r="19" customFormat="false" ht="15" hidden="false" customHeight="false" outlineLevel="0" collapsed="false">
      <c r="A19" s="8"/>
      <c r="B19" s="9"/>
      <c r="C19" s="8"/>
      <c r="D19" s="10" t="str">
        <f aca="false">IF(C19="","",IFERROR(VLOOKUP(C19,KhachHang!$A$2:$B$200,2,FALSE())&amp;"",""))</f>
        <v/>
      </c>
      <c r="E19" s="8"/>
      <c r="F19" s="8"/>
      <c r="G19" s="9"/>
      <c r="H19" s="8"/>
      <c r="I19" s="8"/>
      <c r="J19" s="9"/>
      <c r="K19" s="11" t="str">
        <f aca="false">IF(A19="","",SUMIFS(ChiTiet!$I$2:$I$2000,ChiTiet!$A$2:$A$2000,A19))</f>
        <v/>
      </c>
      <c r="L19" s="12"/>
      <c r="M19" s="11" t="str">
        <f aca="false">IF(A19="","",ROUND(K19*IF(L19="",0.08,L19),0))</f>
        <v/>
      </c>
      <c r="N19" s="11" t="str">
        <f aca="false">IF(A19="","",K19+M19)</f>
        <v/>
      </c>
      <c r="O19" s="11" t="str">
        <f aca="false">IF(A19="","",SUMIFS(ThuTien!$D$2:$D$2000,ThuTien!$B$2:$B$2000,A19))</f>
        <v/>
      </c>
      <c r="P19" s="11" t="str">
        <f aca="false">IF(A19="","",N19-O19)</f>
        <v/>
      </c>
      <c r="Q19" s="9"/>
      <c r="R19" s="10" t="str">
        <f aca="true">IF(A19="","",IF(AND(Q19&lt;&gt;"",P19&gt;0,TODAY()&gt;Q19),TODAY()-Q19,0))</f>
        <v/>
      </c>
      <c r="S19" s="10" t="str">
        <f aca="false">IF(A19="","",IF(N19=0,"Chưa có tiền hàng",IF(P19&lt;0,"Thu thừa",IF(P19=0,"Đã thu đủ",IF(O19&gt;0,"Thu một phần","Chưa thu")))))</f>
        <v/>
      </c>
      <c r="T19" s="10" t="str">
        <f aca="false">IF(A19="","",IF(AND(F19="Đã giao",H19&lt;&gt;"Đã xuất"),"Đã giao - CHƯA XUẤT HĐ",IF(AND(H19="Đã xuất",F19="Chưa giao"),"Đã xuất HĐ - chưa giao",IF(F19="","Chưa cập nhật giao hàng",IF(R19&gt;0,"Quá hạn "&amp;R19&amp;" ngày - đòi tiền",IF(P19&gt;0,"Chờ thu tiền",IF(P19&lt;0,"Kiểm tra thu thừa",IF(AND(F19="Đã giao",H19="Đã xuất"),"Hoàn tất","Theo dõi"))))))))</f>
        <v/>
      </c>
      <c r="U19" s="8"/>
    </row>
    <row r="20" customFormat="false" ht="15" hidden="false" customHeight="false" outlineLevel="0" collapsed="false">
      <c r="A20" s="8"/>
      <c r="B20" s="9"/>
      <c r="C20" s="8"/>
      <c r="D20" s="10" t="str">
        <f aca="false">IF(C20="","",IFERROR(VLOOKUP(C20,KhachHang!$A$2:$B$200,2,FALSE())&amp;"",""))</f>
        <v/>
      </c>
      <c r="E20" s="8"/>
      <c r="F20" s="8"/>
      <c r="G20" s="9"/>
      <c r="H20" s="8"/>
      <c r="I20" s="8"/>
      <c r="J20" s="9"/>
      <c r="K20" s="11" t="str">
        <f aca="false">IF(A20="","",SUMIFS(ChiTiet!$I$2:$I$2000,ChiTiet!$A$2:$A$2000,A20))</f>
        <v/>
      </c>
      <c r="L20" s="12"/>
      <c r="M20" s="11" t="str">
        <f aca="false">IF(A20="","",ROUND(K20*IF(L20="",0.08,L20),0))</f>
        <v/>
      </c>
      <c r="N20" s="11" t="str">
        <f aca="false">IF(A20="","",K20+M20)</f>
        <v/>
      </c>
      <c r="O20" s="11" t="str">
        <f aca="false">IF(A20="","",SUMIFS(ThuTien!$D$2:$D$2000,ThuTien!$B$2:$B$2000,A20))</f>
        <v/>
      </c>
      <c r="P20" s="11" t="str">
        <f aca="false">IF(A20="","",N20-O20)</f>
        <v/>
      </c>
      <c r="Q20" s="9"/>
      <c r="R20" s="10" t="str">
        <f aca="true">IF(A20="","",IF(AND(Q20&lt;&gt;"",P20&gt;0,TODAY()&gt;Q20),TODAY()-Q20,0))</f>
        <v/>
      </c>
      <c r="S20" s="10" t="str">
        <f aca="false">IF(A20="","",IF(N20=0,"Chưa có tiền hàng",IF(P20&lt;0,"Thu thừa",IF(P20=0,"Đã thu đủ",IF(O20&gt;0,"Thu một phần","Chưa thu")))))</f>
        <v/>
      </c>
      <c r="T20" s="10" t="str">
        <f aca="false">IF(A20="","",IF(AND(F20="Đã giao",H20&lt;&gt;"Đã xuất"),"Đã giao - CHƯA XUẤT HĐ",IF(AND(H20="Đã xuất",F20="Chưa giao"),"Đã xuất HĐ - chưa giao",IF(F20="","Chưa cập nhật giao hàng",IF(R20&gt;0,"Quá hạn "&amp;R20&amp;" ngày - đòi tiền",IF(P20&gt;0,"Chờ thu tiền",IF(P20&lt;0,"Kiểm tra thu thừa",IF(AND(F20="Đã giao",H20="Đã xuất"),"Hoàn tất","Theo dõi"))))))))</f>
        <v/>
      </c>
      <c r="U20" s="8"/>
    </row>
    <row r="21" customFormat="false" ht="15" hidden="false" customHeight="false" outlineLevel="0" collapsed="false">
      <c r="A21" s="8"/>
      <c r="B21" s="9"/>
      <c r="C21" s="8"/>
      <c r="D21" s="10" t="str">
        <f aca="false">IF(C21="","",IFERROR(VLOOKUP(C21,KhachHang!$A$2:$B$200,2,FALSE())&amp;"",""))</f>
        <v/>
      </c>
      <c r="E21" s="8"/>
      <c r="F21" s="8"/>
      <c r="G21" s="9"/>
      <c r="H21" s="8"/>
      <c r="I21" s="8"/>
      <c r="J21" s="9"/>
      <c r="K21" s="11" t="str">
        <f aca="false">IF(A21="","",SUMIFS(ChiTiet!$I$2:$I$2000,ChiTiet!$A$2:$A$2000,A21))</f>
        <v/>
      </c>
      <c r="L21" s="12"/>
      <c r="M21" s="11" t="str">
        <f aca="false">IF(A21="","",ROUND(K21*IF(L21="",0.08,L21),0))</f>
        <v/>
      </c>
      <c r="N21" s="11" t="str">
        <f aca="false">IF(A21="","",K21+M21)</f>
        <v/>
      </c>
      <c r="O21" s="11" t="str">
        <f aca="false">IF(A21="","",SUMIFS(ThuTien!$D$2:$D$2000,ThuTien!$B$2:$B$2000,A21))</f>
        <v/>
      </c>
      <c r="P21" s="11" t="str">
        <f aca="false">IF(A21="","",N21-O21)</f>
        <v/>
      </c>
      <c r="Q21" s="9"/>
      <c r="R21" s="10" t="str">
        <f aca="true">IF(A21="","",IF(AND(Q21&lt;&gt;"",P21&gt;0,TODAY()&gt;Q21),TODAY()-Q21,0))</f>
        <v/>
      </c>
      <c r="S21" s="10" t="str">
        <f aca="false">IF(A21="","",IF(N21=0,"Chưa có tiền hàng",IF(P21&lt;0,"Thu thừa",IF(P21=0,"Đã thu đủ",IF(O21&gt;0,"Thu một phần","Chưa thu")))))</f>
        <v/>
      </c>
      <c r="T21" s="10" t="str">
        <f aca="false">IF(A21="","",IF(AND(F21="Đã giao",H21&lt;&gt;"Đã xuất"),"Đã giao - CHƯA XUẤT HĐ",IF(AND(H21="Đã xuất",F21="Chưa giao"),"Đã xuất HĐ - chưa giao",IF(F21="","Chưa cập nhật giao hàng",IF(R21&gt;0,"Quá hạn "&amp;R21&amp;" ngày - đòi tiền",IF(P21&gt;0,"Chờ thu tiền",IF(P21&lt;0,"Kiểm tra thu thừa",IF(AND(F21="Đã giao",H21="Đã xuất"),"Hoàn tất","Theo dõi"))))))))</f>
        <v/>
      </c>
      <c r="U21" s="8"/>
    </row>
    <row r="22" customFormat="false" ht="15" hidden="false" customHeight="false" outlineLevel="0" collapsed="false">
      <c r="A22" s="8"/>
      <c r="B22" s="9"/>
      <c r="C22" s="8"/>
      <c r="D22" s="10" t="str">
        <f aca="false">IF(C22="","",IFERROR(VLOOKUP(C22,KhachHang!$A$2:$B$200,2,FALSE())&amp;"",""))</f>
        <v/>
      </c>
      <c r="E22" s="8"/>
      <c r="F22" s="8"/>
      <c r="G22" s="9"/>
      <c r="H22" s="8"/>
      <c r="I22" s="8"/>
      <c r="J22" s="9"/>
      <c r="K22" s="11" t="str">
        <f aca="false">IF(A22="","",SUMIFS(ChiTiet!$I$2:$I$2000,ChiTiet!$A$2:$A$2000,A22))</f>
        <v/>
      </c>
      <c r="L22" s="12"/>
      <c r="M22" s="11" t="str">
        <f aca="false">IF(A22="","",ROUND(K22*IF(L22="",0.08,L22),0))</f>
        <v/>
      </c>
      <c r="N22" s="11" t="str">
        <f aca="false">IF(A22="","",K22+M22)</f>
        <v/>
      </c>
      <c r="O22" s="11" t="str">
        <f aca="false">IF(A22="","",SUMIFS(ThuTien!$D$2:$D$2000,ThuTien!$B$2:$B$2000,A22))</f>
        <v/>
      </c>
      <c r="P22" s="11" t="str">
        <f aca="false">IF(A22="","",N22-O22)</f>
        <v/>
      </c>
      <c r="Q22" s="9"/>
      <c r="R22" s="10" t="str">
        <f aca="true">IF(A22="","",IF(AND(Q22&lt;&gt;"",P22&gt;0,TODAY()&gt;Q22),TODAY()-Q22,0))</f>
        <v/>
      </c>
      <c r="S22" s="10" t="str">
        <f aca="false">IF(A22="","",IF(N22=0,"Chưa có tiền hàng",IF(P22&lt;0,"Thu thừa",IF(P22=0,"Đã thu đủ",IF(O22&gt;0,"Thu một phần","Chưa thu")))))</f>
        <v/>
      </c>
      <c r="T22" s="10" t="str">
        <f aca="false">IF(A22="","",IF(AND(F22="Đã giao",H22&lt;&gt;"Đã xuất"),"Đã giao - CHƯA XUẤT HĐ",IF(AND(H22="Đã xuất",F22="Chưa giao"),"Đã xuất HĐ - chưa giao",IF(F22="","Chưa cập nhật giao hàng",IF(R22&gt;0,"Quá hạn "&amp;R22&amp;" ngày - đòi tiền",IF(P22&gt;0,"Chờ thu tiền",IF(P22&lt;0,"Kiểm tra thu thừa",IF(AND(F22="Đã giao",H22="Đã xuất"),"Hoàn tất","Theo dõi"))))))))</f>
        <v/>
      </c>
      <c r="U22" s="8"/>
    </row>
    <row r="23" customFormat="false" ht="15" hidden="false" customHeight="false" outlineLevel="0" collapsed="false">
      <c r="A23" s="8"/>
      <c r="B23" s="9"/>
      <c r="C23" s="8"/>
      <c r="D23" s="10" t="str">
        <f aca="false">IF(C23="","",IFERROR(VLOOKUP(C23,KhachHang!$A$2:$B$200,2,FALSE())&amp;"",""))</f>
        <v/>
      </c>
      <c r="E23" s="8"/>
      <c r="F23" s="8"/>
      <c r="G23" s="9"/>
      <c r="H23" s="8"/>
      <c r="I23" s="8"/>
      <c r="J23" s="9"/>
      <c r="K23" s="11" t="str">
        <f aca="false">IF(A23="","",SUMIFS(ChiTiet!$I$2:$I$2000,ChiTiet!$A$2:$A$2000,A23))</f>
        <v/>
      </c>
      <c r="L23" s="12"/>
      <c r="M23" s="11" t="str">
        <f aca="false">IF(A23="","",ROUND(K23*IF(L23="",0.08,L23),0))</f>
        <v/>
      </c>
      <c r="N23" s="11" t="str">
        <f aca="false">IF(A23="","",K23+M23)</f>
        <v/>
      </c>
      <c r="O23" s="11" t="str">
        <f aca="false">IF(A23="","",SUMIFS(ThuTien!$D$2:$D$2000,ThuTien!$B$2:$B$2000,A23))</f>
        <v/>
      </c>
      <c r="P23" s="11" t="str">
        <f aca="false">IF(A23="","",N23-O23)</f>
        <v/>
      </c>
      <c r="Q23" s="9"/>
      <c r="R23" s="10" t="str">
        <f aca="true">IF(A23="","",IF(AND(Q23&lt;&gt;"",P23&gt;0,TODAY()&gt;Q23),TODAY()-Q23,0))</f>
        <v/>
      </c>
      <c r="S23" s="10" t="str">
        <f aca="false">IF(A23="","",IF(N23=0,"Chưa có tiền hàng",IF(P23&lt;0,"Thu thừa",IF(P23=0,"Đã thu đủ",IF(O23&gt;0,"Thu một phần","Chưa thu")))))</f>
        <v/>
      </c>
      <c r="T23" s="10" t="str">
        <f aca="false">IF(A23="","",IF(AND(F23="Đã giao",H23&lt;&gt;"Đã xuất"),"Đã giao - CHƯA XUẤT HĐ",IF(AND(H23="Đã xuất",F23="Chưa giao"),"Đã xuất HĐ - chưa giao",IF(F23="","Chưa cập nhật giao hàng",IF(R23&gt;0,"Quá hạn "&amp;R23&amp;" ngày - đòi tiền",IF(P23&gt;0,"Chờ thu tiền",IF(P23&lt;0,"Kiểm tra thu thừa",IF(AND(F23="Đã giao",H23="Đã xuất"),"Hoàn tất","Theo dõi"))))))))</f>
        <v/>
      </c>
      <c r="U23" s="8"/>
    </row>
    <row r="24" customFormat="false" ht="15" hidden="false" customHeight="false" outlineLevel="0" collapsed="false">
      <c r="A24" s="8"/>
      <c r="B24" s="9"/>
      <c r="C24" s="8"/>
      <c r="D24" s="10" t="str">
        <f aca="false">IF(C24="","",IFERROR(VLOOKUP(C24,KhachHang!$A$2:$B$200,2,FALSE())&amp;"",""))</f>
        <v/>
      </c>
      <c r="E24" s="8"/>
      <c r="F24" s="8"/>
      <c r="G24" s="9"/>
      <c r="H24" s="8"/>
      <c r="I24" s="8"/>
      <c r="J24" s="9"/>
      <c r="K24" s="11" t="str">
        <f aca="false">IF(A24="","",SUMIFS(ChiTiet!$I$2:$I$2000,ChiTiet!$A$2:$A$2000,A24))</f>
        <v/>
      </c>
      <c r="L24" s="12"/>
      <c r="M24" s="11" t="str">
        <f aca="false">IF(A24="","",ROUND(K24*IF(L24="",0.08,L24),0))</f>
        <v/>
      </c>
      <c r="N24" s="11" t="str">
        <f aca="false">IF(A24="","",K24+M24)</f>
        <v/>
      </c>
      <c r="O24" s="11" t="str">
        <f aca="false">IF(A24="","",SUMIFS(ThuTien!$D$2:$D$2000,ThuTien!$B$2:$B$2000,A24))</f>
        <v/>
      </c>
      <c r="P24" s="11" t="str">
        <f aca="false">IF(A24="","",N24-O24)</f>
        <v/>
      </c>
      <c r="Q24" s="9"/>
      <c r="R24" s="10" t="str">
        <f aca="true">IF(A24="","",IF(AND(Q24&lt;&gt;"",P24&gt;0,TODAY()&gt;Q24),TODAY()-Q24,0))</f>
        <v/>
      </c>
      <c r="S24" s="10" t="str">
        <f aca="false">IF(A24="","",IF(N24=0,"Chưa có tiền hàng",IF(P24&lt;0,"Thu thừa",IF(P24=0,"Đã thu đủ",IF(O24&gt;0,"Thu một phần","Chưa thu")))))</f>
        <v/>
      </c>
      <c r="T24" s="10" t="str">
        <f aca="false">IF(A24="","",IF(AND(F24="Đã giao",H24&lt;&gt;"Đã xuất"),"Đã giao - CHƯA XUẤT HĐ",IF(AND(H24="Đã xuất",F24="Chưa giao"),"Đã xuất HĐ - chưa giao",IF(F24="","Chưa cập nhật giao hàng",IF(R24&gt;0,"Quá hạn "&amp;R24&amp;" ngày - đòi tiền",IF(P24&gt;0,"Chờ thu tiền",IF(P24&lt;0,"Kiểm tra thu thừa",IF(AND(F24="Đã giao",H24="Đã xuất"),"Hoàn tất","Theo dõi"))))))))</f>
        <v/>
      </c>
      <c r="U24" s="8"/>
    </row>
    <row r="25" customFormat="false" ht="15" hidden="false" customHeight="false" outlineLevel="0" collapsed="false">
      <c r="A25" s="8"/>
      <c r="B25" s="9"/>
      <c r="C25" s="8"/>
      <c r="D25" s="10" t="str">
        <f aca="false">IF(C25="","",IFERROR(VLOOKUP(C25,KhachHang!$A$2:$B$200,2,FALSE())&amp;"",""))</f>
        <v/>
      </c>
      <c r="E25" s="8"/>
      <c r="F25" s="8"/>
      <c r="G25" s="9"/>
      <c r="H25" s="8"/>
      <c r="I25" s="8"/>
      <c r="J25" s="9"/>
      <c r="K25" s="11" t="str">
        <f aca="false">IF(A25="","",SUMIFS(ChiTiet!$I$2:$I$2000,ChiTiet!$A$2:$A$2000,A25))</f>
        <v/>
      </c>
      <c r="L25" s="12"/>
      <c r="M25" s="11" t="str">
        <f aca="false">IF(A25="","",ROUND(K25*IF(L25="",0.08,L25),0))</f>
        <v/>
      </c>
      <c r="N25" s="11" t="str">
        <f aca="false">IF(A25="","",K25+M25)</f>
        <v/>
      </c>
      <c r="O25" s="11" t="str">
        <f aca="false">IF(A25="","",SUMIFS(ThuTien!$D$2:$D$2000,ThuTien!$B$2:$B$2000,A25))</f>
        <v/>
      </c>
      <c r="P25" s="11" t="str">
        <f aca="false">IF(A25="","",N25-O25)</f>
        <v/>
      </c>
      <c r="Q25" s="9"/>
      <c r="R25" s="10" t="str">
        <f aca="true">IF(A25="","",IF(AND(Q25&lt;&gt;"",P25&gt;0,TODAY()&gt;Q25),TODAY()-Q25,0))</f>
        <v/>
      </c>
      <c r="S25" s="10" t="str">
        <f aca="false">IF(A25="","",IF(N25=0,"Chưa có tiền hàng",IF(P25&lt;0,"Thu thừa",IF(P25=0,"Đã thu đủ",IF(O25&gt;0,"Thu một phần","Chưa thu")))))</f>
        <v/>
      </c>
      <c r="T25" s="10" t="str">
        <f aca="false">IF(A25="","",IF(AND(F25="Đã giao",H25&lt;&gt;"Đã xuất"),"Đã giao - CHƯA XUẤT HĐ",IF(AND(H25="Đã xuất",F25="Chưa giao"),"Đã xuất HĐ - chưa giao",IF(F25="","Chưa cập nhật giao hàng",IF(R25&gt;0,"Quá hạn "&amp;R25&amp;" ngày - đòi tiền",IF(P25&gt;0,"Chờ thu tiền",IF(P25&lt;0,"Kiểm tra thu thừa",IF(AND(F25="Đã giao",H25="Đã xuất"),"Hoàn tất","Theo dõi"))))))))</f>
        <v/>
      </c>
      <c r="U25" s="8"/>
    </row>
    <row r="26" customFormat="false" ht="15" hidden="false" customHeight="false" outlineLevel="0" collapsed="false">
      <c r="A26" s="8"/>
      <c r="B26" s="9"/>
      <c r="C26" s="8"/>
      <c r="D26" s="10" t="str">
        <f aca="false">IF(C26="","",IFERROR(VLOOKUP(C26,KhachHang!$A$2:$B$200,2,FALSE())&amp;"",""))</f>
        <v/>
      </c>
      <c r="E26" s="8"/>
      <c r="F26" s="8"/>
      <c r="G26" s="9"/>
      <c r="H26" s="8"/>
      <c r="I26" s="8"/>
      <c r="J26" s="9"/>
      <c r="K26" s="11" t="str">
        <f aca="false">IF(A26="","",SUMIFS(ChiTiet!$I$2:$I$2000,ChiTiet!$A$2:$A$2000,A26))</f>
        <v/>
      </c>
      <c r="L26" s="12"/>
      <c r="M26" s="11" t="str">
        <f aca="false">IF(A26="","",ROUND(K26*IF(L26="",0.08,L26),0))</f>
        <v/>
      </c>
      <c r="N26" s="11" t="str">
        <f aca="false">IF(A26="","",K26+M26)</f>
        <v/>
      </c>
      <c r="O26" s="11" t="str">
        <f aca="false">IF(A26="","",SUMIFS(ThuTien!$D$2:$D$2000,ThuTien!$B$2:$B$2000,A26))</f>
        <v/>
      </c>
      <c r="P26" s="11" t="str">
        <f aca="false">IF(A26="","",N26-O26)</f>
        <v/>
      </c>
      <c r="Q26" s="9"/>
      <c r="R26" s="10" t="str">
        <f aca="true">IF(A26="","",IF(AND(Q26&lt;&gt;"",P26&gt;0,TODAY()&gt;Q26),TODAY()-Q26,0))</f>
        <v/>
      </c>
      <c r="S26" s="10" t="str">
        <f aca="false">IF(A26="","",IF(N26=0,"Chưa có tiền hàng",IF(P26&lt;0,"Thu thừa",IF(P26=0,"Đã thu đủ",IF(O26&gt;0,"Thu một phần","Chưa thu")))))</f>
        <v/>
      </c>
      <c r="T26" s="10" t="str">
        <f aca="false">IF(A26="","",IF(AND(F26="Đã giao",H26&lt;&gt;"Đã xuất"),"Đã giao - CHƯA XUẤT HĐ",IF(AND(H26="Đã xuất",F26="Chưa giao"),"Đã xuất HĐ - chưa giao",IF(F26="","Chưa cập nhật giao hàng",IF(R26&gt;0,"Quá hạn "&amp;R26&amp;" ngày - đòi tiền",IF(P26&gt;0,"Chờ thu tiền",IF(P26&lt;0,"Kiểm tra thu thừa",IF(AND(F26="Đã giao",H26="Đã xuất"),"Hoàn tất","Theo dõi"))))))))</f>
        <v/>
      </c>
      <c r="U26" s="8"/>
    </row>
    <row r="27" customFormat="false" ht="15" hidden="false" customHeight="false" outlineLevel="0" collapsed="false">
      <c r="A27" s="8"/>
      <c r="B27" s="9"/>
      <c r="C27" s="8"/>
      <c r="D27" s="10" t="str">
        <f aca="false">IF(C27="","",IFERROR(VLOOKUP(C27,KhachHang!$A$2:$B$200,2,FALSE())&amp;"",""))</f>
        <v/>
      </c>
      <c r="E27" s="8"/>
      <c r="F27" s="8"/>
      <c r="G27" s="9"/>
      <c r="H27" s="8"/>
      <c r="I27" s="8"/>
      <c r="J27" s="9"/>
      <c r="K27" s="11" t="str">
        <f aca="false">IF(A27="","",SUMIFS(ChiTiet!$I$2:$I$2000,ChiTiet!$A$2:$A$2000,A27))</f>
        <v/>
      </c>
      <c r="L27" s="12"/>
      <c r="M27" s="11" t="str">
        <f aca="false">IF(A27="","",ROUND(K27*IF(L27="",0.08,L27),0))</f>
        <v/>
      </c>
      <c r="N27" s="11" t="str">
        <f aca="false">IF(A27="","",K27+M27)</f>
        <v/>
      </c>
      <c r="O27" s="11" t="str">
        <f aca="false">IF(A27="","",SUMIFS(ThuTien!$D$2:$D$2000,ThuTien!$B$2:$B$2000,A27))</f>
        <v/>
      </c>
      <c r="P27" s="11" t="str">
        <f aca="false">IF(A27="","",N27-O27)</f>
        <v/>
      </c>
      <c r="Q27" s="9"/>
      <c r="R27" s="10" t="str">
        <f aca="true">IF(A27="","",IF(AND(Q27&lt;&gt;"",P27&gt;0,TODAY()&gt;Q27),TODAY()-Q27,0))</f>
        <v/>
      </c>
      <c r="S27" s="10" t="str">
        <f aca="false">IF(A27="","",IF(N27=0,"Chưa có tiền hàng",IF(P27&lt;0,"Thu thừa",IF(P27=0,"Đã thu đủ",IF(O27&gt;0,"Thu một phần","Chưa thu")))))</f>
        <v/>
      </c>
      <c r="T27" s="10" t="str">
        <f aca="false">IF(A27="","",IF(AND(F27="Đã giao",H27&lt;&gt;"Đã xuất"),"Đã giao - CHƯA XUẤT HĐ",IF(AND(H27="Đã xuất",F27="Chưa giao"),"Đã xuất HĐ - chưa giao",IF(F27="","Chưa cập nhật giao hàng",IF(R27&gt;0,"Quá hạn "&amp;R27&amp;" ngày - đòi tiền",IF(P27&gt;0,"Chờ thu tiền",IF(P27&lt;0,"Kiểm tra thu thừa",IF(AND(F27="Đã giao",H27="Đã xuất"),"Hoàn tất","Theo dõi"))))))))</f>
        <v/>
      </c>
      <c r="U27" s="8"/>
    </row>
    <row r="28" customFormat="false" ht="15" hidden="false" customHeight="false" outlineLevel="0" collapsed="false">
      <c r="A28" s="8"/>
      <c r="B28" s="9"/>
      <c r="C28" s="8"/>
      <c r="D28" s="10" t="str">
        <f aca="false">IF(C28="","",IFERROR(VLOOKUP(C28,KhachHang!$A$2:$B$200,2,FALSE())&amp;"",""))</f>
        <v/>
      </c>
      <c r="E28" s="8"/>
      <c r="F28" s="8"/>
      <c r="G28" s="9"/>
      <c r="H28" s="8"/>
      <c r="I28" s="8"/>
      <c r="J28" s="9"/>
      <c r="K28" s="11" t="str">
        <f aca="false">IF(A28="","",SUMIFS(ChiTiet!$I$2:$I$2000,ChiTiet!$A$2:$A$2000,A28))</f>
        <v/>
      </c>
      <c r="L28" s="12"/>
      <c r="M28" s="11" t="str">
        <f aca="false">IF(A28="","",ROUND(K28*IF(L28="",0.08,L28),0))</f>
        <v/>
      </c>
      <c r="N28" s="11" t="str">
        <f aca="false">IF(A28="","",K28+M28)</f>
        <v/>
      </c>
      <c r="O28" s="11" t="str">
        <f aca="false">IF(A28="","",SUMIFS(ThuTien!$D$2:$D$2000,ThuTien!$B$2:$B$2000,A28))</f>
        <v/>
      </c>
      <c r="P28" s="11" t="str">
        <f aca="false">IF(A28="","",N28-O28)</f>
        <v/>
      </c>
      <c r="Q28" s="9"/>
      <c r="R28" s="10" t="str">
        <f aca="true">IF(A28="","",IF(AND(Q28&lt;&gt;"",P28&gt;0,TODAY()&gt;Q28),TODAY()-Q28,0))</f>
        <v/>
      </c>
      <c r="S28" s="10" t="str">
        <f aca="false">IF(A28="","",IF(N28=0,"Chưa có tiền hàng",IF(P28&lt;0,"Thu thừa",IF(P28=0,"Đã thu đủ",IF(O28&gt;0,"Thu một phần","Chưa thu")))))</f>
        <v/>
      </c>
      <c r="T28" s="10" t="str">
        <f aca="false">IF(A28="","",IF(AND(F28="Đã giao",H28&lt;&gt;"Đã xuất"),"Đã giao - CHƯA XUẤT HĐ",IF(AND(H28="Đã xuất",F28="Chưa giao"),"Đã xuất HĐ - chưa giao",IF(F28="","Chưa cập nhật giao hàng",IF(R28&gt;0,"Quá hạn "&amp;R28&amp;" ngày - đòi tiền",IF(P28&gt;0,"Chờ thu tiền",IF(P28&lt;0,"Kiểm tra thu thừa",IF(AND(F28="Đã giao",H28="Đã xuất"),"Hoàn tất","Theo dõi"))))))))</f>
        <v/>
      </c>
      <c r="U28" s="8"/>
    </row>
    <row r="29" customFormat="false" ht="15" hidden="false" customHeight="false" outlineLevel="0" collapsed="false">
      <c r="A29" s="8"/>
      <c r="B29" s="9"/>
      <c r="C29" s="8"/>
      <c r="D29" s="10" t="str">
        <f aca="false">IF(C29="","",IFERROR(VLOOKUP(C29,KhachHang!$A$2:$B$200,2,FALSE())&amp;"",""))</f>
        <v/>
      </c>
      <c r="E29" s="8"/>
      <c r="F29" s="8"/>
      <c r="G29" s="9"/>
      <c r="H29" s="8"/>
      <c r="I29" s="8"/>
      <c r="J29" s="9"/>
      <c r="K29" s="11" t="str">
        <f aca="false">IF(A29="","",SUMIFS(ChiTiet!$I$2:$I$2000,ChiTiet!$A$2:$A$2000,A29))</f>
        <v/>
      </c>
      <c r="L29" s="12"/>
      <c r="M29" s="11" t="str">
        <f aca="false">IF(A29="","",ROUND(K29*IF(L29="",0.08,L29),0))</f>
        <v/>
      </c>
      <c r="N29" s="11" t="str">
        <f aca="false">IF(A29="","",K29+M29)</f>
        <v/>
      </c>
      <c r="O29" s="11" t="str">
        <f aca="false">IF(A29="","",SUMIFS(ThuTien!$D$2:$D$2000,ThuTien!$B$2:$B$2000,A29))</f>
        <v/>
      </c>
      <c r="P29" s="11" t="str">
        <f aca="false">IF(A29="","",N29-O29)</f>
        <v/>
      </c>
      <c r="Q29" s="9"/>
      <c r="R29" s="10" t="str">
        <f aca="true">IF(A29="","",IF(AND(Q29&lt;&gt;"",P29&gt;0,TODAY()&gt;Q29),TODAY()-Q29,0))</f>
        <v/>
      </c>
      <c r="S29" s="10" t="str">
        <f aca="false">IF(A29="","",IF(N29=0,"Chưa có tiền hàng",IF(P29&lt;0,"Thu thừa",IF(P29=0,"Đã thu đủ",IF(O29&gt;0,"Thu một phần","Chưa thu")))))</f>
        <v/>
      </c>
      <c r="T29" s="10" t="str">
        <f aca="false">IF(A29="","",IF(AND(F29="Đã giao",H29&lt;&gt;"Đã xuất"),"Đã giao - CHƯA XUẤT HĐ",IF(AND(H29="Đã xuất",F29="Chưa giao"),"Đã xuất HĐ - chưa giao",IF(F29="","Chưa cập nhật giao hàng",IF(R29&gt;0,"Quá hạn "&amp;R29&amp;" ngày - đòi tiền",IF(P29&gt;0,"Chờ thu tiền",IF(P29&lt;0,"Kiểm tra thu thừa",IF(AND(F29="Đã giao",H29="Đã xuất"),"Hoàn tất","Theo dõi"))))))))</f>
        <v/>
      </c>
      <c r="U29" s="8"/>
    </row>
    <row r="30" customFormat="false" ht="15" hidden="false" customHeight="false" outlineLevel="0" collapsed="false">
      <c r="A30" s="8"/>
      <c r="B30" s="9"/>
      <c r="C30" s="8"/>
      <c r="D30" s="10" t="str">
        <f aca="false">IF(C30="","",IFERROR(VLOOKUP(C30,KhachHang!$A$2:$B$200,2,FALSE())&amp;"",""))</f>
        <v/>
      </c>
      <c r="E30" s="8"/>
      <c r="F30" s="8"/>
      <c r="G30" s="9"/>
      <c r="H30" s="8"/>
      <c r="I30" s="8"/>
      <c r="J30" s="9"/>
      <c r="K30" s="11" t="str">
        <f aca="false">IF(A30="","",SUMIFS(ChiTiet!$I$2:$I$2000,ChiTiet!$A$2:$A$2000,A30))</f>
        <v/>
      </c>
      <c r="L30" s="12"/>
      <c r="M30" s="11" t="str">
        <f aca="false">IF(A30="","",ROUND(K30*IF(L30="",0.08,L30),0))</f>
        <v/>
      </c>
      <c r="N30" s="11" t="str">
        <f aca="false">IF(A30="","",K30+M30)</f>
        <v/>
      </c>
      <c r="O30" s="11" t="str">
        <f aca="false">IF(A30="","",SUMIFS(ThuTien!$D$2:$D$2000,ThuTien!$B$2:$B$2000,A30))</f>
        <v/>
      </c>
      <c r="P30" s="11" t="str">
        <f aca="false">IF(A30="","",N30-O30)</f>
        <v/>
      </c>
      <c r="Q30" s="9"/>
      <c r="R30" s="10" t="str">
        <f aca="true">IF(A30="","",IF(AND(Q30&lt;&gt;"",P30&gt;0,TODAY()&gt;Q30),TODAY()-Q30,0))</f>
        <v/>
      </c>
      <c r="S30" s="10" t="str">
        <f aca="false">IF(A30="","",IF(N30=0,"Chưa có tiền hàng",IF(P30&lt;0,"Thu thừa",IF(P30=0,"Đã thu đủ",IF(O30&gt;0,"Thu một phần","Chưa thu")))))</f>
        <v/>
      </c>
      <c r="T30" s="10" t="str">
        <f aca="false">IF(A30="","",IF(AND(F30="Đã giao",H30&lt;&gt;"Đã xuất"),"Đã giao - CHƯA XUẤT HĐ",IF(AND(H30="Đã xuất",F30="Chưa giao"),"Đã xuất HĐ - chưa giao",IF(F30="","Chưa cập nhật giao hàng",IF(R30&gt;0,"Quá hạn "&amp;R30&amp;" ngày - đòi tiền",IF(P30&gt;0,"Chờ thu tiền",IF(P30&lt;0,"Kiểm tra thu thừa",IF(AND(F30="Đã giao",H30="Đã xuất"),"Hoàn tất","Theo dõi"))))))))</f>
        <v/>
      </c>
      <c r="U30" s="8"/>
    </row>
    <row r="31" customFormat="false" ht="15" hidden="false" customHeight="false" outlineLevel="0" collapsed="false">
      <c r="A31" s="8"/>
      <c r="B31" s="9"/>
      <c r="C31" s="8"/>
      <c r="D31" s="10" t="str">
        <f aca="false">IF(C31="","",IFERROR(VLOOKUP(C31,KhachHang!$A$2:$B$200,2,FALSE())&amp;"",""))</f>
        <v/>
      </c>
      <c r="E31" s="8"/>
      <c r="F31" s="8"/>
      <c r="G31" s="9"/>
      <c r="H31" s="8"/>
      <c r="I31" s="8"/>
      <c r="J31" s="9"/>
      <c r="K31" s="11" t="str">
        <f aca="false">IF(A31="","",SUMIFS(ChiTiet!$I$2:$I$2000,ChiTiet!$A$2:$A$2000,A31))</f>
        <v/>
      </c>
      <c r="L31" s="12"/>
      <c r="M31" s="11" t="str">
        <f aca="false">IF(A31="","",ROUND(K31*IF(L31="",0.08,L31),0))</f>
        <v/>
      </c>
      <c r="N31" s="11" t="str">
        <f aca="false">IF(A31="","",K31+M31)</f>
        <v/>
      </c>
      <c r="O31" s="11" t="str">
        <f aca="false">IF(A31="","",SUMIFS(ThuTien!$D$2:$D$2000,ThuTien!$B$2:$B$2000,A31))</f>
        <v/>
      </c>
      <c r="P31" s="11" t="str">
        <f aca="false">IF(A31="","",N31-O31)</f>
        <v/>
      </c>
      <c r="Q31" s="9"/>
      <c r="R31" s="10" t="str">
        <f aca="true">IF(A31="","",IF(AND(Q31&lt;&gt;"",P31&gt;0,TODAY()&gt;Q31),TODAY()-Q31,0))</f>
        <v/>
      </c>
      <c r="S31" s="10" t="str">
        <f aca="false">IF(A31="","",IF(N31=0,"Chưa có tiền hàng",IF(P31&lt;0,"Thu thừa",IF(P31=0,"Đã thu đủ",IF(O31&gt;0,"Thu một phần","Chưa thu")))))</f>
        <v/>
      </c>
      <c r="T31" s="10" t="str">
        <f aca="false">IF(A31="","",IF(AND(F31="Đã giao",H31&lt;&gt;"Đã xuất"),"Đã giao - CHƯA XUẤT HĐ",IF(AND(H31="Đã xuất",F31="Chưa giao"),"Đã xuất HĐ - chưa giao",IF(F31="","Chưa cập nhật giao hàng",IF(R31&gt;0,"Quá hạn "&amp;R31&amp;" ngày - đòi tiền",IF(P31&gt;0,"Chờ thu tiền",IF(P31&lt;0,"Kiểm tra thu thừa",IF(AND(F31="Đã giao",H31="Đã xuất"),"Hoàn tất","Theo dõi"))))))))</f>
        <v/>
      </c>
      <c r="U31" s="8"/>
    </row>
    <row r="32" customFormat="false" ht="15" hidden="false" customHeight="false" outlineLevel="0" collapsed="false">
      <c r="A32" s="8"/>
      <c r="B32" s="9"/>
      <c r="C32" s="8"/>
      <c r="D32" s="10" t="str">
        <f aca="false">IF(C32="","",IFERROR(VLOOKUP(C32,KhachHang!$A$2:$B$200,2,FALSE())&amp;"",""))</f>
        <v/>
      </c>
      <c r="E32" s="8"/>
      <c r="F32" s="8"/>
      <c r="G32" s="9"/>
      <c r="H32" s="8"/>
      <c r="I32" s="8"/>
      <c r="J32" s="9"/>
      <c r="K32" s="11" t="str">
        <f aca="false">IF(A32="","",SUMIFS(ChiTiet!$I$2:$I$2000,ChiTiet!$A$2:$A$2000,A32))</f>
        <v/>
      </c>
      <c r="L32" s="12"/>
      <c r="M32" s="11" t="str">
        <f aca="false">IF(A32="","",ROUND(K32*IF(L32="",0.08,L32),0))</f>
        <v/>
      </c>
      <c r="N32" s="11" t="str">
        <f aca="false">IF(A32="","",K32+M32)</f>
        <v/>
      </c>
      <c r="O32" s="11" t="str">
        <f aca="false">IF(A32="","",SUMIFS(ThuTien!$D$2:$D$2000,ThuTien!$B$2:$B$2000,A32))</f>
        <v/>
      </c>
      <c r="P32" s="11" t="str">
        <f aca="false">IF(A32="","",N32-O32)</f>
        <v/>
      </c>
      <c r="Q32" s="9"/>
      <c r="R32" s="10" t="str">
        <f aca="true">IF(A32="","",IF(AND(Q32&lt;&gt;"",P32&gt;0,TODAY()&gt;Q32),TODAY()-Q32,0))</f>
        <v/>
      </c>
      <c r="S32" s="10" t="str">
        <f aca="false">IF(A32="","",IF(N32=0,"Chưa có tiền hàng",IF(P32&lt;0,"Thu thừa",IF(P32=0,"Đã thu đủ",IF(O32&gt;0,"Thu một phần","Chưa thu")))))</f>
        <v/>
      </c>
      <c r="T32" s="10" t="str">
        <f aca="false">IF(A32="","",IF(AND(F32="Đã giao",H32&lt;&gt;"Đã xuất"),"Đã giao - CHƯA XUẤT HĐ",IF(AND(H32="Đã xuất",F32="Chưa giao"),"Đã xuất HĐ - chưa giao",IF(F32="","Chưa cập nhật giao hàng",IF(R32&gt;0,"Quá hạn "&amp;R32&amp;" ngày - đòi tiền",IF(P32&gt;0,"Chờ thu tiền",IF(P32&lt;0,"Kiểm tra thu thừa",IF(AND(F32="Đã giao",H32="Đã xuất"),"Hoàn tất","Theo dõi"))))))))</f>
        <v/>
      </c>
      <c r="U32" s="8"/>
    </row>
    <row r="33" customFormat="false" ht="15" hidden="false" customHeight="false" outlineLevel="0" collapsed="false">
      <c r="A33" s="8"/>
      <c r="B33" s="9"/>
      <c r="C33" s="8"/>
      <c r="D33" s="10" t="str">
        <f aca="false">IF(C33="","",IFERROR(VLOOKUP(C33,KhachHang!$A$2:$B$200,2,FALSE())&amp;"",""))</f>
        <v/>
      </c>
      <c r="E33" s="8"/>
      <c r="F33" s="8"/>
      <c r="G33" s="9"/>
      <c r="H33" s="8"/>
      <c r="I33" s="8"/>
      <c r="J33" s="9"/>
      <c r="K33" s="11" t="str">
        <f aca="false">IF(A33="","",SUMIFS(ChiTiet!$I$2:$I$2000,ChiTiet!$A$2:$A$2000,A33))</f>
        <v/>
      </c>
      <c r="L33" s="12"/>
      <c r="M33" s="11" t="str">
        <f aca="false">IF(A33="","",ROUND(K33*IF(L33="",0.08,L33),0))</f>
        <v/>
      </c>
      <c r="N33" s="11" t="str">
        <f aca="false">IF(A33="","",K33+M33)</f>
        <v/>
      </c>
      <c r="O33" s="11" t="str">
        <f aca="false">IF(A33="","",SUMIFS(ThuTien!$D$2:$D$2000,ThuTien!$B$2:$B$2000,A33))</f>
        <v/>
      </c>
      <c r="P33" s="11" t="str">
        <f aca="false">IF(A33="","",N33-O33)</f>
        <v/>
      </c>
      <c r="Q33" s="9"/>
      <c r="R33" s="10" t="str">
        <f aca="true">IF(A33="","",IF(AND(Q33&lt;&gt;"",P33&gt;0,TODAY()&gt;Q33),TODAY()-Q33,0))</f>
        <v/>
      </c>
      <c r="S33" s="10" t="str">
        <f aca="false">IF(A33="","",IF(N33=0,"Chưa có tiền hàng",IF(P33&lt;0,"Thu thừa",IF(P33=0,"Đã thu đủ",IF(O33&gt;0,"Thu một phần","Chưa thu")))))</f>
        <v/>
      </c>
      <c r="T33" s="10" t="str">
        <f aca="false">IF(A33="","",IF(AND(F33="Đã giao",H33&lt;&gt;"Đã xuất"),"Đã giao - CHƯA XUẤT HĐ",IF(AND(H33="Đã xuất",F33="Chưa giao"),"Đã xuất HĐ - chưa giao",IF(F33="","Chưa cập nhật giao hàng",IF(R33&gt;0,"Quá hạn "&amp;R33&amp;" ngày - đòi tiền",IF(P33&gt;0,"Chờ thu tiền",IF(P33&lt;0,"Kiểm tra thu thừa",IF(AND(F33="Đã giao",H33="Đã xuất"),"Hoàn tất","Theo dõi"))))))))</f>
        <v/>
      </c>
      <c r="U33" s="8"/>
    </row>
    <row r="34" customFormat="false" ht="15" hidden="false" customHeight="false" outlineLevel="0" collapsed="false">
      <c r="A34" s="8"/>
      <c r="B34" s="9"/>
      <c r="C34" s="8"/>
      <c r="D34" s="10" t="str">
        <f aca="false">IF(C34="","",IFERROR(VLOOKUP(C34,KhachHang!$A$2:$B$200,2,FALSE())&amp;"",""))</f>
        <v/>
      </c>
      <c r="E34" s="8"/>
      <c r="F34" s="8"/>
      <c r="G34" s="9"/>
      <c r="H34" s="8"/>
      <c r="I34" s="8"/>
      <c r="J34" s="9"/>
      <c r="K34" s="11" t="str">
        <f aca="false">IF(A34="","",SUMIFS(ChiTiet!$I$2:$I$2000,ChiTiet!$A$2:$A$2000,A34))</f>
        <v/>
      </c>
      <c r="L34" s="12"/>
      <c r="M34" s="11" t="str">
        <f aca="false">IF(A34="","",ROUND(K34*IF(L34="",0.08,L34),0))</f>
        <v/>
      </c>
      <c r="N34" s="11" t="str">
        <f aca="false">IF(A34="","",K34+M34)</f>
        <v/>
      </c>
      <c r="O34" s="11" t="str">
        <f aca="false">IF(A34="","",SUMIFS(ThuTien!$D$2:$D$2000,ThuTien!$B$2:$B$2000,A34))</f>
        <v/>
      </c>
      <c r="P34" s="11" t="str">
        <f aca="false">IF(A34="","",N34-O34)</f>
        <v/>
      </c>
      <c r="Q34" s="9"/>
      <c r="R34" s="10" t="str">
        <f aca="true">IF(A34="","",IF(AND(Q34&lt;&gt;"",P34&gt;0,TODAY()&gt;Q34),TODAY()-Q34,0))</f>
        <v/>
      </c>
      <c r="S34" s="10" t="str">
        <f aca="false">IF(A34="","",IF(N34=0,"Chưa có tiền hàng",IF(P34&lt;0,"Thu thừa",IF(P34=0,"Đã thu đủ",IF(O34&gt;0,"Thu một phần","Chưa thu")))))</f>
        <v/>
      </c>
      <c r="T34" s="10" t="str">
        <f aca="false">IF(A34="","",IF(AND(F34="Đã giao",H34&lt;&gt;"Đã xuất"),"Đã giao - CHƯA XUẤT HĐ",IF(AND(H34="Đã xuất",F34="Chưa giao"),"Đã xuất HĐ - chưa giao",IF(F34="","Chưa cập nhật giao hàng",IF(R34&gt;0,"Quá hạn "&amp;R34&amp;" ngày - đòi tiền",IF(P34&gt;0,"Chờ thu tiền",IF(P34&lt;0,"Kiểm tra thu thừa",IF(AND(F34="Đã giao",H34="Đã xuất"),"Hoàn tất","Theo dõi"))))))))</f>
        <v/>
      </c>
      <c r="U34" s="8"/>
    </row>
    <row r="35" customFormat="false" ht="15" hidden="false" customHeight="false" outlineLevel="0" collapsed="false">
      <c r="A35" s="8"/>
      <c r="B35" s="9"/>
      <c r="C35" s="8"/>
      <c r="D35" s="10" t="str">
        <f aca="false">IF(C35="","",IFERROR(VLOOKUP(C35,KhachHang!$A$2:$B$200,2,FALSE())&amp;"",""))</f>
        <v/>
      </c>
      <c r="E35" s="8"/>
      <c r="F35" s="8"/>
      <c r="G35" s="9"/>
      <c r="H35" s="8"/>
      <c r="I35" s="8"/>
      <c r="J35" s="9"/>
      <c r="K35" s="11" t="str">
        <f aca="false">IF(A35="","",SUMIFS(ChiTiet!$I$2:$I$2000,ChiTiet!$A$2:$A$2000,A35))</f>
        <v/>
      </c>
      <c r="L35" s="12"/>
      <c r="M35" s="11" t="str">
        <f aca="false">IF(A35="","",ROUND(K35*IF(L35="",0.08,L35),0))</f>
        <v/>
      </c>
      <c r="N35" s="11" t="str">
        <f aca="false">IF(A35="","",K35+M35)</f>
        <v/>
      </c>
      <c r="O35" s="11" t="str">
        <f aca="false">IF(A35="","",SUMIFS(ThuTien!$D$2:$D$2000,ThuTien!$B$2:$B$2000,A35))</f>
        <v/>
      </c>
      <c r="P35" s="11" t="str">
        <f aca="false">IF(A35="","",N35-O35)</f>
        <v/>
      </c>
      <c r="Q35" s="9"/>
      <c r="R35" s="10" t="str">
        <f aca="true">IF(A35="","",IF(AND(Q35&lt;&gt;"",P35&gt;0,TODAY()&gt;Q35),TODAY()-Q35,0))</f>
        <v/>
      </c>
      <c r="S35" s="10" t="str">
        <f aca="false">IF(A35="","",IF(N35=0,"Chưa có tiền hàng",IF(P35&lt;0,"Thu thừa",IF(P35=0,"Đã thu đủ",IF(O35&gt;0,"Thu một phần","Chưa thu")))))</f>
        <v/>
      </c>
      <c r="T35" s="10" t="str">
        <f aca="false">IF(A35="","",IF(AND(F35="Đã giao",H35&lt;&gt;"Đã xuất"),"Đã giao - CHƯA XUẤT HĐ",IF(AND(H35="Đã xuất",F35="Chưa giao"),"Đã xuất HĐ - chưa giao",IF(F35="","Chưa cập nhật giao hàng",IF(R35&gt;0,"Quá hạn "&amp;R35&amp;" ngày - đòi tiền",IF(P35&gt;0,"Chờ thu tiền",IF(P35&lt;0,"Kiểm tra thu thừa",IF(AND(F35="Đã giao",H35="Đã xuất"),"Hoàn tất","Theo dõi"))))))))</f>
        <v/>
      </c>
      <c r="U35" s="8"/>
    </row>
    <row r="36" customFormat="false" ht="15" hidden="false" customHeight="false" outlineLevel="0" collapsed="false">
      <c r="A36" s="8"/>
      <c r="B36" s="9"/>
      <c r="C36" s="8"/>
      <c r="D36" s="10" t="str">
        <f aca="false">IF(C36="","",IFERROR(VLOOKUP(C36,KhachHang!$A$2:$B$200,2,FALSE())&amp;"",""))</f>
        <v/>
      </c>
      <c r="E36" s="8"/>
      <c r="F36" s="8"/>
      <c r="G36" s="9"/>
      <c r="H36" s="8"/>
      <c r="I36" s="8"/>
      <c r="J36" s="9"/>
      <c r="K36" s="11" t="str">
        <f aca="false">IF(A36="","",SUMIFS(ChiTiet!$I$2:$I$2000,ChiTiet!$A$2:$A$2000,A36))</f>
        <v/>
      </c>
      <c r="L36" s="12"/>
      <c r="M36" s="11" t="str">
        <f aca="false">IF(A36="","",ROUND(K36*IF(L36="",0.08,L36),0))</f>
        <v/>
      </c>
      <c r="N36" s="11" t="str">
        <f aca="false">IF(A36="","",K36+M36)</f>
        <v/>
      </c>
      <c r="O36" s="11" t="str">
        <f aca="false">IF(A36="","",SUMIFS(ThuTien!$D$2:$D$2000,ThuTien!$B$2:$B$2000,A36))</f>
        <v/>
      </c>
      <c r="P36" s="11" t="str">
        <f aca="false">IF(A36="","",N36-O36)</f>
        <v/>
      </c>
      <c r="Q36" s="9"/>
      <c r="R36" s="10" t="str">
        <f aca="true">IF(A36="","",IF(AND(Q36&lt;&gt;"",P36&gt;0,TODAY()&gt;Q36),TODAY()-Q36,0))</f>
        <v/>
      </c>
      <c r="S36" s="10" t="str">
        <f aca="false">IF(A36="","",IF(N36=0,"Chưa có tiền hàng",IF(P36&lt;0,"Thu thừa",IF(P36=0,"Đã thu đủ",IF(O36&gt;0,"Thu một phần","Chưa thu")))))</f>
        <v/>
      </c>
      <c r="T36" s="10" t="str">
        <f aca="false">IF(A36="","",IF(AND(F36="Đã giao",H36&lt;&gt;"Đã xuất"),"Đã giao - CHƯA XUẤT HĐ",IF(AND(H36="Đã xuất",F36="Chưa giao"),"Đã xuất HĐ - chưa giao",IF(F36="","Chưa cập nhật giao hàng",IF(R36&gt;0,"Quá hạn "&amp;R36&amp;" ngày - đòi tiền",IF(P36&gt;0,"Chờ thu tiền",IF(P36&lt;0,"Kiểm tra thu thừa",IF(AND(F36="Đã giao",H36="Đã xuất"),"Hoàn tất","Theo dõi"))))))))</f>
        <v/>
      </c>
      <c r="U36" s="8"/>
    </row>
    <row r="37" customFormat="false" ht="15" hidden="false" customHeight="false" outlineLevel="0" collapsed="false">
      <c r="A37" s="8"/>
      <c r="B37" s="9"/>
      <c r="C37" s="8"/>
      <c r="D37" s="10" t="str">
        <f aca="false">IF(C37="","",IFERROR(VLOOKUP(C37,KhachHang!$A$2:$B$200,2,FALSE())&amp;"",""))</f>
        <v/>
      </c>
      <c r="E37" s="8"/>
      <c r="F37" s="8"/>
      <c r="G37" s="9"/>
      <c r="H37" s="8"/>
      <c r="I37" s="8"/>
      <c r="J37" s="9"/>
      <c r="K37" s="11" t="str">
        <f aca="false">IF(A37="","",SUMIFS(ChiTiet!$I$2:$I$2000,ChiTiet!$A$2:$A$2000,A37))</f>
        <v/>
      </c>
      <c r="L37" s="12"/>
      <c r="M37" s="11" t="str">
        <f aca="false">IF(A37="","",ROUND(K37*IF(L37="",0.08,L37),0))</f>
        <v/>
      </c>
      <c r="N37" s="11" t="str">
        <f aca="false">IF(A37="","",K37+M37)</f>
        <v/>
      </c>
      <c r="O37" s="11" t="str">
        <f aca="false">IF(A37="","",SUMIFS(ThuTien!$D$2:$D$2000,ThuTien!$B$2:$B$2000,A37))</f>
        <v/>
      </c>
      <c r="P37" s="11" t="str">
        <f aca="false">IF(A37="","",N37-O37)</f>
        <v/>
      </c>
      <c r="Q37" s="9"/>
      <c r="R37" s="10" t="str">
        <f aca="true">IF(A37="","",IF(AND(Q37&lt;&gt;"",P37&gt;0,TODAY()&gt;Q37),TODAY()-Q37,0))</f>
        <v/>
      </c>
      <c r="S37" s="10" t="str">
        <f aca="false">IF(A37="","",IF(N37=0,"Chưa có tiền hàng",IF(P37&lt;0,"Thu thừa",IF(P37=0,"Đã thu đủ",IF(O37&gt;0,"Thu một phần","Chưa thu")))))</f>
        <v/>
      </c>
      <c r="T37" s="10" t="str">
        <f aca="false">IF(A37="","",IF(AND(F37="Đã giao",H37&lt;&gt;"Đã xuất"),"Đã giao - CHƯA XUẤT HĐ",IF(AND(H37="Đã xuất",F37="Chưa giao"),"Đã xuất HĐ - chưa giao",IF(F37="","Chưa cập nhật giao hàng",IF(R37&gt;0,"Quá hạn "&amp;R37&amp;" ngày - đòi tiền",IF(P37&gt;0,"Chờ thu tiền",IF(P37&lt;0,"Kiểm tra thu thừa",IF(AND(F37="Đã giao",H37="Đã xuất"),"Hoàn tất","Theo dõi"))))))))</f>
        <v/>
      </c>
      <c r="U37" s="8"/>
    </row>
    <row r="38" customFormat="false" ht="15" hidden="false" customHeight="false" outlineLevel="0" collapsed="false">
      <c r="A38" s="8"/>
      <c r="B38" s="9"/>
      <c r="C38" s="8"/>
      <c r="D38" s="10" t="str">
        <f aca="false">IF(C38="","",IFERROR(VLOOKUP(C38,KhachHang!$A$2:$B$200,2,FALSE())&amp;"",""))</f>
        <v/>
      </c>
      <c r="E38" s="8"/>
      <c r="F38" s="8"/>
      <c r="G38" s="9"/>
      <c r="H38" s="8"/>
      <c r="I38" s="8"/>
      <c r="J38" s="9"/>
      <c r="K38" s="11" t="str">
        <f aca="false">IF(A38="","",SUMIFS(ChiTiet!$I$2:$I$2000,ChiTiet!$A$2:$A$2000,A38))</f>
        <v/>
      </c>
      <c r="L38" s="12"/>
      <c r="M38" s="11" t="str">
        <f aca="false">IF(A38="","",ROUND(K38*IF(L38="",0.08,L38),0))</f>
        <v/>
      </c>
      <c r="N38" s="11" t="str">
        <f aca="false">IF(A38="","",K38+M38)</f>
        <v/>
      </c>
      <c r="O38" s="11" t="str">
        <f aca="false">IF(A38="","",SUMIFS(ThuTien!$D$2:$D$2000,ThuTien!$B$2:$B$2000,A38))</f>
        <v/>
      </c>
      <c r="P38" s="11" t="str">
        <f aca="false">IF(A38="","",N38-O38)</f>
        <v/>
      </c>
      <c r="Q38" s="9"/>
      <c r="R38" s="10" t="str">
        <f aca="true">IF(A38="","",IF(AND(Q38&lt;&gt;"",P38&gt;0,TODAY()&gt;Q38),TODAY()-Q38,0))</f>
        <v/>
      </c>
      <c r="S38" s="10" t="str">
        <f aca="false">IF(A38="","",IF(N38=0,"Chưa có tiền hàng",IF(P38&lt;0,"Thu thừa",IF(P38=0,"Đã thu đủ",IF(O38&gt;0,"Thu một phần","Chưa thu")))))</f>
        <v/>
      </c>
      <c r="T38" s="10" t="str">
        <f aca="false">IF(A38="","",IF(AND(F38="Đã giao",H38&lt;&gt;"Đã xuất"),"Đã giao - CHƯA XUẤT HĐ",IF(AND(H38="Đã xuất",F38="Chưa giao"),"Đã xuất HĐ - chưa giao",IF(F38="","Chưa cập nhật giao hàng",IF(R38&gt;0,"Quá hạn "&amp;R38&amp;" ngày - đòi tiền",IF(P38&gt;0,"Chờ thu tiền",IF(P38&lt;0,"Kiểm tra thu thừa",IF(AND(F38="Đã giao",H38="Đã xuất"),"Hoàn tất","Theo dõi"))))))))</f>
        <v/>
      </c>
      <c r="U38" s="8"/>
    </row>
    <row r="39" customFormat="false" ht="15" hidden="false" customHeight="false" outlineLevel="0" collapsed="false">
      <c r="A39" s="8"/>
      <c r="B39" s="9"/>
      <c r="C39" s="8"/>
      <c r="D39" s="10" t="str">
        <f aca="false">IF(C39="","",IFERROR(VLOOKUP(C39,KhachHang!$A$2:$B$200,2,FALSE())&amp;"",""))</f>
        <v/>
      </c>
      <c r="E39" s="8"/>
      <c r="F39" s="8"/>
      <c r="G39" s="9"/>
      <c r="H39" s="8"/>
      <c r="I39" s="8"/>
      <c r="J39" s="9"/>
      <c r="K39" s="11" t="str">
        <f aca="false">IF(A39="","",SUMIFS(ChiTiet!$I$2:$I$2000,ChiTiet!$A$2:$A$2000,A39))</f>
        <v/>
      </c>
      <c r="L39" s="12"/>
      <c r="M39" s="11" t="str">
        <f aca="false">IF(A39="","",ROUND(K39*IF(L39="",0.08,L39),0))</f>
        <v/>
      </c>
      <c r="N39" s="11" t="str">
        <f aca="false">IF(A39="","",K39+M39)</f>
        <v/>
      </c>
      <c r="O39" s="11" t="str">
        <f aca="false">IF(A39="","",SUMIFS(ThuTien!$D$2:$D$2000,ThuTien!$B$2:$B$2000,A39))</f>
        <v/>
      </c>
      <c r="P39" s="11" t="str">
        <f aca="false">IF(A39="","",N39-O39)</f>
        <v/>
      </c>
      <c r="Q39" s="9"/>
      <c r="R39" s="10" t="str">
        <f aca="true">IF(A39="","",IF(AND(Q39&lt;&gt;"",P39&gt;0,TODAY()&gt;Q39),TODAY()-Q39,0))</f>
        <v/>
      </c>
      <c r="S39" s="10" t="str">
        <f aca="false">IF(A39="","",IF(N39=0,"Chưa có tiền hàng",IF(P39&lt;0,"Thu thừa",IF(P39=0,"Đã thu đủ",IF(O39&gt;0,"Thu một phần","Chưa thu")))))</f>
        <v/>
      </c>
      <c r="T39" s="10" t="str">
        <f aca="false">IF(A39="","",IF(AND(F39="Đã giao",H39&lt;&gt;"Đã xuất"),"Đã giao - CHƯA XUẤT HĐ",IF(AND(H39="Đã xuất",F39="Chưa giao"),"Đã xuất HĐ - chưa giao",IF(F39="","Chưa cập nhật giao hàng",IF(R39&gt;0,"Quá hạn "&amp;R39&amp;" ngày - đòi tiền",IF(P39&gt;0,"Chờ thu tiền",IF(P39&lt;0,"Kiểm tra thu thừa",IF(AND(F39="Đã giao",H39="Đã xuất"),"Hoàn tất","Theo dõi"))))))))</f>
        <v/>
      </c>
      <c r="U39" s="8"/>
    </row>
    <row r="40" customFormat="false" ht="15" hidden="false" customHeight="false" outlineLevel="0" collapsed="false">
      <c r="A40" s="8"/>
      <c r="B40" s="9"/>
      <c r="C40" s="8"/>
      <c r="D40" s="10" t="str">
        <f aca="false">IF(C40="","",IFERROR(VLOOKUP(C40,KhachHang!$A$2:$B$200,2,FALSE())&amp;"",""))</f>
        <v/>
      </c>
      <c r="E40" s="8"/>
      <c r="F40" s="8"/>
      <c r="G40" s="9"/>
      <c r="H40" s="8"/>
      <c r="I40" s="8"/>
      <c r="J40" s="9"/>
      <c r="K40" s="11" t="str">
        <f aca="false">IF(A40="","",SUMIFS(ChiTiet!$I$2:$I$2000,ChiTiet!$A$2:$A$2000,A40))</f>
        <v/>
      </c>
      <c r="L40" s="12"/>
      <c r="M40" s="11" t="str">
        <f aca="false">IF(A40="","",ROUND(K40*IF(L40="",0.08,L40),0))</f>
        <v/>
      </c>
      <c r="N40" s="11" t="str">
        <f aca="false">IF(A40="","",K40+M40)</f>
        <v/>
      </c>
      <c r="O40" s="11" t="str">
        <f aca="false">IF(A40="","",SUMIFS(ThuTien!$D$2:$D$2000,ThuTien!$B$2:$B$2000,A40))</f>
        <v/>
      </c>
      <c r="P40" s="11" t="str">
        <f aca="false">IF(A40="","",N40-O40)</f>
        <v/>
      </c>
      <c r="Q40" s="9"/>
      <c r="R40" s="10" t="str">
        <f aca="true">IF(A40="","",IF(AND(Q40&lt;&gt;"",P40&gt;0,TODAY()&gt;Q40),TODAY()-Q40,0))</f>
        <v/>
      </c>
      <c r="S40" s="10" t="str">
        <f aca="false">IF(A40="","",IF(N40=0,"Chưa có tiền hàng",IF(P40&lt;0,"Thu thừa",IF(P40=0,"Đã thu đủ",IF(O40&gt;0,"Thu một phần","Chưa thu")))))</f>
        <v/>
      </c>
      <c r="T40" s="10" t="str">
        <f aca="false">IF(A40="","",IF(AND(F40="Đã giao",H40&lt;&gt;"Đã xuất"),"Đã giao - CHƯA XUẤT HĐ",IF(AND(H40="Đã xuất",F40="Chưa giao"),"Đã xuất HĐ - chưa giao",IF(F40="","Chưa cập nhật giao hàng",IF(R40&gt;0,"Quá hạn "&amp;R40&amp;" ngày - đòi tiền",IF(P40&gt;0,"Chờ thu tiền",IF(P40&lt;0,"Kiểm tra thu thừa",IF(AND(F40="Đã giao",H40="Đã xuất"),"Hoàn tất","Theo dõi"))))))))</f>
        <v/>
      </c>
      <c r="U40" s="8"/>
    </row>
    <row r="41" customFormat="false" ht="15" hidden="false" customHeight="false" outlineLevel="0" collapsed="false">
      <c r="A41" s="8"/>
      <c r="B41" s="9"/>
      <c r="C41" s="8"/>
      <c r="D41" s="10" t="str">
        <f aca="false">IF(C41="","",IFERROR(VLOOKUP(C41,KhachHang!$A$2:$B$200,2,FALSE())&amp;"",""))</f>
        <v/>
      </c>
      <c r="E41" s="8"/>
      <c r="F41" s="8"/>
      <c r="G41" s="9"/>
      <c r="H41" s="8"/>
      <c r="I41" s="8"/>
      <c r="J41" s="9"/>
      <c r="K41" s="11" t="str">
        <f aca="false">IF(A41="","",SUMIFS(ChiTiet!$I$2:$I$2000,ChiTiet!$A$2:$A$2000,A41))</f>
        <v/>
      </c>
      <c r="L41" s="12"/>
      <c r="M41" s="11" t="str">
        <f aca="false">IF(A41="","",ROUND(K41*IF(L41="",0.08,L41),0))</f>
        <v/>
      </c>
      <c r="N41" s="11" t="str">
        <f aca="false">IF(A41="","",K41+M41)</f>
        <v/>
      </c>
      <c r="O41" s="11" t="str">
        <f aca="false">IF(A41="","",SUMIFS(ThuTien!$D$2:$D$2000,ThuTien!$B$2:$B$2000,A41))</f>
        <v/>
      </c>
      <c r="P41" s="11" t="str">
        <f aca="false">IF(A41="","",N41-O41)</f>
        <v/>
      </c>
      <c r="Q41" s="9"/>
      <c r="R41" s="10" t="str">
        <f aca="true">IF(A41="","",IF(AND(Q41&lt;&gt;"",P41&gt;0,TODAY()&gt;Q41),TODAY()-Q41,0))</f>
        <v/>
      </c>
      <c r="S41" s="10" t="str">
        <f aca="false">IF(A41="","",IF(N41=0,"Chưa có tiền hàng",IF(P41&lt;0,"Thu thừa",IF(P41=0,"Đã thu đủ",IF(O41&gt;0,"Thu một phần","Chưa thu")))))</f>
        <v/>
      </c>
      <c r="T41" s="10" t="str">
        <f aca="false">IF(A41="","",IF(AND(F41="Đã giao",H41&lt;&gt;"Đã xuất"),"Đã giao - CHƯA XUẤT HĐ",IF(AND(H41="Đã xuất",F41="Chưa giao"),"Đã xuất HĐ - chưa giao",IF(F41="","Chưa cập nhật giao hàng",IF(R41&gt;0,"Quá hạn "&amp;R41&amp;" ngày - đòi tiền",IF(P41&gt;0,"Chờ thu tiền",IF(P41&lt;0,"Kiểm tra thu thừa",IF(AND(F41="Đã giao",H41="Đã xuất"),"Hoàn tất","Theo dõi"))))))))</f>
        <v/>
      </c>
      <c r="U41" s="8"/>
    </row>
    <row r="42" customFormat="false" ht="15" hidden="false" customHeight="false" outlineLevel="0" collapsed="false">
      <c r="A42" s="8"/>
      <c r="B42" s="9"/>
      <c r="C42" s="8"/>
      <c r="D42" s="10" t="str">
        <f aca="false">IF(C42="","",IFERROR(VLOOKUP(C42,KhachHang!$A$2:$B$200,2,FALSE())&amp;"",""))</f>
        <v/>
      </c>
      <c r="E42" s="8"/>
      <c r="F42" s="8"/>
      <c r="G42" s="9"/>
      <c r="H42" s="8"/>
      <c r="I42" s="8"/>
      <c r="J42" s="9"/>
      <c r="K42" s="11" t="str">
        <f aca="false">IF(A42="","",SUMIFS(ChiTiet!$I$2:$I$2000,ChiTiet!$A$2:$A$2000,A42))</f>
        <v/>
      </c>
      <c r="L42" s="12"/>
      <c r="M42" s="11" t="str">
        <f aca="false">IF(A42="","",ROUND(K42*IF(L42="",0.08,L42),0))</f>
        <v/>
      </c>
      <c r="N42" s="11" t="str">
        <f aca="false">IF(A42="","",K42+M42)</f>
        <v/>
      </c>
      <c r="O42" s="11" t="str">
        <f aca="false">IF(A42="","",SUMIFS(ThuTien!$D$2:$D$2000,ThuTien!$B$2:$B$2000,A42))</f>
        <v/>
      </c>
      <c r="P42" s="11" t="str">
        <f aca="false">IF(A42="","",N42-O42)</f>
        <v/>
      </c>
      <c r="Q42" s="9"/>
      <c r="R42" s="10" t="str">
        <f aca="true">IF(A42="","",IF(AND(Q42&lt;&gt;"",P42&gt;0,TODAY()&gt;Q42),TODAY()-Q42,0))</f>
        <v/>
      </c>
      <c r="S42" s="10" t="str">
        <f aca="false">IF(A42="","",IF(N42=0,"Chưa có tiền hàng",IF(P42&lt;0,"Thu thừa",IF(P42=0,"Đã thu đủ",IF(O42&gt;0,"Thu một phần","Chưa thu")))))</f>
        <v/>
      </c>
      <c r="T42" s="10" t="str">
        <f aca="false">IF(A42="","",IF(AND(F42="Đã giao",H42&lt;&gt;"Đã xuất"),"Đã giao - CHƯA XUẤT HĐ",IF(AND(H42="Đã xuất",F42="Chưa giao"),"Đã xuất HĐ - chưa giao",IF(F42="","Chưa cập nhật giao hàng",IF(R42&gt;0,"Quá hạn "&amp;R42&amp;" ngày - đòi tiền",IF(P42&gt;0,"Chờ thu tiền",IF(P42&lt;0,"Kiểm tra thu thừa",IF(AND(F42="Đã giao",H42="Đã xuất"),"Hoàn tất","Theo dõi"))))))))</f>
        <v/>
      </c>
      <c r="U42" s="8"/>
    </row>
    <row r="43" customFormat="false" ht="15" hidden="false" customHeight="false" outlineLevel="0" collapsed="false">
      <c r="A43" s="8"/>
      <c r="B43" s="9"/>
      <c r="C43" s="8"/>
      <c r="D43" s="10" t="str">
        <f aca="false">IF(C43="","",IFERROR(VLOOKUP(C43,KhachHang!$A$2:$B$200,2,FALSE())&amp;"",""))</f>
        <v/>
      </c>
      <c r="E43" s="8"/>
      <c r="F43" s="8"/>
      <c r="G43" s="9"/>
      <c r="H43" s="8"/>
      <c r="I43" s="8"/>
      <c r="J43" s="9"/>
      <c r="K43" s="11" t="str">
        <f aca="false">IF(A43="","",SUMIFS(ChiTiet!$I$2:$I$2000,ChiTiet!$A$2:$A$2000,A43))</f>
        <v/>
      </c>
      <c r="L43" s="12"/>
      <c r="M43" s="11" t="str">
        <f aca="false">IF(A43="","",ROUND(K43*IF(L43="",0.08,L43),0))</f>
        <v/>
      </c>
      <c r="N43" s="11" t="str">
        <f aca="false">IF(A43="","",K43+M43)</f>
        <v/>
      </c>
      <c r="O43" s="11" t="str">
        <f aca="false">IF(A43="","",SUMIFS(ThuTien!$D$2:$D$2000,ThuTien!$B$2:$B$2000,A43))</f>
        <v/>
      </c>
      <c r="P43" s="11" t="str">
        <f aca="false">IF(A43="","",N43-O43)</f>
        <v/>
      </c>
      <c r="Q43" s="9"/>
      <c r="R43" s="10" t="str">
        <f aca="true">IF(A43="","",IF(AND(Q43&lt;&gt;"",P43&gt;0,TODAY()&gt;Q43),TODAY()-Q43,0))</f>
        <v/>
      </c>
      <c r="S43" s="10" t="str">
        <f aca="false">IF(A43="","",IF(N43=0,"Chưa có tiền hàng",IF(P43&lt;0,"Thu thừa",IF(P43=0,"Đã thu đủ",IF(O43&gt;0,"Thu một phần","Chưa thu")))))</f>
        <v/>
      </c>
      <c r="T43" s="10" t="str">
        <f aca="false">IF(A43="","",IF(AND(F43="Đã giao",H43&lt;&gt;"Đã xuất"),"Đã giao - CHƯA XUẤT HĐ",IF(AND(H43="Đã xuất",F43="Chưa giao"),"Đã xuất HĐ - chưa giao",IF(F43="","Chưa cập nhật giao hàng",IF(R43&gt;0,"Quá hạn "&amp;R43&amp;" ngày - đòi tiền",IF(P43&gt;0,"Chờ thu tiền",IF(P43&lt;0,"Kiểm tra thu thừa",IF(AND(F43="Đã giao",H43="Đã xuất"),"Hoàn tất","Theo dõi"))))))))</f>
        <v/>
      </c>
      <c r="U43" s="8"/>
    </row>
    <row r="44" customFormat="false" ht="15" hidden="false" customHeight="false" outlineLevel="0" collapsed="false">
      <c r="A44" s="8"/>
      <c r="B44" s="9"/>
      <c r="C44" s="8"/>
      <c r="D44" s="10" t="str">
        <f aca="false">IF(C44="","",IFERROR(VLOOKUP(C44,KhachHang!$A$2:$B$200,2,FALSE())&amp;"",""))</f>
        <v/>
      </c>
      <c r="E44" s="8"/>
      <c r="F44" s="8"/>
      <c r="G44" s="9"/>
      <c r="H44" s="8"/>
      <c r="I44" s="8"/>
      <c r="J44" s="9"/>
      <c r="K44" s="11" t="str">
        <f aca="false">IF(A44="","",SUMIFS(ChiTiet!$I$2:$I$2000,ChiTiet!$A$2:$A$2000,A44))</f>
        <v/>
      </c>
      <c r="L44" s="12"/>
      <c r="M44" s="11" t="str">
        <f aca="false">IF(A44="","",ROUND(K44*IF(L44="",0.08,L44),0))</f>
        <v/>
      </c>
      <c r="N44" s="11" t="str">
        <f aca="false">IF(A44="","",K44+M44)</f>
        <v/>
      </c>
      <c r="O44" s="11" t="str">
        <f aca="false">IF(A44="","",SUMIFS(ThuTien!$D$2:$D$2000,ThuTien!$B$2:$B$2000,A44))</f>
        <v/>
      </c>
      <c r="P44" s="11" t="str">
        <f aca="false">IF(A44="","",N44-O44)</f>
        <v/>
      </c>
      <c r="Q44" s="9"/>
      <c r="R44" s="10" t="str">
        <f aca="true">IF(A44="","",IF(AND(Q44&lt;&gt;"",P44&gt;0,TODAY()&gt;Q44),TODAY()-Q44,0))</f>
        <v/>
      </c>
      <c r="S44" s="10" t="str">
        <f aca="false">IF(A44="","",IF(N44=0,"Chưa có tiền hàng",IF(P44&lt;0,"Thu thừa",IF(P44=0,"Đã thu đủ",IF(O44&gt;0,"Thu một phần","Chưa thu")))))</f>
        <v/>
      </c>
      <c r="T44" s="10" t="str">
        <f aca="false">IF(A44="","",IF(AND(F44="Đã giao",H44&lt;&gt;"Đã xuất"),"Đã giao - CHƯA XUẤT HĐ",IF(AND(H44="Đã xuất",F44="Chưa giao"),"Đã xuất HĐ - chưa giao",IF(F44="","Chưa cập nhật giao hàng",IF(R44&gt;0,"Quá hạn "&amp;R44&amp;" ngày - đòi tiền",IF(P44&gt;0,"Chờ thu tiền",IF(P44&lt;0,"Kiểm tra thu thừa",IF(AND(F44="Đã giao",H44="Đã xuất"),"Hoàn tất","Theo dõi"))))))))</f>
        <v/>
      </c>
      <c r="U44" s="8"/>
    </row>
    <row r="45" customFormat="false" ht="15" hidden="false" customHeight="false" outlineLevel="0" collapsed="false">
      <c r="A45" s="8"/>
      <c r="B45" s="9"/>
      <c r="C45" s="8"/>
      <c r="D45" s="10" t="str">
        <f aca="false">IF(C45="","",IFERROR(VLOOKUP(C45,KhachHang!$A$2:$B$200,2,FALSE())&amp;"",""))</f>
        <v/>
      </c>
      <c r="E45" s="8"/>
      <c r="F45" s="8"/>
      <c r="G45" s="9"/>
      <c r="H45" s="8"/>
      <c r="I45" s="8"/>
      <c r="J45" s="9"/>
      <c r="K45" s="11" t="str">
        <f aca="false">IF(A45="","",SUMIFS(ChiTiet!$I$2:$I$2000,ChiTiet!$A$2:$A$2000,A45))</f>
        <v/>
      </c>
      <c r="L45" s="12"/>
      <c r="M45" s="11" t="str">
        <f aca="false">IF(A45="","",ROUND(K45*IF(L45="",0.08,L45),0))</f>
        <v/>
      </c>
      <c r="N45" s="11" t="str">
        <f aca="false">IF(A45="","",K45+M45)</f>
        <v/>
      </c>
      <c r="O45" s="11" t="str">
        <f aca="false">IF(A45="","",SUMIFS(ThuTien!$D$2:$D$2000,ThuTien!$B$2:$B$2000,A45))</f>
        <v/>
      </c>
      <c r="P45" s="11" t="str">
        <f aca="false">IF(A45="","",N45-O45)</f>
        <v/>
      </c>
      <c r="Q45" s="9"/>
      <c r="R45" s="10" t="str">
        <f aca="true">IF(A45="","",IF(AND(Q45&lt;&gt;"",P45&gt;0,TODAY()&gt;Q45),TODAY()-Q45,0))</f>
        <v/>
      </c>
      <c r="S45" s="10" t="str">
        <f aca="false">IF(A45="","",IF(N45=0,"Chưa có tiền hàng",IF(P45&lt;0,"Thu thừa",IF(P45=0,"Đã thu đủ",IF(O45&gt;0,"Thu một phần","Chưa thu")))))</f>
        <v/>
      </c>
      <c r="T45" s="10" t="str">
        <f aca="false">IF(A45="","",IF(AND(F45="Đã giao",H45&lt;&gt;"Đã xuất"),"Đã giao - CHƯA XUẤT HĐ",IF(AND(H45="Đã xuất",F45="Chưa giao"),"Đã xuất HĐ - chưa giao",IF(F45="","Chưa cập nhật giao hàng",IF(R45&gt;0,"Quá hạn "&amp;R45&amp;" ngày - đòi tiền",IF(P45&gt;0,"Chờ thu tiền",IF(P45&lt;0,"Kiểm tra thu thừa",IF(AND(F45="Đã giao",H45="Đã xuất"),"Hoàn tất","Theo dõi"))))))))</f>
        <v/>
      </c>
      <c r="U45" s="8"/>
    </row>
    <row r="46" customFormat="false" ht="15" hidden="false" customHeight="false" outlineLevel="0" collapsed="false">
      <c r="A46" s="8"/>
      <c r="B46" s="9"/>
      <c r="C46" s="8"/>
      <c r="D46" s="10" t="str">
        <f aca="false">IF(C46="","",IFERROR(VLOOKUP(C46,KhachHang!$A$2:$B$200,2,FALSE())&amp;"",""))</f>
        <v/>
      </c>
      <c r="E46" s="8"/>
      <c r="F46" s="8"/>
      <c r="G46" s="9"/>
      <c r="H46" s="8"/>
      <c r="I46" s="8"/>
      <c r="J46" s="9"/>
      <c r="K46" s="11" t="str">
        <f aca="false">IF(A46="","",SUMIFS(ChiTiet!$I$2:$I$2000,ChiTiet!$A$2:$A$2000,A46))</f>
        <v/>
      </c>
      <c r="L46" s="12"/>
      <c r="M46" s="11" t="str">
        <f aca="false">IF(A46="","",ROUND(K46*IF(L46="",0.08,L46),0))</f>
        <v/>
      </c>
      <c r="N46" s="11" t="str">
        <f aca="false">IF(A46="","",K46+M46)</f>
        <v/>
      </c>
      <c r="O46" s="11" t="str">
        <f aca="false">IF(A46="","",SUMIFS(ThuTien!$D$2:$D$2000,ThuTien!$B$2:$B$2000,A46))</f>
        <v/>
      </c>
      <c r="P46" s="11" t="str">
        <f aca="false">IF(A46="","",N46-O46)</f>
        <v/>
      </c>
      <c r="Q46" s="9"/>
      <c r="R46" s="10" t="str">
        <f aca="true">IF(A46="","",IF(AND(Q46&lt;&gt;"",P46&gt;0,TODAY()&gt;Q46),TODAY()-Q46,0))</f>
        <v/>
      </c>
      <c r="S46" s="10" t="str">
        <f aca="false">IF(A46="","",IF(N46=0,"Chưa có tiền hàng",IF(P46&lt;0,"Thu thừa",IF(P46=0,"Đã thu đủ",IF(O46&gt;0,"Thu một phần","Chưa thu")))))</f>
        <v/>
      </c>
      <c r="T46" s="10" t="str">
        <f aca="false">IF(A46="","",IF(AND(F46="Đã giao",H46&lt;&gt;"Đã xuất"),"Đã giao - CHƯA XUẤT HĐ",IF(AND(H46="Đã xuất",F46="Chưa giao"),"Đã xuất HĐ - chưa giao",IF(F46="","Chưa cập nhật giao hàng",IF(R46&gt;0,"Quá hạn "&amp;R46&amp;" ngày - đòi tiền",IF(P46&gt;0,"Chờ thu tiền",IF(P46&lt;0,"Kiểm tra thu thừa",IF(AND(F46="Đã giao",H46="Đã xuất"),"Hoàn tất","Theo dõi"))))))))</f>
        <v/>
      </c>
      <c r="U46" s="8"/>
    </row>
    <row r="47" customFormat="false" ht="15" hidden="false" customHeight="false" outlineLevel="0" collapsed="false">
      <c r="A47" s="8"/>
      <c r="B47" s="9"/>
      <c r="C47" s="8"/>
      <c r="D47" s="10" t="str">
        <f aca="false">IF(C47="","",IFERROR(VLOOKUP(C47,KhachHang!$A$2:$B$200,2,FALSE())&amp;"",""))</f>
        <v/>
      </c>
      <c r="E47" s="8"/>
      <c r="F47" s="8"/>
      <c r="G47" s="9"/>
      <c r="H47" s="8"/>
      <c r="I47" s="8"/>
      <c r="J47" s="9"/>
      <c r="K47" s="11" t="str">
        <f aca="false">IF(A47="","",SUMIFS(ChiTiet!$I$2:$I$2000,ChiTiet!$A$2:$A$2000,A47))</f>
        <v/>
      </c>
      <c r="L47" s="12"/>
      <c r="M47" s="11" t="str">
        <f aca="false">IF(A47="","",ROUND(K47*IF(L47="",0.08,L47),0))</f>
        <v/>
      </c>
      <c r="N47" s="11" t="str">
        <f aca="false">IF(A47="","",K47+M47)</f>
        <v/>
      </c>
      <c r="O47" s="11" t="str">
        <f aca="false">IF(A47="","",SUMIFS(ThuTien!$D$2:$D$2000,ThuTien!$B$2:$B$2000,A47))</f>
        <v/>
      </c>
      <c r="P47" s="11" t="str">
        <f aca="false">IF(A47="","",N47-O47)</f>
        <v/>
      </c>
      <c r="Q47" s="9"/>
      <c r="R47" s="10" t="str">
        <f aca="true">IF(A47="","",IF(AND(Q47&lt;&gt;"",P47&gt;0,TODAY()&gt;Q47),TODAY()-Q47,0))</f>
        <v/>
      </c>
      <c r="S47" s="10" t="str">
        <f aca="false">IF(A47="","",IF(N47=0,"Chưa có tiền hàng",IF(P47&lt;0,"Thu thừa",IF(P47=0,"Đã thu đủ",IF(O47&gt;0,"Thu một phần","Chưa thu")))))</f>
        <v/>
      </c>
      <c r="T47" s="10" t="str">
        <f aca="false">IF(A47="","",IF(AND(F47="Đã giao",H47&lt;&gt;"Đã xuất"),"Đã giao - CHƯA XUẤT HĐ",IF(AND(H47="Đã xuất",F47="Chưa giao"),"Đã xuất HĐ - chưa giao",IF(F47="","Chưa cập nhật giao hàng",IF(R47&gt;0,"Quá hạn "&amp;R47&amp;" ngày - đòi tiền",IF(P47&gt;0,"Chờ thu tiền",IF(P47&lt;0,"Kiểm tra thu thừa",IF(AND(F47="Đã giao",H47="Đã xuất"),"Hoàn tất","Theo dõi"))))))))</f>
        <v/>
      </c>
      <c r="U47" s="8"/>
    </row>
    <row r="48" customFormat="false" ht="15" hidden="false" customHeight="false" outlineLevel="0" collapsed="false">
      <c r="A48" s="8"/>
      <c r="B48" s="9"/>
      <c r="C48" s="8"/>
      <c r="D48" s="10" t="str">
        <f aca="false">IF(C48="","",IFERROR(VLOOKUP(C48,KhachHang!$A$2:$B$200,2,FALSE())&amp;"",""))</f>
        <v/>
      </c>
      <c r="E48" s="8"/>
      <c r="F48" s="8"/>
      <c r="G48" s="9"/>
      <c r="H48" s="8"/>
      <c r="I48" s="8"/>
      <c r="J48" s="9"/>
      <c r="K48" s="11" t="str">
        <f aca="false">IF(A48="","",SUMIFS(ChiTiet!$I$2:$I$2000,ChiTiet!$A$2:$A$2000,A48))</f>
        <v/>
      </c>
      <c r="L48" s="12"/>
      <c r="M48" s="11" t="str">
        <f aca="false">IF(A48="","",ROUND(K48*IF(L48="",0.08,L48),0))</f>
        <v/>
      </c>
      <c r="N48" s="11" t="str">
        <f aca="false">IF(A48="","",K48+M48)</f>
        <v/>
      </c>
      <c r="O48" s="11" t="str">
        <f aca="false">IF(A48="","",SUMIFS(ThuTien!$D$2:$D$2000,ThuTien!$B$2:$B$2000,A48))</f>
        <v/>
      </c>
      <c r="P48" s="11" t="str">
        <f aca="false">IF(A48="","",N48-O48)</f>
        <v/>
      </c>
      <c r="Q48" s="9"/>
      <c r="R48" s="10" t="str">
        <f aca="true">IF(A48="","",IF(AND(Q48&lt;&gt;"",P48&gt;0,TODAY()&gt;Q48),TODAY()-Q48,0))</f>
        <v/>
      </c>
      <c r="S48" s="10" t="str">
        <f aca="false">IF(A48="","",IF(N48=0,"Chưa có tiền hàng",IF(P48&lt;0,"Thu thừa",IF(P48=0,"Đã thu đủ",IF(O48&gt;0,"Thu một phần","Chưa thu")))))</f>
        <v/>
      </c>
      <c r="T48" s="10" t="str">
        <f aca="false">IF(A48="","",IF(AND(F48="Đã giao",H48&lt;&gt;"Đã xuất"),"Đã giao - CHƯA XUẤT HĐ",IF(AND(H48="Đã xuất",F48="Chưa giao"),"Đã xuất HĐ - chưa giao",IF(F48="","Chưa cập nhật giao hàng",IF(R48&gt;0,"Quá hạn "&amp;R48&amp;" ngày - đòi tiền",IF(P48&gt;0,"Chờ thu tiền",IF(P48&lt;0,"Kiểm tra thu thừa",IF(AND(F48="Đã giao",H48="Đã xuất"),"Hoàn tất","Theo dõi"))))))))</f>
        <v/>
      </c>
      <c r="U48" s="8"/>
    </row>
    <row r="49" customFormat="false" ht="15" hidden="false" customHeight="false" outlineLevel="0" collapsed="false">
      <c r="A49" s="8"/>
      <c r="B49" s="9"/>
      <c r="C49" s="8"/>
      <c r="D49" s="10" t="str">
        <f aca="false">IF(C49="","",IFERROR(VLOOKUP(C49,KhachHang!$A$2:$B$200,2,FALSE())&amp;"",""))</f>
        <v/>
      </c>
      <c r="E49" s="8"/>
      <c r="F49" s="8"/>
      <c r="G49" s="9"/>
      <c r="H49" s="8"/>
      <c r="I49" s="8"/>
      <c r="J49" s="9"/>
      <c r="K49" s="11" t="str">
        <f aca="false">IF(A49="","",SUMIFS(ChiTiet!$I$2:$I$2000,ChiTiet!$A$2:$A$2000,A49))</f>
        <v/>
      </c>
      <c r="L49" s="12"/>
      <c r="M49" s="11" t="str">
        <f aca="false">IF(A49="","",ROUND(K49*IF(L49="",0.08,L49),0))</f>
        <v/>
      </c>
      <c r="N49" s="11" t="str">
        <f aca="false">IF(A49="","",K49+M49)</f>
        <v/>
      </c>
      <c r="O49" s="11" t="str">
        <f aca="false">IF(A49="","",SUMIFS(ThuTien!$D$2:$D$2000,ThuTien!$B$2:$B$2000,A49))</f>
        <v/>
      </c>
      <c r="P49" s="11" t="str">
        <f aca="false">IF(A49="","",N49-O49)</f>
        <v/>
      </c>
      <c r="Q49" s="9"/>
      <c r="R49" s="10" t="str">
        <f aca="true">IF(A49="","",IF(AND(Q49&lt;&gt;"",P49&gt;0,TODAY()&gt;Q49),TODAY()-Q49,0))</f>
        <v/>
      </c>
      <c r="S49" s="10" t="str">
        <f aca="false">IF(A49="","",IF(N49=0,"Chưa có tiền hàng",IF(P49&lt;0,"Thu thừa",IF(P49=0,"Đã thu đủ",IF(O49&gt;0,"Thu một phần","Chưa thu")))))</f>
        <v/>
      </c>
      <c r="T49" s="10" t="str">
        <f aca="false">IF(A49="","",IF(AND(F49="Đã giao",H49&lt;&gt;"Đã xuất"),"Đã giao - CHƯA XUẤT HĐ",IF(AND(H49="Đã xuất",F49="Chưa giao"),"Đã xuất HĐ - chưa giao",IF(F49="","Chưa cập nhật giao hàng",IF(R49&gt;0,"Quá hạn "&amp;R49&amp;" ngày - đòi tiền",IF(P49&gt;0,"Chờ thu tiền",IF(P49&lt;0,"Kiểm tra thu thừa",IF(AND(F49="Đã giao",H49="Đã xuất"),"Hoàn tất","Theo dõi"))))))))</f>
        <v/>
      </c>
      <c r="U49" s="8"/>
    </row>
    <row r="50" customFormat="false" ht="15" hidden="false" customHeight="false" outlineLevel="0" collapsed="false">
      <c r="A50" s="8"/>
      <c r="B50" s="9"/>
      <c r="C50" s="8"/>
      <c r="D50" s="10" t="str">
        <f aca="false">IF(C50="","",IFERROR(VLOOKUP(C50,KhachHang!$A$2:$B$200,2,FALSE())&amp;"",""))</f>
        <v/>
      </c>
      <c r="E50" s="8"/>
      <c r="F50" s="8"/>
      <c r="G50" s="9"/>
      <c r="H50" s="8"/>
      <c r="I50" s="8"/>
      <c r="J50" s="9"/>
      <c r="K50" s="11" t="str">
        <f aca="false">IF(A50="","",SUMIFS(ChiTiet!$I$2:$I$2000,ChiTiet!$A$2:$A$2000,A50))</f>
        <v/>
      </c>
      <c r="L50" s="12"/>
      <c r="M50" s="11" t="str">
        <f aca="false">IF(A50="","",ROUND(K50*IF(L50="",0.08,L50),0))</f>
        <v/>
      </c>
      <c r="N50" s="11" t="str">
        <f aca="false">IF(A50="","",K50+M50)</f>
        <v/>
      </c>
      <c r="O50" s="11" t="str">
        <f aca="false">IF(A50="","",SUMIFS(ThuTien!$D$2:$D$2000,ThuTien!$B$2:$B$2000,A50))</f>
        <v/>
      </c>
      <c r="P50" s="11" t="str">
        <f aca="false">IF(A50="","",N50-O50)</f>
        <v/>
      </c>
      <c r="Q50" s="9"/>
      <c r="R50" s="10" t="str">
        <f aca="true">IF(A50="","",IF(AND(Q50&lt;&gt;"",P50&gt;0,TODAY()&gt;Q50),TODAY()-Q50,0))</f>
        <v/>
      </c>
      <c r="S50" s="10" t="str">
        <f aca="false">IF(A50="","",IF(N50=0,"Chưa có tiền hàng",IF(P50&lt;0,"Thu thừa",IF(P50=0,"Đã thu đủ",IF(O50&gt;0,"Thu một phần","Chưa thu")))))</f>
        <v/>
      </c>
      <c r="T50" s="10" t="str">
        <f aca="false">IF(A50="","",IF(AND(F50="Đã giao",H50&lt;&gt;"Đã xuất"),"Đã giao - CHƯA XUẤT HĐ",IF(AND(H50="Đã xuất",F50="Chưa giao"),"Đã xuất HĐ - chưa giao",IF(F50="","Chưa cập nhật giao hàng",IF(R50&gt;0,"Quá hạn "&amp;R50&amp;" ngày - đòi tiền",IF(P50&gt;0,"Chờ thu tiền",IF(P50&lt;0,"Kiểm tra thu thừa",IF(AND(F50="Đã giao",H50="Đã xuất"),"Hoàn tất","Theo dõi"))))))))</f>
        <v/>
      </c>
      <c r="U50" s="8"/>
    </row>
    <row r="51" customFormat="false" ht="15" hidden="false" customHeight="false" outlineLevel="0" collapsed="false">
      <c r="A51" s="8"/>
      <c r="B51" s="9"/>
      <c r="C51" s="8"/>
      <c r="D51" s="10" t="str">
        <f aca="false">IF(C51="","",IFERROR(VLOOKUP(C51,KhachHang!$A$2:$B$200,2,FALSE())&amp;"",""))</f>
        <v/>
      </c>
      <c r="E51" s="8"/>
      <c r="F51" s="8"/>
      <c r="G51" s="9"/>
      <c r="H51" s="8"/>
      <c r="I51" s="8"/>
      <c r="J51" s="9"/>
      <c r="K51" s="11" t="str">
        <f aca="false">IF(A51="","",SUMIFS(ChiTiet!$I$2:$I$2000,ChiTiet!$A$2:$A$2000,A51))</f>
        <v/>
      </c>
      <c r="L51" s="12"/>
      <c r="M51" s="11" t="str">
        <f aca="false">IF(A51="","",ROUND(K51*IF(L51="",0.08,L51),0))</f>
        <v/>
      </c>
      <c r="N51" s="11" t="str">
        <f aca="false">IF(A51="","",K51+M51)</f>
        <v/>
      </c>
      <c r="O51" s="11" t="str">
        <f aca="false">IF(A51="","",SUMIFS(ThuTien!$D$2:$D$2000,ThuTien!$B$2:$B$2000,A51))</f>
        <v/>
      </c>
      <c r="P51" s="11" t="str">
        <f aca="false">IF(A51="","",N51-O51)</f>
        <v/>
      </c>
      <c r="Q51" s="9"/>
      <c r="R51" s="10" t="str">
        <f aca="true">IF(A51="","",IF(AND(Q51&lt;&gt;"",P51&gt;0,TODAY()&gt;Q51),TODAY()-Q51,0))</f>
        <v/>
      </c>
      <c r="S51" s="10" t="str">
        <f aca="false">IF(A51="","",IF(N51=0,"Chưa có tiền hàng",IF(P51&lt;0,"Thu thừa",IF(P51=0,"Đã thu đủ",IF(O51&gt;0,"Thu một phần","Chưa thu")))))</f>
        <v/>
      </c>
      <c r="T51" s="10" t="str">
        <f aca="false">IF(A51="","",IF(AND(F51="Đã giao",H51&lt;&gt;"Đã xuất"),"Đã giao - CHƯA XUẤT HĐ",IF(AND(H51="Đã xuất",F51="Chưa giao"),"Đã xuất HĐ - chưa giao",IF(F51="","Chưa cập nhật giao hàng",IF(R51&gt;0,"Quá hạn "&amp;R51&amp;" ngày - đòi tiền",IF(P51&gt;0,"Chờ thu tiền",IF(P51&lt;0,"Kiểm tra thu thừa",IF(AND(F51="Đã giao",H51="Đã xuất"),"Hoàn tất","Theo dõi"))))))))</f>
        <v/>
      </c>
      <c r="U51" s="8"/>
    </row>
    <row r="52" customFormat="false" ht="15" hidden="false" customHeight="false" outlineLevel="0" collapsed="false">
      <c r="A52" s="8"/>
      <c r="B52" s="9"/>
      <c r="C52" s="8"/>
      <c r="D52" s="10" t="str">
        <f aca="false">IF(C52="","",IFERROR(VLOOKUP(C52,KhachHang!$A$2:$B$200,2,FALSE())&amp;"",""))</f>
        <v/>
      </c>
      <c r="E52" s="8"/>
      <c r="F52" s="8"/>
      <c r="G52" s="9"/>
      <c r="H52" s="8"/>
      <c r="I52" s="8"/>
      <c r="J52" s="9"/>
      <c r="K52" s="11" t="str">
        <f aca="false">IF(A52="","",SUMIFS(ChiTiet!$I$2:$I$2000,ChiTiet!$A$2:$A$2000,A52))</f>
        <v/>
      </c>
      <c r="L52" s="12"/>
      <c r="M52" s="11" t="str">
        <f aca="false">IF(A52="","",ROUND(K52*IF(L52="",0.08,L52),0))</f>
        <v/>
      </c>
      <c r="N52" s="11" t="str">
        <f aca="false">IF(A52="","",K52+M52)</f>
        <v/>
      </c>
      <c r="O52" s="11" t="str">
        <f aca="false">IF(A52="","",SUMIFS(ThuTien!$D$2:$D$2000,ThuTien!$B$2:$B$2000,A52))</f>
        <v/>
      </c>
      <c r="P52" s="11" t="str">
        <f aca="false">IF(A52="","",N52-O52)</f>
        <v/>
      </c>
      <c r="Q52" s="9"/>
      <c r="R52" s="10" t="str">
        <f aca="true">IF(A52="","",IF(AND(Q52&lt;&gt;"",P52&gt;0,TODAY()&gt;Q52),TODAY()-Q52,0))</f>
        <v/>
      </c>
      <c r="S52" s="10" t="str">
        <f aca="false">IF(A52="","",IF(N52=0,"Chưa có tiền hàng",IF(P52&lt;0,"Thu thừa",IF(P52=0,"Đã thu đủ",IF(O52&gt;0,"Thu một phần","Chưa thu")))))</f>
        <v/>
      </c>
      <c r="T52" s="10" t="str">
        <f aca="false">IF(A52="","",IF(AND(F52="Đã giao",H52&lt;&gt;"Đã xuất"),"Đã giao - CHƯA XUẤT HĐ",IF(AND(H52="Đã xuất",F52="Chưa giao"),"Đã xuất HĐ - chưa giao",IF(F52="","Chưa cập nhật giao hàng",IF(R52&gt;0,"Quá hạn "&amp;R52&amp;" ngày - đòi tiền",IF(P52&gt;0,"Chờ thu tiền",IF(P52&lt;0,"Kiểm tra thu thừa",IF(AND(F52="Đã giao",H52="Đã xuất"),"Hoàn tất","Theo dõi"))))))))</f>
        <v/>
      </c>
      <c r="U52" s="8"/>
    </row>
    <row r="53" customFormat="false" ht="15" hidden="false" customHeight="false" outlineLevel="0" collapsed="false">
      <c r="A53" s="8"/>
      <c r="B53" s="9"/>
      <c r="C53" s="8"/>
      <c r="D53" s="10" t="str">
        <f aca="false">IF(C53="","",IFERROR(VLOOKUP(C53,KhachHang!$A$2:$B$200,2,FALSE())&amp;"",""))</f>
        <v/>
      </c>
      <c r="E53" s="8"/>
      <c r="F53" s="8"/>
      <c r="G53" s="9"/>
      <c r="H53" s="8"/>
      <c r="I53" s="8"/>
      <c r="J53" s="9"/>
      <c r="K53" s="11" t="str">
        <f aca="false">IF(A53="","",SUMIFS(ChiTiet!$I$2:$I$2000,ChiTiet!$A$2:$A$2000,A53))</f>
        <v/>
      </c>
      <c r="L53" s="12"/>
      <c r="M53" s="11" t="str">
        <f aca="false">IF(A53="","",ROUND(K53*IF(L53="",0.08,L53),0))</f>
        <v/>
      </c>
      <c r="N53" s="11" t="str">
        <f aca="false">IF(A53="","",K53+M53)</f>
        <v/>
      </c>
      <c r="O53" s="11" t="str">
        <f aca="false">IF(A53="","",SUMIFS(ThuTien!$D$2:$D$2000,ThuTien!$B$2:$B$2000,A53))</f>
        <v/>
      </c>
      <c r="P53" s="11" t="str">
        <f aca="false">IF(A53="","",N53-O53)</f>
        <v/>
      </c>
      <c r="Q53" s="9"/>
      <c r="R53" s="10" t="str">
        <f aca="true">IF(A53="","",IF(AND(Q53&lt;&gt;"",P53&gt;0,TODAY()&gt;Q53),TODAY()-Q53,0))</f>
        <v/>
      </c>
      <c r="S53" s="10" t="str">
        <f aca="false">IF(A53="","",IF(N53=0,"Chưa có tiền hàng",IF(P53&lt;0,"Thu thừa",IF(P53=0,"Đã thu đủ",IF(O53&gt;0,"Thu một phần","Chưa thu")))))</f>
        <v/>
      </c>
      <c r="T53" s="10" t="str">
        <f aca="false">IF(A53="","",IF(AND(F53="Đã giao",H53&lt;&gt;"Đã xuất"),"Đã giao - CHƯA XUẤT HĐ",IF(AND(H53="Đã xuất",F53="Chưa giao"),"Đã xuất HĐ - chưa giao",IF(F53="","Chưa cập nhật giao hàng",IF(R53&gt;0,"Quá hạn "&amp;R53&amp;" ngày - đòi tiền",IF(P53&gt;0,"Chờ thu tiền",IF(P53&lt;0,"Kiểm tra thu thừa",IF(AND(F53="Đã giao",H53="Đã xuất"),"Hoàn tất","Theo dõi"))))))))</f>
        <v/>
      </c>
      <c r="U53" s="8"/>
    </row>
    <row r="54" customFormat="false" ht="15" hidden="false" customHeight="false" outlineLevel="0" collapsed="false">
      <c r="A54" s="8"/>
      <c r="B54" s="9"/>
      <c r="C54" s="8"/>
      <c r="D54" s="10" t="str">
        <f aca="false">IF(C54="","",IFERROR(VLOOKUP(C54,KhachHang!$A$2:$B$200,2,FALSE())&amp;"",""))</f>
        <v/>
      </c>
      <c r="E54" s="8"/>
      <c r="F54" s="8"/>
      <c r="G54" s="9"/>
      <c r="H54" s="8"/>
      <c r="I54" s="8"/>
      <c r="J54" s="9"/>
      <c r="K54" s="11" t="str">
        <f aca="false">IF(A54="","",SUMIFS(ChiTiet!$I$2:$I$2000,ChiTiet!$A$2:$A$2000,A54))</f>
        <v/>
      </c>
      <c r="L54" s="12"/>
      <c r="M54" s="11" t="str">
        <f aca="false">IF(A54="","",ROUND(K54*IF(L54="",0.08,L54),0))</f>
        <v/>
      </c>
      <c r="N54" s="11" t="str">
        <f aca="false">IF(A54="","",K54+M54)</f>
        <v/>
      </c>
      <c r="O54" s="11" t="str">
        <f aca="false">IF(A54="","",SUMIFS(ThuTien!$D$2:$D$2000,ThuTien!$B$2:$B$2000,A54))</f>
        <v/>
      </c>
      <c r="P54" s="11" t="str">
        <f aca="false">IF(A54="","",N54-O54)</f>
        <v/>
      </c>
      <c r="Q54" s="9"/>
      <c r="R54" s="10" t="str">
        <f aca="true">IF(A54="","",IF(AND(Q54&lt;&gt;"",P54&gt;0,TODAY()&gt;Q54),TODAY()-Q54,0))</f>
        <v/>
      </c>
      <c r="S54" s="10" t="str">
        <f aca="false">IF(A54="","",IF(N54=0,"Chưa có tiền hàng",IF(P54&lt;0,"Thu thừa",IF(P54=0,"Đã thu đủ",IF(O54&gt;0,"Thu một phần","Chưa thu")))))</f>
        <v/>
      </c>
      <c r="T54" s="10" t="str">
        <f aca="false">IF(A54="","",IF(AND(F54="Đã giao",H54&lt;&gt;"Đã xuất"),"Đã giao - CHƯA XUẤT HĐ",IF(AND(H54="Đã xuất",F54="Chưa giao"),"Đã xuất HĐ - chưa giao",IF(F54="","Chưa cập nhật giao hàng",IF(R54&gt;0,"Quá hạn "&amp;R54&amp;" ngày - đòi tiền",IF(P54&gt;0,"Chờ thu tiền",IF(P54&lt;0,"Kiểm tra thu thừa",IF(AND(F54="Đã giao",H54="Đã xuất"),"Hoàn tất","Theo dõi"))))))))</f>
        <v/>
      </c>
      <c r="U54" s="8"/>
    </row>
    <row r="55" customFormat="false" ht="15" hidden="false" customHeight="false" outlineLevel="0" collapsed="false">
      <c r="A55" s="8"/>
      <c r="B55" s="9"/>
      <c r="C55" s="8"/>
      <c r="D55" s="10" t="str">
        <f aca="false">IF(C55="","",IFERROR(VLOOKUP(C55,KhachHang!$A$2:$B$200,2,FALSE())&amp;"",""))</f>
        <v/>
      </c>
      <c r="E55" s="8"/>
      <c r="F55" s="8"/>
      <c r="G55" s="9"/>
      <c r="H55" s="8"/>
      <c r="I55" s="8"/>
      <c r="J55" s="9"/>
      <c r="K55" s="11" t="str">
        <f aca="false">IF(A55="","",SUMIFS(ChiTiet!$I$2:$I$2000,ChiTiet!$A$2:$A$2000,A55))</f>
        <v/>
      </c>
      <c r="L55" s="12"/>
      <c r="M55" s="11" t="str">
        <f aca="false">IF(A55="","",ROUND(K55*IF(L55="",0.08,L55),0))</f>
        <v/>
      </c>
      <c r="N55" s="11" t="str">
        <f aca="false">IF(A55="","",K55+M55)</f>
        <v/>
      </c>
      <c r="O55" s="11" t="str">
        <f aca="false">IF(A55="","",SUMIFS(ThuTien!$D$2:$D$2000,ThuTien!$B$2:$B$2000,A55))</f>
        <v/>
      </c>
      <c r="P55" s="11" t="str">
        <f aca="false">IF(A55="","",N55-O55)</f>
        <v/>
      </c>
      <c r="Q55" s="9"/>
      <c r="R55" s="10" t="str">
        <f aca="true">IF(A55="","",IF(AND(Q55&lt;&gt;"",P55&gt;0,TODAY()&gt;Q55),TODAY()-Q55,0))</f>
        <v/>
      </c>
      <c r="S55" s="10" t="str">
        <f aca="false">IF(A55="","",IF(N55=0,"Chưa có tiền hàng",IF(P55&lt;0,"Thu thừa",IF(P55=0,"Đã thu đủ",IF(O55&gt;0,"Thu một phần","Chưa thu")))))</f>
        <v/>
      </c>
      <c r="T55" s="10" t="str">
        <f aca="false">IF(A55="","",IF(AND(F55="Đã giao",H55&lt;&gt;"Đã xuất"),"Đã giao - CHƯA XUẤT HĐ",IF(AND(H55="Đã xuất",F55="Chưa giao"),"Đã xuất HĐ - chưa giao",IF(F55="","Chưa cập nhật giao hàng",IF(R55&gt;0,"Quá hạn "&amp;R55&amp;" ngày - đòi tiền",IF(P55&gt;0,"Chờ thu tiền",IF(P55&lt;0,"Kiểm tra thu thừa",IF(AND(F55="Đã giao",H55="Đã xuất"),"Hoàn tất","Theo dõi"))))))))</f>
        <v/>
      </c>
      <c r="U55" s="8"/>
    </row>
    <row r="56" customFormat="false" ht="15" hidden="false" customHeight="false" outlineLevel="0" collapsed="false">
      <c r="A56" s="8"/>
      <c r="B56" s="9"/>
      <c r="C56" s="8"/>
      <c r="D56" s="10" t="str">
        <f aca="false">IF(C56="","",IFERROR(VLOOKUP(C56,KhachHang!$A$2:$B$200,2,FALSE())&amp;"",""))</f>
        <v/>
      </c>
      <c r="E56" s="8"/>
      <c r="F56" s="8"/>
      <c r="G56" s="9"/>
      <c r="H56" s="8"/>
      <c r="I56" s="8"/>
      <c r="J56" s="9"/>
      <c r="K56" s="11" t="str">
        <f aca="false">IF(A56="","",SUMIFS(ChiTiet!$I$2:$I$2000,ChiTiet!$A$2:$A$2000,A56))</f>
        <v/>
      </c>
      <c r="L56" s="12"/>
      <c r="M56" s="11" t="str">
        <f aca="false">IF(A56="","",ROUND(K56*IF(L56="",0.08,L56),0))</f>
        <v/>
      </c>
      <c r="N56" s="11" t="str">
        <f aca="false">IF(A56="","",K56+M56)</f>
        <v/>
      </c>
      <c r="O56" s="11" t="str">
        <f aca="false">IF(A56="","",SUMIFS(ThuTien!$D$2:$D$2000,ThuTien!$B$2:$B$2000,A56))</f>
        <v/>
      </c>
      <c r="P56" s="11" t="str">
        <f aca="false">IF(A56="","",N56-O56)</f>
        <v/>
      </c>
      <c r="Q56" s="9"/>
      <c r="R56" s="10" t="str">
        <f aca="true">IF(A56="","",IF(AND(Q56&lt;&gt;"",P56&gt;0,TODAY()&gt;Q56),TODAY()-Q56,0))</f>
        <v/>
      </c>
      <c r="S56" s="10" t="str">
        <f aca="false">IF(A56="","",IF(N56=0,"Chưa có tiền hàng",IF(P56&lt;0,"Thu thừa",IF(P56=0,"Đã thu đủ",IF(O56&gt;0,"Thu một phần","Chưa thu")))))</f>
        <v/>
      </c>
      <c r="T56" s="10" t="str">
        <f aca="false">IF(A56="","",IF(AND(F56="Đã giao",H56&lt;&gt;"Đã xuất"),"Đã giao - CHƯA XUẤT HĐ",IF(AND(H56="Đã xuất",F56="Chưa giao"),"Đã xuất HĐ - chưa giao",IF(F56="","Chưa cập nhật giao hàng",IF(R56&gt;0,"Quá hạn "&amp;R56&amp;" ngày - đòi tiền",IF(P56&gt;0,"Chờ thu tiền",IF(P56&lt;0,"Kiểm tra thu thừa",IF(AND(F56="Đã giao",H56="Đã xuất"),"Hoàn tất","Theo dõi"))))))))</f>
        <v/>
      </c>
      <c r="U56" s="8"/>
    </row>
    <row r="57" customFormat="false" ht="15" hidden="false" customHeight="false" outlineLevel="0" collapsed="false">
      <c r="A57" s="8"/>
      <c r="B57" s="9"/>
      <c r="C57" s="8"/>
      <c r="D57" s="10" t="str">
        <f aca="false">IF(C57="","",IFERROR(VLOOKUP(C57,KhachHang!$A$2:$B$200,2,FALSE())&amp;"",""))</f>
        <v/>
      </c>
      <c r="E57" s="8"/>
      <c r="F57" s="8"/>
      <c r="G57" s="9"/>
      <c r="H57" s="8"/>
      <c r="I57" s="8"/>
      <c r="J57" s="9"/>
      <c r="K57" s="11" t="str">
        <f aca="false">IF(A57="","",SUMIFS(ChiTiet!$I$2:$I$2000,ChiTiet!$A$2:$A$2000,A57))</f>
        <v/>
      </c>
      <c r="L57" s="12"/>
      <c r="M57" s="11" t="str">
        <f aca="false">IF(A57="","",ROUND(K57*IF(L57="",0.08,L57),0))</f>
        <v/>
      </c>
      <c r="N57" s="11" t="str">
        <f aca="false">IF(A57="","",K57+M57)</f>
        <v/>
      </c>
      <c r="O57" s="11" t="str">
        <f aca="false">IF(A57="","",SUMIFS(ThuTien!$D$2:$D$2000,ThuTien!$B$2:$B$2000,A57))</f>
        <v/>
      </c>
      <c r="P57" s="11" t="str">
        <f aca="false">IF(A57="","",N57-O57)</f>
        <v/>
      </c>
      <c r="Q57" s="9"/>
      <c r="R57" s="10" t="str">
        <f aca="true">IF(A57="","",IF(AND(Q57&lt;&gt;"",P57&gt;0,TODAY()&gt;Q57),TODAY()-Q57,0))</f>
        <v/>
      </c>
      <c r="S57" s="10" t="str">
        <f aca="false">IF(A57="","",IF(N57=0,"Chưa có tiền hàng",IF(P57&lt;0,"Thu thừa",IF(P57=0,"Đã thu đủ",IF(O57&gt;0,"Thu một phần","Chưa thu")))))</f>
        <v/>
      </c>
      <c r="T57" s="10" t="str">
        <f aca="false">IF(A57="","",IF(AND(F57="Đã giao",H57&lt;&gt;"Đã xuất"),"Đã giao - CHƯA XUẤT HĐ",IF(AND(H57="Đã xuất",F57="Chưa giao"),"Đã xuất HĐ - chưa giao",IF(F57="","Chưa cập nhật giao hàng",IF(R57&gt;0,"Quá hạn "&amp;R57&amp;" ngày - đòi tiền",IF(P57&gt;0,"Chờ thu tiền",IF(P57&lt;0,"Kiểm tra thu thừa",IF(AND(F57="Đã giao",H57="Đã xuất"),"Hoàn tất","Theo dõi"))))))))</f>
        <v/>
      </c>
      <c r="U57" s="8"/>
    </row>
    <row r="58" customFormat="false" ht="15" hidden="false" customHeight="false" outlineLevel="0" collapsed="false">
      <c r="A58" s="8"/>
      <c r="B58" s="9"/>
      <c r="C58" s="8"/>
      <c r="D58" s="10" t="str">
        <f aca="false">IF(C58="","",IFERROR(VLOOKUP(C58,KhachHang!$A$2:$B$200,2,FALSE())&amp;"",""))</f>
        <v/>
      </c>
      <c r="E58" s="8"/>
      <c r="F58" s="8"/>
      <c r="G58" s="9"/>
      <c r="H58" s="8"/>
      <c r="I58" s="8"/>
      <c r="J58" s="9"/>
      <c r="K58" s="11" t="str">
        <f aca="false">IF(A58="","",SUMIFS(ChiTiet!$I$2:$I$2000,ChiTiet!$A$2:$A$2000,A58))</f>
        <v/>
      </c>
      <c r="L58" s="12"/>
      <c r="M58" s="11" t="str">
        <f aca="false">IF(A58="","",ROUND(K58*IF(L58="",0.08,L58),0))</f>
        <v/>
      </c>
      <c r="N58" s="11" t="str">
        <f aca="false">IF(A58="","",K58+M58)</f>
        <v/>
      </c>
      <c r="O58" s="11" t="str">
        <f aca="false">IF(A58="","",SUMIFS(ThuTien!$D$2:$D$2000,ThuTien!$B$2:$B$2000,A58))</f>
        <v/>
      </c>
      <c r="P58" s="11" t="str">
        <f aca="false">IF(A58="","",N58-O58)</f>
        <v/>
      </c>
      <c r="Q58" s="9"/>
      <c r="R58" s="10" t="str">
        <f aca="true">IF(A58="","",IF(AND(Q58&lt;&gt;"",P58&gt;0,TODAY()&gt;Q58),TODAY()-Q58,0))</f>
        <v/>
      </c>
      <c r="S58" s="10" t="str">
        <f aca="false">IF(A58="","",IF(N58=0,"Chưa có tiền hàng",IF(P58&lt;0,"Thu thừa",IF(P58=0,"Đã thu đủ",IF(O58&gt;0,"Thu một phần","Chưa thu")))))</f>
        <v/>
      </c>
      <c r="T58" s="10" t="str">
        <f aca="false">IF(A58="","",IF(AND(F58="Đã giao",H58&lt;&gt;"Đã xuất"),"Đã giao - CHƯA XUẤT HĐ",IF(AND(H58="Đã xuất",F58="Chưa giao"),"Đã xuất HĐ - chưa giao",IF(F58="","Chưa cập nhật giao hàng",IF(R58&gt;0,"Quá hạn "&amp;R58&amp;" ngày - đòi tiền",IF(P58&gt;0,"Chờ thu tiền",IF(P58&lt;0,"Kiểm tra thu thừa",IF(AND(F58="Đã giao",H58="Đã xuất"),"Hoàn tất","Theo dõi"))))))))</f>
        <v/>
      </c>
      <c r="U58" s="8"/>
    </row>
    <row r="59" customFormat="false" ht="15" hidden="false" customHeight="false" outlineLevel="0" collapsed="false">
      <c r="A59" s="8"/>
      <c r="B59" s="9"/>
      <c r="C59" s="8"/>
      <c r="D59" s="10" t="str">
        <f aca="false">IF(C59="","",IFERROR(VLOOKUP(C59,KhachHang!$A$2:$B$200,2,FALSE())&amp;"",""))</f>
        <v/>
      </c>
      <c r="E59" s="8"/>
      <c r="F59" s="8"/>
      <c r="G59" s="9"/>
      <c r="H59" s="8"/>
      <c r="I59" s="8"/>
      <c r="J59" s="9"/>
      <c r="K59" s="11" t="str">
        <f aca="false">IF(A59="","",SUMIFS(ChiTiet!$I$2:$I$2000,ChiTiet!$A$2:$A$2000,A59))</f>
        <v/>
      </c>
      <c r="L59" s="12"/>
      <c r="M59" s="11" t="str">
        <f aca="false">IF(A59="","",ROUND(K59*IF(L59="",0.08,L59),0))</f>
        <v/>
      </c>
      <c r="N59" s="11" t="str">
        <f aca="false">IF(A59="","",K59+M59)</f>
        <v/>
      </c>
      <c r="O59" s="11" t="str">
        <f aca="false">IF(A59="","",SUMIFS(ThuTien!$D$2:$D$2000,ThuTien!$B$2:$B$2000,A59))</f>
        <v/>
      </c>
      <c r="P59" s="11" t="str">
        <f aca="false">IF(A59="","",N59-O59)</f>
        <v/>
      </c>
      <c r="Q59" s="9"/>
      <c r="R59" s="10" t="str">
        <f aca="true">IF(A59="","",IF(AND(Q59&lt;&gt;"",P59&gt;0,TODAY()&gt;Q59),TODAY()-Q59,0))</f>
        <v/>
      </c>
      <c r="S59" s="10" t="str">
        <f aca="false">IF(A59="","",IF(N59=0,"Chưa có tiền hàng",IF(P59&lt;0,"Thu thừa",IF(P59=0,"Đã thu đủ",IF(O59&gt;0,"Thu một phần","Chưa thu")))))</f>
        <v/>
      </c>
      <c r="T59" s="10" t="str">
        <f aca="false">IF(A59="","",IF(AND(F59="Đã giao",H59&lt;&gt;"Đã xuất"),"Đã giao - CHƯA XUẤT HĐ",IF(AND(H59="Đã xuất",F59="Chưa giao"),"Đã xuất HĐ - chưa giao",IF(F59="","Chưa cập nhật giao hàng",IF(R59&gt;0,"Quá hạn "&amp;R59&amp;" ngày - đòi tiền",IF(P59&gt;0,"Chờ thu tiền",IF(P59&lt;0,"Kiểm tra thu thừa",IF(AND(F59="Đã giao",H59="Đã xuất"),"Hoàn tất","Theo dõi"))))))))</f>
        <v/>
      </c>
      <c r="U59" s="8"/>
    </row>
    <row r="60" customFormat="false" ht="15" hidden="false" customHeight="false" outlineLevel="0" collapsed="false">
      <c r="A60" s="8"/>
      <c r="B60" s="9"/>
      <c r="C60" s="8"/>
      <c r="D60" s="10" t="str">
        <f aca="false">IF(C60="","",IFERROR(VLOOKUP(C60,KhachHang!$A$2:$B$200,2,FALSE())&amp;"",""))</f>
        <v/>
      </c>
      <c r="E60" s="8"/>
      <c r="F60" s="8"/>
      <c r="G60" s="9"/>
      <c r="H60" s="8"/>
      <c r="I60" s="8"/>
      <c r="J60" s="9"/>
      <c r="K60" s="11" t="str">
        <f aca="false">IF(A60="","",SUMIFS(ChiTiet!$I$2:$I$2000,ChiTiet!$A$2:$A$2000,A60))</f>
        <v/>
      </c>
      <c r="L60" s="12"/>
      <c r="M60" s="11" t="str">
        <f aca="false">IF(A60="","",ROUND(K60*IF(L60="",0.08,L60),0))</f>
        <v/>
      </c>
      <c r="N60" s="11" t="str">
        <f aca="false">IF(A60="","",K60+M60)</f>
        <v/>
      </c>
      <c r="O60" s="11" t="str">
        <f aca="false">IF(A60="","",SUMIFS(ThuTien!$D$2:$D$2000,ThuTien!$B$2:$B$2000,A60))</f>
        <v/>
      </c>
      <c r="P60" s="11" t="str">
        <f aca="false">IF(A60="","",N60-O60)</f>
        <v/>
      </c>
      <c r="Q60" s="9"/>
      <c r="R60" s="10" t="str">
        <f aca="true">IF(A60="","",IF(AND(Q60&lt;&gt;"",P60&gt;0,TODAY()&gt;Q60),TODAY()-Q60,0))</f>
        <v/>
      </c>
      <c r="S60" s="10" t="str">
        <f aca="false">IF(A60="","",IF(N60=0,"Chưa có tiền hàng",IF(P60&lt;0,"Thu thừa",IF(P60=0,"Đã thu đủ",IF(O60&gt;0,"Thu một phần","Chưa thu")))))</f>
        <v/>
      </c>
      <c r="T60" s="10" t="str">
        <f aca="false">IF(A60="","",IF(AND(F60="Đã giao",H60&lt;&gt;"Đã xuất"),"Đã giao - CHƯA XUẤT HĐ",IF(AND(H60="Đã xuất",F60="Chưa giao"),"Đã xuất HĐ - chưa giao",IF(F60="","Chưa cập nhật giao hàng",IF(R60&gt;0,"Quá hạn "&amp;R60&amp;" ngày - đòi tiền",IF(P60&gt;0,"Chờ thu tiền",IF(P60&lt;0,"Kiểm tra thu thừa",IF(AND(F60="Đã giao",H60="Đã xuất"),"Hoàn tất","Theo dõi"))))))))</f>
        <v/>
      </c>
      <c r="U60" s="8"/>
    </row>
    <row r="61" customFormat="false" ht="15" hidden="false" customHeight="false" outlineLevel="0" collapsed="false">
      <c r="A61" s="8"/>
      <c r="B61" s="9"/>
      <c r="C61" s="8"/>
      <c r="D61" s="10" t="str">
        <f aca="false">IF(C61="","",IFERROR(VLOOKUP(C61,KhachHang!$A$2:$B$200,2,FALSE())&amp;"",""))</f>
        <v/>
      </c>
      <c r="E61" s="8"/>
      <c r="F61" s="8"/>
      <c r="G61" s="9"/>
      <c r="H61" s="8"/>
      <c r="I61" s="8"/>
      <c r="J61" s="9"/>
      <c r="K61" s="11" t="str">
        <f aca="false">IF(A61="","",SUMIFS(ChiTiet!$I$2:$I$2000,ChiTiet!$A$2:$A$2000,A61))</f>
        <v/>
      </c>
      <c r="L61" s="12"/>
      <c r="M61" s="11" t="str">
        <f aca="false">IF(A61="","",ROUND(K61*IF(L61="",0.08,L61),0))</f>
        <v/>
      </c>
      <c r="N61" s="11" t="str">
        <f aca="false">IF(A61="","",K61+M61)</f>
        <v/>
      </c>
      <c r="O61" s="11" t="str">
        <f aca="false">IF(A61="","",SUMIFS(ThuTien!$D$2:$D$2000,ThuTien!$B$2:$B$2000,A61))</f>
        <v/>
      </c>
      <c r="P61" s="11" t="str">
        <f aca="false">IF(A61="","",N61-O61)</f>
        <v/>
      </c>
      <c r="Q61" s="9"/>
      <c r="R61" s="10" t="str">
        <f aca="true">IF(A61="","",IF(AND(Q61&lt;&gt;"",P61&gt;0,TODAY()&gt;Q61),TODAY()-Q61,0))</f>
        <v/>
      </c>
      <c r="S61" s="10" t="str">
        <f aca="false">IF(A61="","",IF(N61=0,"Chưa có tiền hàng",IF(P61&lt;0,"Thu thừa",IF(P61=0,"Đã thu đủ",IF(O61&gt;0,"Thu một phần","Chưa thu")))))</f>
        <v/>
      </c>
      <c r="T61" s="10" t="str">
        <f aca="false">IF(A61="","",IF(AND(F61="Đã giao",H61&lt;&gt;"Đã xuất"),"Đã giao - CHƯA XUẤT HĐ",IF(AND(H61="Đã xuất",F61="Chưa giao"),"Đã xuất HĐ - chưa giao",IF(F61="","Chưa cập nhật giao hàng",IF(R61&gt;0,"Quá hạn "&amp;R61&amp;" ngày - đòi tiền",IF(P61&gt;0,"Chờ thu tiền",IF(P61&lt;0,"Kiểm tra thu thừa",IF(AND(F61="Đã giao",H61="Đã xuất"),"Hoàn tất","Theo dõi"))))))))</f>
        <v/>
      </c>
      <c r="U61" s="8"/>
    </row>
    <row r="62" customFormat="false" ht="15" hidden="false" customHeight="false" outlineLevel="0" collapsed="false">
      <c r="A62" s="8"/>
      <c r="B62" s="9"/>
      <c r="C62" s="8"/>
      <c r="D62" s="10" t="str">
        <f aca="false">IF(C62="","",IFERROR(VLOOKUP(C62,KhachHang!$A$2:$B$200,2,FALSE())&amp;"",""))</f>
        <v/>
      </c>
      <c r="E62" s="8"/>
      <c r="F62" s="8"/>
      <c r="G62" s="9"/>
      <c r="H62" s="8"/>
      <c r="I62" s="8"/>
      <c r="J62" s="9"/>
      <c r="K62" s="11" t="str">
        <f aca="false">IF(A62="","",SUMIFS(ChiTiet!$I$2:$I$2000,ChiTiet!$A$2:$A$2000,A62))</f>
        <v/>
      </c>
      <c r="L62" s="12"/>
      <c r="M62" s="11" t="str">
        <f aca="false">IF(A62="","",ROUND(K62*IF(L62="",0.08,L62),0))</f>
        <v/>
      </c>
      <c r="N62" s="11" t="str">
        <f aca="false">IF(A62="","",K62+M62)</f>
        <v/>
      </c>
      <c r="O62" s="11" t="str">
        <f aca="false">IF(A62="","",SUMIFS(ThuTien!$D$2:$D$2000,ThuTien!$B$2:$B$2000,A62))</f>
        <v/>
      </c>
      <c r="P62" s="11" t="str">
        <f aca="false">IF(A62="","",N62-O62)</f>
        <v/>
      </c>
      <c r="Q62" s="9"/>
      <c r="R62" s="10" t="str">
        <f aca="true">IF(A62="","",IF(AND(Q62&lt;&gt;"",P62&gt;0,TODAY()&gt;Q62),TODAY()-Q62,0))</f>
        <v/>
      </c>
      <c r="S62" s="10" t="str">
        <f aca="false">IF(A62="","",IF(N62=0,"Chưa có tiền hàng",IF(P62&lt;0,"Thu thừa",IF(P62=0,"Đã thu đủ",IF(O62&gt;0,"Thu một phần","Chưa thu")))))</f>
        <v/>
      </c>
      <c r="T62" s="10" t="str">
        <f aca="false">IF(A62="","",IF(AND(F62="Đã giao",H62&lt;&gt;"Đã xuất"),"Đã giao - CHƯA XUẤT HĐ",IF(AND(H62="Đã xuất",F62="Chưa giao"),"Đã xuất HĐ - chưa giao",IF(F62="","Chưa cập nhật giao hàng",IF(R62&gt;0,"Quá hạn "&amp;R62&amp;" ngày - đòi tiền",IF(P62&gt;0,"Chờ thu tiền",IF(P62&lt;0,"Kiểm tra thu thừa",IF(AND(F62="Đã giao",H62="Đã xuất"),"Hoàn tất","Theo dõi"))))))))</f>
        <v/>
      </c>
      <c r="U62" s="8"/>
    </row>
    <row r="63" customFormat="false" ht="15" hidden="false" customHeight="false" outlineLevel="0" collapsed="false">
      <c r="A63" s="8"/>
      <c r="B63" s="9"/>
      <c r="C63" s="8"/>
      <c r="D63" s="10" t="str">
        <f aca="false">IF(C63="","",IFERROR(VLOOKUP(C63,KhachHang!$A$2:$B$200,2,FALSE())&amp;"",""))</f>
        <v/>
      </c>
      <c r="E63" s="8"/>
      <c r="F63" s="8"/>
      <c r="G63" s="9"/>
      <c r="H63" s="8"/>
      <c r="I63" s="8"/>
      <c r="J63" s="9"/>
      <c r="K63" s="11" t="str">
        <f aca="false">IF(A63="","",SUMIFS(ChiTiet!$I$2:$I$2000,ChiTiet!$A$2:$A$2000,A63))</f>
        <v/>
      </c>
      <c r="L63" s="12"/>
      <c r="M63" s="11" t="str">
        <f aca="false">IF(A63="","",ROUND(K63*IF(L63="",0.08,L63),0))</f>
        <v/>
      </c>
      <c r="N63" s="11" t="str">
        <f aca="false">IF(A63="","",K63+M63)</f>
        <v/>
      </c>
      <c r="O63" s="11" t="str">
        <f aca="false">IF(A63="","",SUMIFS(ThuTien!$D$2:$D$2000,ThuTien!$B$2:$B$2000,A63))</f>
        <v/>
      </c>
      <c r="P63" s="11" t="str">
        <f aca="false">IF(A63="","",N63-O63)</f>
        <v/>
      </c>
      <c r="Q63" s="9"/>
      <c r="R63" s="10" t="str">
        <f aca="true">IF(A63="","",IF(AND(Q63&lt;&gt;"",P63&gt;0,TODAY()&gt;Q63),TODAY()-Q63,0))</f>
        <v/>
      </c>
      <c r="S63" s="10" t="str">
        <f aca="false">IF(A63="","",IF(N63=0,"Chưa có tiền hàng",IF(P63&lt;0,"Thu thừa",IF(P63=0,"Đã thu đủ",IF(O63&gt;0,"Thu một phần","Chưa thu")))))</f>
        <v/>
      </c>
      <c r="T63" s="10" t="str">
        <f aca="false">IF(A63="","",IF(AND(F63="Đã giao",H63&lt;&gt;"Đã xuất"),"Đã giao - CHƯA XUẤT HĐ",IF(AND(H63="Đã xuất",F63="Chưa giao"),"Đã xuất HĐ - chưa giao",IF(F63="","Chưa cập nhật giao hàng",IF(R63&gt;0,"Quá hạn "&amp;R63&amp;" ngày - đòi tiền",IF(P63&gt;0,"Chờ thu tiền",IF(P63&lt;0,"Kiểm tra thu thừa",IF(AND(F63="Đã giao",H63="Đã xuất"),"Hoàn tất","Theo dõi"))))))))</f>
        <v/>
      </c>
      <c r="U63" s="8"/>
    </row>
    <row r="64" customFormat="false" ht="15" hidden="false" customHeight="false" outlineLevel="0" collapsed="false">
      <c r="A64" s="8"/>
      <c r="B64" s="9"/>
      <c r="C64" s="8"/>
      <c r="D64" s="10" t="str">
        <f aca="false">IF(C64="","",IFERROR(VLOOKUP(C64,KhachHang!$A$2:$B$200,2,FALSE())&amp;"",""))</f>
        <v/>
      </c>
      <c r="E64" s="8"/>
      <c r="F64" s="8"/>
      <c r="G64" s="9"/>
      <c r="H64" s="8"/>
      <c r="I64" s="8"/>
      <c r="J64" s="9"/>
      <c r="K64" s="11" t="str">
        <f aca="false">IF(A64="","",SUMIFS(ChiTiet!$I$2:$I$2000,ChiTiet!$A$2:$A$2000,A64))</f>
        <v/>
      </c>
      <c r="L64" s="12"/>
      <c r="M64" s="11" t="str">
        <f aca="false">IF(A64="","",ROUND(K64*IF(L64="",0.08,L64),0))</f>
        <v/>
      </c>
      <c r="N64" s="11" t="str">
        <f aca="false">IF(A64="","",K64+M64)</f>
        <v/>
      </c>
      <c r="O64" s="11" t="str">
        <f aca="false">IF(A64="","",SUMIFS(ThuTien!$D$2:$D$2000,ThuTien!$B$2:$B$2000,A64))</f>
        <v/>
      </c>
      <c r="P64" s="11" t="str">
        <f aca="false">IF(A64="","",N64-O64)</f>
        <v/>
      </c>
      <c r="Q64" s="9"/>
      <c r="R64" s="10" t="str">
        <f aca="true">IF(A64="","",IF(AND(Q64&lt;&gt;"",P64&gt;0,TODAY()&gt;Q64),TODAY()-Q64,0))</f>
        <v/>
      </c>
      <c r="S64" s="10" t="str">
        <f aca="false">IF(A64="","",IF(N64=0,"Chưa có tiền hàng",IF(P64&lt;0,"Thu thừa",IF(P64=0,"Đã thu đủ",IF(O64&gt;0,"Thu một phần","Chưa thu")))))</f>
        <v/>
      </c>
      <c r="T64" s="10" t="str">
        <f aca="false">IF(A64="","",IF(AND(F64="Đã giao",H64&lt;&gt;"Đã xuất"),"Đã giao - CHƯA XUẤT HĐ",IF(AND(H64="Đã xuất",F64="Chưa giao"),"Đã xuất HĐ - chưa giao",IF(F64="","Chưa cập nhật giao hàng",IF(R64&gt;0,"Quá hạn "&amp;R64&amp;" ngày - đòi tiền",IF(P64&gt;0,"Chờ thu tiền",IF(P64&lt;0,"Kiểm tra thu thừa",IF(AND(F64="Đã giao",H64="Đã xuất"),"Hoàn tất","Theo dõi"))))))))</f>
        <v/>
      </c>
      <c r="U64" s="8"/>
    </row>
    <row r="65" customFormat="false" ht="15" hidden="false" customHeight="false" outlineLevel="0" collapsed="false">
      <c r="A65" s="8"/>
      <c r="B65" s="9"/>
      <c r="C65" s="8"/>
      <c r="D65" s="10" t="str">
        <f aca="false">IF(C65="","",IFERROR(VLOOKUP(C65,KhachHang!$A$2:$B$200,2,FALSE())&amp;"",""))</f>
        <v/>
      </c>
      <c r="E65" s="8"/>
      <c r="F65" s="8"/>
      <c r="G65" s="9"/>
      <c r="H65" s="8"/>
      <c r="I65" s="8"/>
      <c r="J65" s="9"/>
      <c r="K65" s="11" t="str">
        <f aca="false">IF(A65="","",SUMIFS(ChiTiet!$I$2:$I$2000,ChiTiet!$A$2:$A$2000,A65))</f>
        <v/>
      </c>
      <c r="L65" s="12"/>
      <c r="M65" s="11" t="str">
        <f aca="false">IF(A65="","",ROUND(K65*IF(L65="",0.08,L65),0))</f>
        <v/>
      </c>
      <c r="N65" s="11" t="str">
        <f aca="false">IF(A65="","",K65+M65)</f>
        <v/>
      </c>
      <c r="O65" s="11" t="str">
        <f aca="false">IF(A65="","",SUMIFS(ThuTien!$D$2:$D$2000,ThuTien!$B$2:$B$2000,A65))</f>
        <v/>
      </c>
      <c r="P65" s="11" t="str">
        <f aca="false">IF(A65="","",N65-O65)</f>
        <v/>
      </c>
      <c r="Q65" s="9"/>
      <c r="R65" s="10" t="str">
        <f aca="true">IF(A65="","",IF(AND(Q65&lt;&gt;"",P65&gt;0,TODAY()&gt;Q65),TODAY()-Q65,0))</f>
        <v/>
      </c>
      <c r="S65" s="10" t="str">
        <f aca="false">IF(A65="","",IF(N65=0,"Chưa có tiền hàng",IF(P65&lt;0,"Thu thừa",IF(P65=0,"Đã thu đủ",IF(O65&gt;0,"Thu một phần","Chưa thu")))))</f>
        <v/>
      </c>
      <c r="T65" s="10" t="str">
        <f aca="false">IF(A65="","",IF(AND(F65="Đã giao",H65&lt;&gt;"Đã xuất"),"Đã giao - CHƯA XUẤT HĐ",IF(AND(H65="Đã xuất",F65="Chưa giao"),"Đã xuất HĐ - chưa giao",IF(F65="","Chưa cập nhật giao hàng",IF(R65&gt;0,"Quá hạn "&amp;R65&amp;" ngày - đòi tiền",IF(P65&gt;0,"Chờ thu tiền",IF(P65&lt;0,"Kiểm tra thu thừa",IF(AND(F65="Đã giao",H65="Đã xuất"),"Hoàn tất","Theo dõi"))))))))</f>
        <v/>
      </c>
      <c r="U65" s="8"/>
    </row>
    <row r="66" customFormat="false" ht="15" hidden="false" customHeight="false" outlineLevel="0" collapsed="false">
      <c r="A66" s="8"/>
      <c r="B66" s="9"/>
      <c r="C66" s="8"/>
      <c r="D66" s="10" t="str">
        <f aca="false">IF(C66="","",IFERROR(VLOOKUP(C66,KhachHang!$A$2:$B$200,2,FALSE())&amp;"",""))</f>
        <v/>
      </c>
      <c r="E66" s="8"/>
      <c r="F66" s="8"/>
      <c r="G66" s="9"/>
      <c r="H66" s="8"/>
      <c r="I66" s="8"/>
      <c r="J66" s="9"/>
      <c r="K66" s="11" t="str">
        <f aca="false">IF(A66="","",SUMIFS(ChiTiet!$I$2:$I$2000,ChiTiet!$A$2:$A$2000,A66))</f>
        <v/>
      </c>
      <c r="L66" s="12"/>
      <c r="M66" s="11" t="str">
        <f aca="false">IF(A66="","",ROUND(K66*IF(L66="",0.08,L66),0))</f>
        <v/>
      </c>
      <c r="N66" s="11" t="str">
        <f aca="false">IF(A66="","",K66+M66)</f>
        <v/>
      </c>
      <c r="O66" s="11" t="str">
        <f aca="false">IF(A66="","",SUMIFS(ThuTien!$D$2:$D$2000,ThuTien!$B$2:$B$2000,A66))</f>
        <v/>
      </c>
      <c r="P66" s="11" t="str">
        <f aca="false">IF(A66="","",N66-O66)</f>
        <v/>
      </c>
      <c r="Q66" s="9"/>
      <c r="R66" s="10" t="str">
        <f aca="true">IF(A66="","",IF(AND(Q66&lt;&gt;"",P66&gt;0,TODAY()&gt;Q66),TODAY()-Q66,0))</f>
        <v/>
      </c>
      <c r="S66" s="10" t="str">
        <f aca="false">IF(A66="","",IF(N66=0,"Chưa có tiền hàng",IF(P66&lt;0,"Thu thừa",IF(P66=0,"Đã thu đủ",IF(O66&gt;0,"Thu một phần","Chưa thu")))))</f>
        <v/>
      </c>
      <c r="T66" s="10" t="str">
        <f aca="false">IF(A66="","",IF(AND(F66="Đã giao",H66&lt;&gt;"Đã xuất"),"Đã giao - CHƯA XUẤT HĐ",IF(AND(H66="Đã xuất",F66="Chưa giao"),"Đã xuất HĐ - chưa giao",IF(F66="","Chưa cập nhật giao hàng",IF(R66&gt;0,"Quá hạn "&amp;R66&amp;" ngày - đòi tiền",IF(P66&gt;0,"Chờ thu tiền",IF(P66&lt;0,"Kiểm tra thu thừa",IF(AND(F66="Đã giao",H66="Đã xuất"),"Hoàn tất","Theo dõi"))))))))</f>
        <v/>
      </c>
      <c r="U66" s="8"/>
    </row>
    <row r="67" customFormat="false" ht="15" hidden="false" customHeight="false" outlineLevel="0" collapsed="false">
      <c r="A67" s="8"/>
      <c r="B67" s="9"/>
      <c r="C67" s="8"/>
      <c r="D67" s="10" t="str">
        <f aca="false">IF(C67="","",IFERROR(VLOOKUP(C67,KhachHang!$A$2:$B$200,2,FALSE())&amp;"",""))</f>
        <v/>
      </c>
      <c r="E67" s="8"/>
      <c r="F67" s="8"/>
      <c r="G67" s="9"/>
      <c r="H67" s="8"/>
      <c r="I67" s="8"/>
      <c r="J67" s="9"/>
      <c r="K67" s="11" t="str">
        <f aca="false">IF(A67="","",SUMIFS(ChiTiet!$I$2:$I$2000,ChiTiet!$A$2:$A$2000,A67))</f>
        <v/>
      </c>
      <c r="L67" s="12"/>
      <c r="M67" s="11" t="str">
        <f aca="false">IF(A67="","",ROUND(K67*IF(L67="",0.08,L67),0))</f>
        <v/>
      </c>
      <c r="N67" s="11" t="str">
        <f aca="false">IF(A67="","",K67+M67)</f>
        <v/>
      </c>
      <c r="O67" s="11" t="str">
        <f aca="false">IF(A67="","",SUMIFS(ThuTien!$D$2:$D$2000,ThuTien!$B$2:$B$2000,A67))</f>
        <v/>
      </c>
      <c r="P67" s="11" t="str">
        <f aca="false">IF(A67="","",N67-O67)</f>
        <v/>
      </c>
      <c r="Q67" s="9"/>
      <c r="R67" s="10" t="str">
        <f aca="true">IF(A67="","",IF(AND(Q67&lt;&gt;"",P67&gt;0,TODAY()&gt;Q67),TODAY()-Q67,0))</f>
        <v/>
      </c>
      <c r="S67" s="10" t="str">
        <f aca="false">IF(A67="","",IF(N67=0,"Chưa có tiền hàng",IF(P67&lt;0,"Thu thừa",IF(P67=0,"Đã thu đủ",IF(O67&gt;0,"Thu một phần","Chưa thu")))))</f>
        <v/>
      </c>
      <c r="T67" s="10" t="str">
        <f aca="false">IF(A67="","",IF(AND(F67="Đã giao",H67&lt;&gt;"Đã xuất"),"Đã giao - CHƯA XUẤT HĐ",IF(AND(H67="Đã xuất",F67="Chưa giao"),"Đã xuất HĐ - chưa giao",IF(F67="","Chưa cập nhật giao hàng",IF(R67&gt;0,"Quá hạn "&amp;R67&amp;" ngày - đòi tiền",IF(P67&gt;0,"Chờ thu tiền",IF(P67&lt;0,"Kiểm tra thu thừa",IF(AND(F67="Đã giao",H67="Đã xuất"),"Hoàn tất","Theo dõi"))))))))</f>
        <v/>
      </c>
      <c r="U67" s="8"/>
    </row>
    <row r="68" customFormat="false" ht="15" hidden="false" customHeight="false" outlineLevel="0" collapsed="false">
      <c r="A68" s="8"/>
      <c r="B68" s="9"/>
      <c r="C68" s="8"/>
      <c r="D68" s="10" t="str">
        <f aca="false">IF(C68="","",IFERROR(VLOOKUP(C68,KhachHang!$A$2:$B$200,2,FALSE())&amp;"",""))</f>
        <v/>
      </c>
      <c r="E68" s="8"/>
      <c r="F68" s="8"/>
      <c r="G68" s="9"/>
      <c r="H68" s="8"/>
      <c r="I68" s="8"/>
      <c r="J68" s="9"/>
      <c r="K68" s="11" t="str">
        <f aca="false">IF(A68="","",SUMIFS(ChiTiet!$I$2:$I$2000,ChiTiet!$A$2:$A$2000,A68))</f>
        <v/>
      </c>
      <c r="L68" s="12"/>
      <c r="M68" s="11" t="str">
        <f aca="false">IF(A68="","",ROUND(K68*IF(L68="",0.08,L68),0))</f>
        <v/>
      </c>
      <c r="N68" s="11" t="str">
        <f aca="false">IF(A68="","",K68+M68)</f>
        <v/>
      </c>
      <c r="O68" s="11" t="str">
        <f aca="false">IF(A68="","",SUMIFS(ThuTien!$D$2:$D$2000,ThuTien!$B$2:$B$2000,A68))</f>
        <v/>
      </c>
      <c r="P68" s="11" t="str">
        <f aca="false">IF(A68="","",N68-O68)</f>
        <v/>
      </c>
      <c r="Q68" s="9"/>
      <c r="R68" s="10" t="str">
        <f aca="true">IF(A68="","",IF(AND(Q68&lt;&gt;"",P68&gt;0,TODAY()&gt;Q68),TODAY()-Q68,0))</f>
        <v/>
      </c>
      <c r="S68" s="10" t="str">
        <f aca="false">IF(A68="","",IF(N68=0,"Chưa có tiền hàng",IF(P68&lt;0,"Thu thừa",IF(P68=0,"Đã thu đủ",IF(O68&gt;0,"Thu một phần","Chưa thu")))))</f>
        <v/>
      </c>
      <c r="T68" s="10" t="str">
        <f aca="false">IF(A68="","",IF(AND(F68="Đã giao",H68&lt;&gt;"Đã xuất"),"Đã giao - CHƯA XUẤT HĐ",IF(AND(H68="Đã xuất",F68="Chưa giao"),"Đã xuất HĐ - chưa giao",IF(F68="","Chưa cập nhật giao hàng",IF(R68&gt;0,"Quá hạn "&amp;R68&amp;" ngày - đòi tiền",IF(P68&gt;0,"Chờ thu tiền",IF(P68&lt;0,"Kiểm tra thu thừa",IF(AND(F68="Đã giao",H68="Đã xuất"),"Hoàn tất","Theo dõi"))))))))</f>
        <v/>
      </c>
      <c r="U68" s="8"/>
    </row>
    <row r="69" customFormat="false" ht="15" hidden="false" customHeight="false" outlineLevel="0" collapsed="false">
      <c r="A69" s="8"/>
      <c r="B69" s="9"/>
      <c r="C69" s="8"/>
      <c r="D69" s="10" t="str">
        <f aca="false">IF(C69="","",IFERROR(VLOOKUP(C69,KhachHang!$A$2:$B$200,2,FALSE())&amp;"",""))</f>
        <v/>
      </c>
      <c r="E69" s="8"/>
      <c r="F69" s="8"/>
      <c r="G69" s="9"/>
      <c r="H69" s="8"/>
      <c r="I69" s="8"/>
      <c r="J69" s="9"/>
      <c r="K69" s="11" t="str">
        <f aca="false">IF(A69="","",SUMIFS(ChiTiet!$I$2:$I$2000,ChiTiet!$A$2:$A$2000,A69))</f>
        <v/>
      </c>
      <c r="L69" s="12"/>
      <c r="M69" s="11" t="str">
        <f aca="false">IF(A69="","",ROUND(K69*IF(L69="",0.08,L69),0))</f>
        <v/>
      </c>
      <c r="N69" s="11" t="str">
        <f aca="false">IF(A69="","",K69+M69)</f>
        <v/>
      </c>
      <c r="O69" s="11" t="str">
        <f aca="false">IF(A69="","",SUMIFS(ThuTien!$D$2:$D$2000,ThuTien!$B$2:$B$2000,A69))</f>
        <v/>
      </c>
      <c r="P69" s="11" t="str">
        <f aca="false">IF(A69="","",N69-O69)</f>
        <v/>
      </c>
      <c r="Q69" s="9"/>
      <c r="R69" s="10" t="str">
        <f aca="true">IF(A69="","",IF(AND(Q69&lt;&gt;"",P69&gt;0,TODAY()&gt;Q69),TODAY()-Q69,0))</f>
        <v/>
      </c>
      <c r="S69" s="10" t="str">
        <f aca="false">IF(A69="","",IF(N69=0,"Chưa có tiền hàng",IF(P69&lt;0,"Thu thừa",IF(P69=0,"Đã thu đủ",IF(O69&gt;0,"Thu một phần","Chưa thu")))))</f>
        <v/>
      </c>
      <c r="T69" s="10" t="str">
        <f aca="false">IF(A69="","",IF(AND(F69="Đã giao",H69&lt;&gt;"Đã xuất"),"Đã giao - CHƯA XUẤT HĐ",IF(AND(H69="Đã xuất",F69="Chưa giao"),"Đã xuất HĐ - chưa giao",IF(F69="","Chưa cập nhật giao hàng",IF(R69&gt;0,"Quá hạn "&amp;R69&amp;" ngày - đòi tiền",IF(P69&gt;0,"Chờ thu tiền",IF(P69&lt;0,"Kiểm tra thu thừa",IF(AND(F69="Đã giao",H69="Đã xuất"),"Hoàn tất","Theo dõi"))))))))</f>
        <v/>
      </c>
      <c r="U69" s="8"/>
    </row>
    <row r="70" customFormat="false" ht="15" hidden="false" customHeight="false" outlineLevel="0" collapsed="false">
      <c r="A70" s="8"/>
      <c r="B70" s="9"/>
      <c r="C70" s="8"/>
      <c r="D70" s="10" t="str">
        <f aca="false">IF(C70="","",IFERROR(VLOOKUP(C70,KhachHang!$A$2:$B$200,2,FALSE())&amp;"",""))</f>
        <v/>
      </c>
      <c r="E70" s="8"/>
      <c r="F70" s="8"/>
      <c r="G70" s="9"/>
      <c r="H70" s="8"/>
      <c r="I70" s="8"/>
      <c r="J70" s="9"/>
      <c r="K70" s="11" t="str">
        <f aca="false">IF(A70="","",SUMIFS(ChiTiet!$I$2:$I$2000,ChiTiet!$A$2:$A$2000,A70))</f>
        <v/>
      </c>
      <c r="L70" s="12"/>
      <c r="M70" s="11" t="str">
        <f aca="false">IF(A70="","",ROUND(K70*IF(L70="",0.08,L70),0))</f>
        <v/>
      </c>
      <c r="N70" s="11" t="str">
        <f aca="false">IF(A70="","",K70+M70)</f>
        <v/>
      </c>
      <c r="O70" s="11" t="str">
        <f aca="false">IF(A70="","",SUMIFS(ThuTien!$D$2:$D$2000,ThuTien!$B$2:$B$2000,A70))</f>
        <v/>
      </c>
      <c r="P70" s="11" t="str">
        <f aca="false">IF(A70="","",N70-O70)</f>
        <v/>
      </c>
      <c r="Q70" s="9"/>
      <c r="R70" s="10" t="str">
        <f aca="true">IF(A70="","",IF(AND(Q70&lt;&gt;"",P70&gt;0,TODAY()&gt;Q70),TODAY()-Q70,0))</f>
        <v/>
      </c>
      <c r="S70" s="10" t="str">
        <f aca="false">IF(A70="","",IF(N70=0,"Chưa có tiền hàng",IF(P70&lt;0,"Thu thừa",IF(P70=0,"Đã thu đủ",IF(O70&gt;0,"Thu một phần","Chưa thu")))))</f>
        <v/>
      </c>
      <c r="T70" s="10" t="str">
        <f aca="false">IF(A70="","",IF(AND(F70="Đã giao",H70&lt;&gt;"Đã xuất"),"Đã giao - CHƯA XUẤT HĐ",IF(AND(H70="Đã xuất",F70="Chưa giao"),"Đã xuất HĐ - chưa giao",IF(F70="","Chưa cập nhật giao hàng",IF(R70&gt;0,"Quá hạn "&amp;R70&amp;" ngày - đòi tiền",IF(P70&gt;0,"Chờ thu tiền",IF(P70&lt;0,"Kiểm tra thu thừa",IF(AND(F70="Đã giao",H70="Đã xuất"),"Hoàn tất","Theo dõi"))))))))</f>
        <v/>
      </c>
      <c r="U70" s="8"/>
    </row>
    <row r="71" customFormat="false" ht="15" hidden="false" customHeight="false" outlineLevel="0" collapsed="false">
      <c r="A71" s="8"/>
      <c r="B71" s="9"/>
      <c r="C71" s="8"/>
      <c r="D71" s="10" t="str">
        <f aca="false">IF(C71="","",IFERROR(VLOOKUP(C71,KhachHang!$A$2:$B$200,2,FALSE())&amp;"",""))</f>
        <v/>
      </c>
      <c r="E71" s="8"/>
      <c r="F71" s="8"/>
      <c r="G71" s="9"/>
      <c r="H71" s="8"/>
      <c r="I71" s="8"/>
      <c r="J71" s="9"/>
      <c r="K71" s="11" t="str">
        <f aca="false">IF(A71="","",SUMIFS(ChiTiet!$I$2:$I$2000,ChiTiet!$A$2:$A$2000,A71))</f>
        <v/>
      </c>
      <c r="L71" s="12"/>
      <c r="M71" s="11" t="str">
        <f aca="false">IF(A71="","",ROUND(K71*IF(L71="",0.08,L71),0))</f>
        <v/>
      </c>
      <c r="N71" s="11" t="str">
        <f aca="false">IF(A71="","",K71+M71)</f>
        <v/>
      </c>
      <c r="O71" s="11" t="str">
        <f aca="false">IF(A71="","",SUMIFS(ThuTien!$D$2:$D$2000,ThuTien!$B$2:$B$2000,A71))</f>
        <v/>
      </c>
      <c r="P71" s="11" t="str">
        <f aca="false">IF(A71="","",N71-O71)</f>
        <v/>
      </c>
      <c r="Q71" s="9"/>
      <c r="R71" s="10" t="str">
        <f aca="true">IF(A71="","",IF(AND(Q71&lt;&gt;"",P71&gt;0,TODAY()&gt;Q71),TODAY()-Q71,0))</f>
        <v/>
      </c>
      <c r="S71" s="10" t="str">
        <f aca="false">IF(A71="","",IF(N71=0,"Chưa có tiền hàng",IF(P71&lt;0,"Thu thừa",IF(P71=0,"Đã thu đủ",IF(O71&gt;0,"Thu một phần","Chưa thu")))))</f>
        <v/>
      </c>
      <c r="T71" s="10" t="str">
        <f aca="false">IF(A71="","",IF(AND(F71="Đã giao",H71&lt;&gt;"Đã xuất"),"Đã giao - CHƯA XUẤT HĐ",IF(AND(H71="Đã xuất",F71="Chưa giao"),"Đã xuất HĐ - chưa giao",IF(F71="","Chưa cập nhật giao hàng",IF(R71&gt;0,"Quá hạn "&amp;R71&amp;" ngày - đòi tiền",IF(P71&gt;0,"Chờ thu tiền",IF(P71&lt;0,"Kiểm tra thu thừa",IF(AND(F71="Đã giao",H71="Đã xuất"),"Hoàn tất","Theo dõi"))))))))</f>
        <v/>
      </c>
      <c r="U71" s="8"/>
    </row>
    <row r="72" customFormat="false" ht="15" hidden="false" customHeight="false" outlineLevel="0" collapsed="false">
      <c r="A72" s="8"/>
      <c r="B72" s="9"/>
      <c r="C72" s="8"/>
      <c r="D72" s="10" t="str">
        <f aca="false">IF(C72="","",IFERROR(VLOOKUP(C72,KhachHang!$A$2:$B$200,2,FALSE())&amp;"",""))</f>
        <v/>
      </c>
      <c r="E72" s="8"/>
      <c r="F72" s="8"/>
      <c r="G72" s="9"/>
      <c r="H72" s="8"/>
      <c r="I72" s="8"/>
      <c r="J72" s="9"/>
      <c r="K72" s="11" t="str">
        <f aca="false">IF(A72="","",SUMIFS(ChiTiet!$I$2:$I$2000,ChiTiet!$A$2:$A$2000,A72))</f>
        <v/>
      </c>
      <c r="L72" s="12"/>
      <c r="M72" s="11" t="str">
        <f aca="false">IF(A72="","",ROUND(K72*IF(L72="",0.08,L72),0))</f>
        <v/>
      </c>
      <c r="N72" s="11" t="str">
        <f aca="false">IF(A72="","",K72+M72)</f>
        <v/>
      </c>
      <c r="O72" s="11" t="str">
        <f aca="false">IF(A72="","",SUMIFS(ThuTien!$D$2:$D$2000,ThuTien!$B$2:$B$2000,A72))</f>
        <v/>
      </c>
      <c r="P72" s="11" t="str">
        <f aca="false">IF(A72="","",N72-O72)</f>
        <v/>
      </c>
      <c r="Q72" s="9"/>
      <c r="R72" s="10" t="str">
        <f aca="true">IF(A72="","",IF(AND(Q72&lt;&gt;"",P72&gt;0,TODAY()&gt;Q72),TODAY()-Q72,0))</f>
        <v/>
      </c>
      <c r="S72" s="10" t="str">
        <f aca="false">IF(A72="","",IF(N72=0,"Chưa có tiền hàng",IF(P72&lt;0,"Thu thừa",IF(P72=0,"Đã thu đủ",IF(O72&gt;0,"Thu một phần","Chưa thu")))))</f>
        <v/>
      </c>
      <c r="T72" s="10" t="str">
        <f aca="false">IF(A72="","",IF(AND(F72="Đã giao",H72&lt;&gt;"Đã xuất"),"Đã giao - CHƯA XUẤT HĐ",IF(AND(H72="Đã xuất",F72="Chưa giao"),"Đã xuất HĐ - chưa giao",IF(F72="","Chưa cập nhật giao hàng",IF(R72&gt;0,"Quá hạn "&amp;R72&amp;" ngày - đòi tiền",IF(P72&gt;0,"Chờ thu tiền",IF(P72&lt;0,"Kiểm tra thu thừa",IF(AND(F72="Đã giao",H72="Đã xuất"),"Hoàn tất","Theo dõi"))))))))</f>
        <v/>
      </c>
      <c r="U72" s="8"/>
    </row>
    <row r="73" customFormat="false" ht="15" hidden="false" customHeight="false" outlineLevel="0" collapsed="false">
      <c r="A73" s="8"/>
      <c r="B73" s="9"/>
      <c r="C73" s="8"/>
      <c r="D73" s="10" t="str">
        <f aca="false">IF(C73="","",IFERROR(VLOOKUP(C73,KhachHang!$A$2:$B$200,2,FALSE())&amp;"",""))</f>
        <v/>
      </c>
      <c r="E73" s="8"/>
      <c r="F73" s="8"/>
      <c r="G73" s="9"/>
      <c r="H73" s="8"/>
      <c r="I73" s="8"/>
      <c r="J73" s="9"/>
      <c r="K73" s="11" t="str">
        <f aca="false">IF(A73="","",SUMIFS(ChiTiet!$I$2:$I$2000,ChiTiet!$A$2:$A$2000,A73))</f>
        <v/>
      </c>
      <c r="L73" s="12"/>
      <c r="M73" s="11" t="str">
        <f aca="false">IF(A73="","",ROUND(K73*IF(L73="",0.08,L73),0))</f>
        <v/>
      </c>
      <c r="N73" s="11" t="str">
        <f aca="false">IF(A73="","",K73+M73)</f>
        <v/>
      </c>
      <c r="O73" s="11" t="str">
        <f aca="false">IF(A73="","",SUMIFS(ThuTien!$D$2:$D$2000,ThuTien!$B$2:$B$2000,A73))</f>
        <v/>
      </c>
      <c r="P73" s="11" t="str">
        <f aca="false">IF(A73="","",N73-O73)</f>
        <v/>
      </c>
      <c r="Q73" s="9"/>
      <c r="R73" s="10" t="str">
        <f aca="true">IF(A73="","",IF(AND(Q73&lt;&gt;"",P73&gt;0,TODAY()&gt;Q73),TODAY()-Q73,0))</f>
        <v/>
      </c>
      <c r="S73" s="10" t="str">
        <f aca="false">IF(A73="","",IF(N73=0,"Chưa có tiền hàng",IF(P73&lt;0,"Thu thừa",IF(P73=0,"Đã thu đủ",IF(O73&gt;0,"Thu một phần","Chưa thu")))))</f>
        <v/>
      </c>
      <c r="T73" s="10" t="str">
        <f aca="false">IF(A73="","",IF(AND(F73="Đã giao",H73&lt;&gt;"Đã xuất"),"Đã giao - CHƯA XUẤT HĐ",IF(AND(H73="Đã xuất",F73="Chưa giao"),"Đã xuất HĐ - chưa giao",IF(F73="","Chưa cập nhật giao hàng",IF(R73&gt;0,"Quá hạn "&amp;R73&amp;" ngày - đòi tiền",IF(P73&gt;0,"Chờ thu tiền",IF(P73&lt;0,"Kiểm tra thu thừa",IF(AND(F73="Đã giao",H73="Đã xuất"),"Hoàn tất","Theo dõi"))))))))</f>
        <v/>
      </c>
      <c r="U73" s="8"/>
    </row>
    <row r="74" customFormat="false" ht="15" hidden="false" customHeight="false" outlineLevel="0" collapsed="false">
      <c r="A74" s="8"/>
      <c r="B74" s="9"/>
      <c r="C74" s="8"/>
      <c r="D74" s="10" t="str">
        <f aca="false">IF(C74="","",IFERROR(VLOOKUP(C74,KhachHang!$A$2:$B$200,2,FALSE())&amp;"",""))</f>
        <v/>
      </c>
      <c r="E74" s="8"/>
      <c r="F74" s="8"/>
      <c r="G74" s="9"/>
      <c r="H74" s="8"/>
      <c r="I74" s="8"/>
      <c r="J74" s="9"/>
      <c r="K74" s="11" t="str">
        <f aca="false">IF(A74="","",SUMIFS(ChiTiet!$I$2:$I$2000,ChiTiet!$A$2:$A$2000,A74))</f>
        <v/>
      </c>
      <c r="L74" s="12"/>
      <c r="M74" s="11" t="str">
        <f aca="false">IF(A74="","",ROUND(K74*IF(L74="",0.08,L74),0))</f>
        <v/>
      </c>
      <c r="N74" s="11" t="str">
        <f aca="false">IF(A74="","",K74+M74)</f>
        <v/>
      </c>
      <c r="O74" s="11" t="str">
        <f aca="false">IF(A74="","",SUMIFS(ThuTien!$D$2:$D$2000,ThuTien!$B$2:$B$2000,A74))</f>
        <v/>
      </c>
      <c r="P74" s="11" t="str">
        <f aca="false">IF(A74="","",N74-O74)</f>
        <v/>
      </c>
      <c r="Q74" s="9"/>
      <c r="R74" s="10" t="str">
        <f aca="true">IF(A74="","",IF(AND(Q74&lt;&gt;"",P74&gt;0,TODAY()&gt;Q74),TODAY()-Q74,0))</f>
        <v/>
      </c>
      <c r="S74" s="10" t="str">
        <f aca="false">IF(A74="","",IF(N74=0,"Chưa có tiền hàng",IF(P74&lt;0,"Thu thừa",IF(P74=0,"Đã thu đủ",IF(O74&gt;0,"Thu một phần","Chưa thu")))))</f>
        <v/>
      </c>
      <c r="T74" s="10" t="str">
        <f aca="false">IF(A74="","",IF(AND(F74="Đã giao",H74&lt;&gt;"Đã xuất"),"Đã giao - CHƯA XUẤT HĐ",IF(AND(H74="Đã xuất",F74="Chưa giao"),"Đã xuất HĐ - chưa giao",IF(F74="","Chưa cập nhật giao hàng",IF(R74&gt;0,"Quá hạn "&amp;R74&amp;" ngày - đòi tiền",IF(P74&gt;0,"Chờ thu tiền",IF(P74&lt;0,"Kiểm tra thu thừa",IF(AND(F74="Đã giao",H74="Đã xuất"),"Hoàn tất","Theo dõi"))))))))</f>
        <v/>
      </c>
      <c r="U74" s="8"/>
    </row>
    <row r="75" customFormat="false" ht="15" hidden="false" customHeight="false" outlineLevel="0" collapsed="false">
      <c r="A75" s="8"/>
      <c r="B75" s="9"/>
      <c r="C75" s="8"/>
      <c r="D75" s="10" t="str">
        <f aca="false">IF(C75="","",IFERROR(VLOOKUP(C75,KhachHang!$A$2:$B$200,2,FALSE())&amp;"",""))</f>
        <v/>
      </c>
      <c r="E75" s="8"/>
      <c r="F75" s="8"/>
      <c r="G75" s="9"/>
      <c r="H75" s="8"/>
      <c r="I75" s="8"/>
      <c r="J75" s="9"/>
      <c r="K75" s="11" t="str">
        <f aca="false">IF(A75="","",SUMIFS(ChiTiet!$I$2:$I$2000,ChiTiet!$A$2:$A$2000,A75))</f>
        <v/>
      </c>
      <c r="L75" s="12"/>
      <c r="M75" s="11" t="str">
        <f aca="false">IF(A75="","",ROUND(K75*IF(L75="",0.08,L75),0))</f>
        <v/>
      </c>
      <c r="N75" s="11" t="str">
        <f aca="false">IF(A75="","",K75+M75)</f>
        <v/>
      </c>
      <c r="O75" s="11" t="str">
        <f aca="false">IF(A75="","",SUMIFS(ThuTien!$D$2:$D$2000,ThuTien!$B$2:$B$2000,A75))</f>
        <v/>
      </c>
      <c r="P75" s="11" t="str">
        <f aca="false">IF(A75="","",N75-O75)</f>
        <v/>
      </c>
      <c r="Q75" s="9"/>
      <c r="R75" s="10" t="str">
        <f aca="true">IF(A75="","",IF(AND(Q75&lt;&gt;"",P75&gt;0,TODAY()&gt;Q75),TODAY()-Q75,0))</f>
        <v/>
      </c>
      <c r="S75" s="10" t="str">
        <f aca="false">IF(A75="","",IF(N75=0,"Chưa có tiền hàng",IF(P75&lt;0,"Thu thừa",IF(P75=0,"Đã thu đủ",IF(O75&gt;0,"Thu một phần","Chưa thu")))))</f>
        <v/>
      </c>
      <c r="T75" s="10" t="str">
        <f aca="false">IF(A75="","",IF(AND(F75="Đã giao",H75&lt;&gt;"Đã xuất"),"Đã giao - CHƯA XUẤT HĐ",IF(AND(H75="Đã xuất",F75="Chưa giao"),"Đã xuất HĐ - chưa giao",IF(F75="","Chưa cập nhật giao hàng",IF(R75&gt;0,"Quá hạn "&amp;R75&amp;" ngày - đòi tiền",IF(P75&gt;0,"Chờ thu tiền",IF(P75&lt;0,"Kiểm tra thu thừa",IF(AND(F75="Đã giao",H75="Đã xuất"),"Hoàn tất","Theo dõi"))))))))</f>
        <v/>
      </c>
      <c r="U75" s="8"/>
    </row>
    <row r="76" customFormat="false" ht="15" hidden="false" customHeight="false" outlineLevel="0" collapsed="false">
      <c r="A76" s="8"/>
      <c r="B76" s="9"/>
      <c r="C76" s="8"/>
      <c r="D76" s="10" t="str">
        <f aca="false">IF(C76="","",IFERROR(VLOOKUP(C76,KhachHang!$A$2:$B$200,2,FALSE())&amp;"",""))</f>
        <v/>
      </c>
      <c r="E76" s="8"/>
      <c r="F76" s="8"/>
      <c r="G76" s="9"/>
      <c r="H76" s="8"/>
      <c r="I76" s="8"/>
      <c r="J76" s="9"/>
      <c r="K76" s="11" t="str">
        <f aca="false">IF(A76="","",SUMIFS(ChiTiet!$I$2:$I$2000,ChiTiet!$A$2:$A$2000,A76))</f>
        <v/>
      </c>
      <c r="L76" s="12"/>
      <c r="M76" s="11" t="str">
        <f aca="false">IF(A76="","",ROUND(K76*IF(L76="",0.08,L76),0))</f>
        <v/>
      </c>
      <c r="N76" s="11" t="str">
        <f aca="false">IF(A76="","",K76+M76)</f>
        <v/>
      </c>
      <c r="O76" s="11" t="str">
        <f aca="false">IF(A76="","",SUMIFS(ThuTien!$D$2:$D$2000,ThuTien!$B$2:$B$2000,A76))</f>
        <v/>
      </c>
      <c r="P76" s="11" t="str">
        <f aca="false">IF(A76="","",N76-O76)</f>
        <v/>
      </c>
      <c r="Q76" s="9"/>
      <c r="R76" s="10" t="str">
        <f aca="true">IF(A76="","",IF(AND(Q76&lt;&gt;"",P76&gt;0,TODAY()&gt;Q76),TODAY()-Q76,0))</f>
        <v/>
      </c>
      <c r="S76" s="10" t="str">
        <f aca="false">IF(A76="","",IF(N76=0,"Chưa có tiền hàng",IF(P76&lt;0,"Thu thừa",IF(P76=0,"Đã thu đủ",IF(O76&gt;0,"Thu một phần","Chưa thu")))))</f>
        <v/>
      </c>
      <c r="T76" s="10" t="str">
        <f aca="false">IF(A76="","",IF(AND(F76="Đã giao",H76&lt;&gt;"Đã xuất"),"Đã giao - CHƯA XUẤT HĐ",IF(AND(H76="Đã xuất",F76="Chưa giao"),"Đã xuất HĐ - chưa giao",IF(F76="","Chưa cập nhật giao hàng",IF(R76&gt;0,"Quá hạn "&amp;R76&amp;" ngày - đòi tiền",IF(P76&gt;0,"Chờ thu tiền",IF(P76&lt;0,"Kiểm tra thu thừa",IF(AND(F76="Đã giao",H76="Đã xuất"),"Hoàn tất","Theo dõi"))))))))</f>
        <v/>
      </c>
      <c r="U76" s="8"/>
    </row>
    <row r="77" customFormat="false" ht="15" hidden="false" customHeight="false" outlineLevel="0" collapsed="false">
      <c r="A77" s="8"/>
      <c r="B77" s="9"/>
      <c r="C77" s="8"/>
      <c r="D77" s="10" t="str">
        <f aca="false">IF(C77="","",IFERROR(VLOOKUP(C77,KhachHang!$A$2:$B$200,2,FALSE())&amp;"",""))</f>
        <v/>
      </c>
      <c r="E77" s="8"/>
      <c r="F77" s="8"/>
      <c r="G77" s="9"/>
      <c r="H77" s="8"/>
      <c r="I77" s="8"/>
      <c r="J77" s="9"/>
      <c r="K77" s="11" t="str">
        <f aca="false">IF(A77="","",SUMIFS(ChiTiet!$I$2:$I$2000,ChiTiet!$A$2:$A$2000,A77))</f>
        <v/>
      </c>
      <c r="L77" s="12"/>
      <c r="M77" s="11" t="str">
        <f aca="false">IF(A77="","",ROUND(K77*IF(L77="",0.08,L77),0))</f>
        <v/>
      </c>
      <c r="N77" s="11" t="str">
        <f aca="false">IF(A77="","",K77+M77)</f>
        <v/>
      </c>
      <c r="O77" s="11" t="str">
        <f aca="false">IF(A77="","",SUMIFS(ThuTien!$D$2:$D$2000,ThuTien!$B$2:$B$2000,A77))</f>
        <v/>
      </c>
      <c r="P77" s="11" t="str">
        <f aca="false">IF(A77="","",N77-O77)</f>
        <v/>
      </c>
      <c r="Q77" s="9"/>
      <c r="R77" s="10" t="str">
        <f aca="true">IF(A77="","",IF(AND(Q77&lt;&gt;"",P77&gt;0,TODAY()&gt;Q77),TODAY()-Q77,0))</f>
        <v/>
      </c>
      <c r="S77" s="10" t="str">
        <f aca="false">IF(A77="","",IF(N77=0,"Chưa có tiền hàng",IF(P77&lt;0,"Thu thừa",IF(P77=0,"Đã thu đủ",IF(O77&gt;0,"Thu một phần","Chưa thu")))))</f>
        <v/>
      </c>
      <c r="T77" s="10" t="str">
        <f aca="false">IF(A77="","",IF(AND(F77="Đã giao",H77&lt;&gt;"Đã xuất"),"Đã giao - CHƯA XUẤT HĐ",IF(AND(H77="Đã xuất",F77="Chưa giao"),"Đã xuất HĐ - chưa giao",IF(F77="","Chưa cập nhật giao hàng",IF(R77&gt;0,"Quá hạn "&amp;R77&amp;" ngày - đòi tiền",IF(P77&gt;0,"Chờ thu tiền",IF(P77&lt;0,"Kiểm tra thu thừa",IF(AND(F77="Đã giao",H77="Đã xuất"),"Hoàn tất","Theo dõi"))))))))</f>
        <v/>
      </c>
      <c r="U77" s="8"/>
    </row>
    <row r="78" customFormat="false" ht="15" hidden="false" customHeight="false" outlineLevel="0" collapsed="false">
      <c r="A78" s="8"/>
      <c r="B78" s="9"/>
      <c r="C78" s="8"/>
      <c r="D78" s="10" t="str">
        <f aca="false">IF(C78="","",IFERROR(VLOOKUP(C78,KhachHang!$A$2:$B$200,2,FALSE())&amp;"",""))</f>
        <v/>
      </c>
      <c r="E78" s="8"/>
      <c r="F78" s="8"/>
      <c r="G78" s="9"/>
      <c r="H78" s="8"/>
      <c r="I78" s="8"/>
      <c r="J78" s="9"/>
      <c r="K78" s="11" t="str">
        <f aca="false">IF(A78="","",SUMIFS(ChiTiet!$I$2:$I$2000,ChiTiet!$A$2:$A$2000,A78))</f>
        <v/>
      </c>
      <c r="L78" s="12"/>
      <c r="M78" s="11" t="str">
        <f aca="false">IF(A78="","",ROUND(K78*IF(L78="",0.08,L78),0))</f>
        <v/>
      </c>
      <c r="N78" s="11" t="str">
        <f aca="false">IF(A78="","",K78+M78)</f>
        <v/>
      </c>
      <c r="O78" s="11" t="str">
        <f aca="false">IF(A78="","",SUMIFS(ThuTien!$D$2:$D$2000,ThuTien!$B$2:$B$2000,A78))</f>
        <v/>
      </c>
      <c r="P78" s="11" t="str">
        <f aca="false">IF(A78="","",N78-O78)</f>
        <v/>
      </c>
      <c r="Q78" s="9"/>
      <c r="R78" s="10" t="str">
        <f aca="true">IF(A78="","",IF(AND(Q78&lt;&gt;"",P78&gt;0,TODAY()&gt;Q78),TODAY()-Q78,0))</f>
        <v/>
      </c>
      <c r="S78" s="10" t="str">
        <f aca="false">IF(A78="","",IF(N78=0,"Chưa có tiền hàng",IF(P78&lt;0,"Thu thừa",IF(P78=0,"Đã thu đủ",IF(O78&gt;0,"Thu một phần","Chưa thu")))))</f>
        <v/>
      </c>
      <c r="T78" s="10" t="str">
        <f aca="false">IF(A78="","",IF(AND(F78="Đã giao",H78&lt;&gt;"Đã xuất"),"Đã giao - CHƯA XUẤT HĐ",IF(AND(H78="Đã xuất",F78="Chưa giao"),"Đã xuất HĐ - chưa giao",IF(F78="","Chưa cập nhật giao hàng",IF(R78&gt;0,"Quá hạn "&amp;R78&amp;" ngày - đòi tiền",IF(P78&gt;0,"Chờ thu tiền",IF(P78&lt;0,"Kiểm tra thu thừa",IF(AND(F78="Đã giao",H78="Đã xuất"),"Hoàn tất","Theo dõi"))))))))</f>
        <v/>
      </c>
      <c r="U78" s="8"/>
    </row>
    <row r="79" customFormat="false" ht="15" hidden="false" customHeight="false" outlineLevel="0" collapsed="false">
      <c r="A79" s="8"/>
      <c r="B79" s="9"/>
      <c r="C79" s="8"/>
      <c r="D79" s="10" t="str">
        <f aca="false">IF(C79="","",IFERROR(VLOOKUP(C79,KhachHang!$A$2:$B$200,2,FALSE())&amp;"",""))</f>
        <v/>
      </c>
      <c r="E79" s="8"/>
      <c r="F79" s="8"/>
      <c r="G79" s="9"/>
      <c r="H79" s="8"/>
      <c r="I79" s="8"/>
      <c r="J79" s="9"/>
      <c r="K79" s="11" t="str">
        <f aca="false">IF(A79="","",SUMIFS(ChiTiet!$I$2:$I$2000,ChiTiet!$A$2:$A$2000,A79))</f>
        <v/>
      </c>
      <c r="L79" s="12"/>
      <c r="M79" s="11" t="str">
        <f aca="false">IF(A79="","",ROUND(K79*IF(L79="",0.08,L79),0))</f>
        <v/>
      </c>
      <c r="N79" s="11" t="str">
        <f aca="false">IF(A79="","",K79+M79)</f>
        <v/>
      </c>
      <c r="O79" s="11" t="str">
        <f aca="false">IF(A79="","",SUMIFS(ThuTien!$D$2:$D$2000,ThuTien!$B$2:$B$2000,A79))</f>
        <v/>
      </c>
      <c r="P79" s="11" t="str">
        <f aca="false">IF(A79="","",N79-O79)</f>
        <v/>
      </c>
      <c r="Q79" s="9"/>
      <c r="R79" s="10" t="str">
        <f aca="true">IF(A79="","",IF(AND(Q79&lt;&gt;"",P79&gt;0,TODAY()&gt;Q79),TODAY()-Q79,0))</f>
        <v/>
      </c>
      <c r="S79" s="10" t="str">
        <f aca="false">IF(A79="","",IF(N79=0,"Chưa có tiền hàng",IF(P79&lt;0,"Thu thừa",IF(P79=0,"Đã thu đủ",IF(O79&gt;0,"Thu một phần","Chưa thu")))))</f>
        <v/>
      </c>
      <c r="T79" s="10" t="str">
        <f aca="false">IF(A79="","",IF(AND(F79="Đã giao",H79&lt;&gt;"Đã xuất"),"Đã giao - CHƯA XUẤT HĐ",IF(AND(H79="Đã xuất",F79="Chưa giao"),"Đã xuất HĐ - chưa giao",IF(F79="","Chưa cập nhật giao hàng",IF(R79&gt;0,"Quá hạn "&amp;R79&amp;" ngày - đòi tiền",IF(P79&gt;0,"Chờ thu tiền",IF(P79&lt;0,"Kiểm tra thu thừa",IF(AND(F79="Đã giao",H79="Đã xuất"),"Hoàn tất","Theo dõi"))))))))</f>
        <v/>
      </c>
      <c r="U79" s="8"/>
    </row>
    <row r="80" customFormat="false" ht="15" hidden="false" customHeight="false" outlineLevel="0" collapsed="false">
      <c r="A80" s="8"/>
      <c r="B80" s="9"/>
      <c r="C80" s="8"/>
      <c r="D80" s="10" t="str">
        <f aca="false">IF(C80="","",IFERROR(VLOOKUP(C80,KhachHang!$A$2:$B$200,2,FALSE())&amp;"",""))</f>
        <v/>
      </c>
      <c r="E80" s="8"/>
      <c r="F80" s="8"/>
      <c r="G80" s="9"/>
      <c r="H80" s="8"/>
      <c r="I80" s="8"/>
      <c r="J80" s="9"/>
      <c r="K80" s="11" t="str">
        <f aca="false">IF(A80="","",SUMIFS(ChiTiet!$I$2:$I$2000,ChiTiet!$A$2:$A$2000,A80))</f>
        <v/>
      </c>
      <c r="L80" s="12"/>
      <c r="M80" s="11" t="str">
        <f aca="false">IF(A80="","",ROUND(K80*IF(L80="",0.08,L80),0))</f>
        <v/>
      </c>
      <c r="N80" s="11" t="str">
        <f aca="false">IF(A80="","",K80+M80)</f>
        <v/>
      </c>
      <c r="O80" s="11" t="str">
        <f aca="false">IF(A80="","",SUMIFS(ThuTien!$D$2:$D$2000,ThuTien!$B$2:$B$2000,A80))</f>
        <v/>
      </c>
      <c r="P80" s="11" t="str">
        <f aca="false">IF(A80="","",N80-O80)</f>
        <v/>
      </c>
      <c r="Q80" s="9"/>
      <c r="R80" s="10" t="str">
        <f aca="true">IF(A80="","",IF(AND(Q80&lt;&gt;"",P80&gt;0,TODAY()&gt;Q80),TODAY()-Q80,0))</f>
        <v/>
      </c>
      <c r="S80" s="10" t="str">
        <f aca="false">IF(A80="","",IF(N80=0,"Chưa có tiền hàng",IF(P80&lt;0,"Thu thừa",IF(P80=0,"Đã thu đủ",IF(O80&gt;0,"Thu một phần","Chưa thu")))))</f>
        <v/>
      </c>
      <c r="T80" s="10" t="str">
        <f aca="false">IF(A80="","",IF(AND(F80="Đã giao",H80&lt;&gt;"Đã xuất"),"Đã giao - CHƯA XUẤT HĐ",IF(AND(H80="Đã xuất",F80="Chưa giao"),"Đã xuất HĐ - chưa giao",IF(F80="","Chưa cập nhật giao hàng",IF(R80&gt;0,"Quá hạn "&amp;R80&amp;" ngày - đòi tiền",IF(P80&gt;0,"Chờ thu tiền",IF(P80&lt;0,"Kiểm tra thu thừa",IF(AND(F80="Đã giao",H80="Đã xuất"),"Hoàn tất","Theo dõi"))))))))</f>
        <v/>
      </c>
      <c r="U80" s="8"/>
    </row>
    <row r="81" customFormat="false" ht="15" hidden="false" customHeight="false" outlineLevel="0" collapsed="false">
      <c r="A81" s="8"/>
      <c r="B81" s="9"/>
      <c r="C81" s="8"/>
      <c r="D81" s="10" t="str">
        <f aca="false">IF(C81="","",IFERROR(VLOOKUP(C81,KhachHang!$A$2:$B$200,2,FALSE())&amp;"",""))</f>
        <v/>
      </c>
      <c r="E81" s="8"/>
      <c r="F81" s="8"/>
      <c r="G81" s="9"/>
      <c r="H81" s="8"/>
      <c r="I81" s="8"/>
      <c r="J81" s="9"/>
      <c r="K81" s="11" t="str">
        <f aca="false">IF(A81="","",SUMIFS(ChiTiet!$I$2:$I$2000,ChiTiet!$A$2:$A$2000,A81))</f>
        <v/>
      </c>
      <c r="L81" s="12"/>
      <c r="M81" s="11" t="str">
        <f aca="false">IF(A81="","",ROUND(K81*IF(L81="",0.08,L81),0))</f>
        <v/>
      </c>
      <c r="N81" s="11" t="str">
        <f aca="false">IF(A81="","",K81+M81)</f>
        <v/>
      </c>
      <c r="O81" s="11" t="str">
        <f aca="false">IF(A81="","",SUMIFS(ThuTien!$D$2:$D$2000,ThuTien!$B$2:$B$2000,A81))</f>
        <v/>
      </c>
      <c r="P81" s="11" t="str">
        <f aca="false">IF(A81="","",N81-O81)</f>
        <v/>
      </c>
      <c r="Q81" s="9"/>
      <c r="R81" s="10" t="str">
        <f aca="true">IF(A81="","",IF(AND(Q81&lt;&gt;"",P81&gt;0,TODAY()&gt;Q81),TODAY()-Q81,0))</f>
        <v/>
      </c>
      <c r="S81" s="10" t="str">
        <f aca="false">IF(A81="","",IF(N81=0,"Chưa có tiền hàng",IF(P81&lt;0,"Thu thừa",IF(P81=0,"Đã thu đủ",IF(O81&gt;0,"Thu một phần","Chưa thu")))))</f>
        <v/>
      </c>
      <c r="T81" s="10" t="str">
        <f aca="false">IF(A81="","",IF(AND(F81="Đã giao",H81&lt;&gt;"Đã xuất"),"Đã giao - CHƯA XUẤT HĐ",IF(AND(H81="Đã xuất",F81="Chưa giao"),"Đã xuất HĐ - chưa giao",IF(F81="","Chưa cập nhật giao hàng",IF(R81&gt;0,"Quá hạn "&amp;R81&amp;" ngày - đòi tiền",IF(P81&gt;0,"Chờ thu tiền",IF(P81&lt;0,"Kiểm tra thu thừa",IF(AND(F81="Đã giao",H81="Đã xuất"),"Hoàn tất","Theo dõi"))))))))</f>
        <v/>
      </c>
      <c r="U81" s="8"/>
    </row>
    <row r="82" customFormat="false" ht="15" hidden="false" customHeight="false" outlineLevel="0" collapsed="false">
      <c r="A82" s="8"/>
      <c r="B82" s="9"/>
      <c r="C82" s="8"/>
      <c r="D82" s="10" t="str">
        <f aca="false">IF(C82="","",IFERROR(VLOOKUP(C82,KhachHang!$A$2:$B$200,2,FALSE())&amp;"",""))</f>
        <v/>
      </c>
      <c r="E82" s="8"/>
      <c r="F82" s="8"/>
      <c r="G82" s="9"/>
      <c r="H82" s="8"/>
      <c r="I82" s="8"/>
      <c r="J82" s="9"/>
      <c r="K82" s="11" t="str">
        <f aca="false">IF(A82="","",SUMIFS(ChiTiet!$I$2:$I$2000,ChiTiet!$A$2:$A$2000,A82))</f>
        <v/>
      </c>
      <c r="L82" s="12"/>
      <c r="M82" s="11" t="str">
        <f aca="false">IF(A82="","",ROUND(K82*IF(L82="",0.08,L82),0))</f>
        <v/>
      </c>
      <c r="N82" s="11" t="str">
        <f aca="false">IF(A82="","",K82+M82)</f>
        <v/>
      </c>
      <c r="O82" s="11" t="str">
        <f aca="false">IF(A82="","",SUMIFS(ThuTien!$D$2:$D$2000,ThuTien!$B$2:$B$2000,A82))</f>
        <v/>
      </c>
      <c r="P82" s="11" t="str">
        <f aca="false">IF(A82="","",N82-O82)</f>
        <v/>
      </c>
      <c r="Q82" s="9"/>
      <c r="R82" s="10" t="str">
        <f aca="true">IF(A82="","",IF(AND(Q82&lt;&gt;"",P82&gt;0,TODAY()&gt;Q82),TODAY()-Q82,0))</f>
        <v/>
      </c>
      <c r="S82" s="10" t="str">
        <f aca="false">IF(A82="","",IF(N82=0,"Chưa có tiền hàng",IF(P82&lt;0,"Thu thừa",IF(P82=0,"Đã thu đủ",IF(O82&gt;0,"Thu một phần","Chưa thu")))))</f>
        <v/>
      </c>
      <c r="T82" s="10" t="str">
        <f aca="false">IF(A82="","",IF(AND(F82="Đã giao",H82&lt;&gt;"Đã xuất"),"Đã giao - CHƯA XUẤT HĐ",IF(AND(H82="Đã xuất",F82="Chưa giao"),"Đã xuất HĐ - chưa giao",IF(F82="","Chưa cập nhật giao hàng",IF(R82&gt;0,"Quá hạn "&amp;R82&amp;" ngày - đòi tiền",IF(P82&gt;0,"Chờ thu tiền",IF(P82&lt;0,"Kiểm tra thu thừa",IF(AND(F82="Đã giao",H82="Đã xuất"),"Hoàn tất","Theo dõi"))))))))</f>
        <v/>
      </c>
      <c r="U82" s="8"/>
    </row>
    <row r="83" customFormat="false" ht="15" hidden="false" customHeight="false" outlineLevel="0" collapsed="false">
      <c r="A83" s="8"/>
      <c r="B83" s="9"/>
      <c r="C83" s="8"/>
      <c r="D83" s="10" t="str">
        <f aca="false">IF(C83="","",IFERROR(VLOOKUP(C83,KhachHang!$A$2:$B$200,2,FALSE())&amp;"",""))</f>
        <v/>
      </c>
      <c r="E83" s="8"/>
      <c r="F83" s="8"/>
      <c r="G83" s="9"/>
      <c r="H83" s="8"/>
      <c r="I83" s="8"/>
      <c r="J83" s="9"/>
      <c r="K83" s="11" t="str">
        <f aca="false">IF(A83="","",SUMIFS(ChiTiet!$I$2:$I$2000,ChiTiet!$A$2:$A$2000,A83))</f>
        <v/>
      </c>
      <c r="L83" s="12"/>
      <c r="M83" s="11" t="str">
        <f aca="false">IF(A83="","",ROUND(K83*IF(L83="",0.08,L83),0))</f>
        <v/>
      </c>
      <c r="N83" s="11" t="str">
        <f aca="false">IF(A83="","",K83+M83)</f>
        <v/>
      </c>
      <c r="O83" s="11" t="str">
        <f aca="false">IF(A83="","",SUMIFS(ThuTien!$D$2:$D$2000,ThuTien!$B$2:$B$2000,A83))</f>
        <v/>
      </c>
      <c r="P83" s="11" t="str">
        <f aca="false">IF(A83="","",N83-O83)</f>
        <v/>
      </c>
      <c r="Q83" s="9"/>
      <c r="R83" s="10" t="str">
        <f aca="true">IF(A83="","",IF(AND(Q83&lt;&gt;"",P83&gt;0,TODAY()&gt;Q83),TODAY()-Q83,0))</f>
        <v/>
      </c>
      <c r="S83" s="10" t="str">
        <f aca="false">IF(A83="","",IF(N83=0,"Chưa có tiền hàng",IF(P83&lt;0,"Thu thừa",IF(P83=0,"Đã thu đủ",IF(O83&gt;0,"Thu một phần","Chưa thu")))))</f>
        <v/>
      </c>
      <c r="T83" s="10" t="str">
        <f aca="false">IF(A83="","",IF(AND(F83="Đã giao",H83&lt;&gt;"Đã xuất"),"Đã giao - CHƯA XUẤT HĐ",IF(AND(H83="Đã xuất",F83="Chưa giao"),"Đã xuất HĐ - chưa giao",IF(F83="","Chưa cập nhật giao hàng",IF(R83&gt;0,"Quá hạn "&amp;R83&amp;" ngày - đòi tiền",IF(P83&gt;0,"Chờ thu tiền",IF(P83&lt;0,"Kiểm tra thu thừa",IF(AND(F83="Đã giao",H83="Đã xuất"),"Hoàn tất","Theo dõi"))))))))</f>
        <v/>
      </c>
      <c r="U83" s="8"/>
    </row>
    <row r="84" customFormat="false" ht="15" hidden="false" customHeight="false" outlineLevel="0" collapsed="false">
      <c r="A84" s="8"/>
      <c r="B84" s="9"/>
      <c r="C84" s="8"/>
      <c r="D84" s="10" t="str">
        <f aca="false">IF(C84="","",IFERROR(VLOOKUP(C84,KhachHang!$A$2:$B$200,2,FALSE())&amp;"",""))</f>
        <v/>
      </c>
      <c r="E84" s="8"/>
      <c r="F84" s="8"/>
      <c r="G84" s="9"/>
      <c r="H84" s="8"/>
      <c r="I84" s="8"/>
      <c r="J84" s="9"/>
      <c r="K84" s="11" t="str">
        <f aca="false">IF(A84="","",SUMIFS(ChiTiet!$I$2:$I$2000,ChiTiet!$A$2:$A$2000,A84))</f>
        <v/>
      </c>
      <c r="L84" s="12"/>
      <c r="M84" s="11" t="str">
        <f aca="false">IF(A84="","",ROUND(K84*IF(L84="",0.08,L84),0))</f>
        <v/>
      </c>
      <c r="N84" s="11" t="str">
        <f aca="false">IF(A84="","",K84+M84)</f>
        <v/>
      </c>
      <c r="O84" s="11" t="str">
        <f aca="false">IF(A84="","",SUMIFS(ThuTien!$D$2:$D$2000,ThuTien!$B$2:$B$2000,A84))</f>
        <v/>
      </c>
      <c r="P84" s="11" t="str">
        <f aca="false">IF(A84="","",N84-O84)</f>
        <v/>
      </c>
      <c r="Q84" s="9"/>
      <c r="R84" s="10" t="str">
        <f aca="true">IF(A84="","",IF(AND(Q84&lt;&gt;"",P84&gt;0,TODAY()&gt;Q84),TODAY()-Q84,0))</f>
        <v/>
      </c>
      <c r="S84" s="10" t="str">
        <f aca="false">IF(A84="","",IF(N84=0,"Chưa có tiền hàng",IF(P84&lt;0,"Thu thừa",IF(P84=0,"Đã thu đủ",IF(O84&gt;0,"Thu một phần","Chưa thu")))))</f>
        <v/>
      </c>
      <c r="T84" s="10" t="str">
        <f aca="false">IF(A84="","",IF(AND(F84="Đã giao",H84&lt;&gt;"Đã xuất"),"Đã giao - CHƯA XUẤT HĐ",IF(AND(H84="Đã xuất",F84="Chưa giao"),"Đã xuất HĐ - chưa giao",IF(F84="","Chưa cập nhật giao hàng",IF(R84&gt;0,"Quá hạn "&amp;R84&amp;" ngày - đòi tiền",IF(P84&gt;0,"Chờ thu tiền",IF(P84&lt;0,"Kiểm tra thu thừa",IF(AND(F84="Đã giao",H84="Đã xuất"),"Hoàn tất","Theo dõi"))))))))</f>
        <v/>
      </c>
      <c r="U84" s="8"/>
    </row>
    <row r="85" customFormat="false" ht="15" hidden="false" customHeight="false" outlineLevel="0" collapsed="false">
      <c r="A85" s="8"/>
      <c r="B85" s="9"/>
      <c r="C85" s="8"/>
      <c r="D85" s="10" t="str">
        <f aca="false">IF(C85="","",IFERROR(VLOOKUP(C85,KhachHang!$A$2:$B$200,2,FALSE())&amp;"",""))</f>
        <v/>
      </c>
      <c r="E85" s="8"/>
      <c r="F85" s="8"/>
      <c r="G85" s="9"/>
      <c r="H85" s="8"/>
      <c r="I85" s="8"/>
      <c r="J85" s="9"/>
      <c r="K85" s="11" t="str">
        <f aca="false">IF(A85="","",SUMIFS(ChiTiet!$I$2:$I$2000,ChiTiet!$A$2:$A$2000,A85))</f>
        <v/>
      </c>
      <c r="L85" s="12"/>
      <c r="M85" s="11" t="str">
        <f aca="false">IF(A85="","",ROUND(K85*IF(L85="",0.08,L85),0))</f>
        <v/>
      </c>
      <c r="N85" s="11" t="str">
        <f aca="false">IF(A85="","",K85+M85)</f>
        <v/>
      </c>
      <c r="O85" s="11" t="str">
        <f aca="false">IF(A85="","",SUMIFS(ThuTien!$D$2:$D$2000,ThuTien!$B$2:$B$2000,A85))</f>
        <v/>
      </c>
      <c r="P85" s="11" t="str">
        <f aca="false">IF(A85="","",N85-O85)</f>
        <v/>
      </c>
      <c r="Q85" s="9"/>
      <c r="R85" s="10" t="str">
        <f aca="true">IF(A85="","",IF(AND(Q85&lt;&gt;"",P85&gt;0,TODAY()&gt;Q85),TODAY()-Q85,0))</f>
        <v/>
      </c>
      <c r="S85" s="10" t="str">
        <f aca="false">IF(A85="","",IF(N85=0,"Chưa có tiền hàng",IF(P85&lt;0,"Thu thừa",IF(P85=0,"Đã thu đủ",IF(O85&gt;0,"Thu một phần","Chưa thu")))))</f>
        <v/>
      </c>
      <c r="T85" s="10" t="str">
        <f aca="false">IF(A85="","",IF(AND(F85="Đã giao",H85&lt;&gt;"Đã xuất"),"Đã giao - CHƯA XUẤT HĐ",IF(AND(H85="Đã xuất",F85="Chưa giao"),"Đã xuất HĐ - chưa giao",IF(F85="","Chưa cập nhật giao hàng",IF(R85&gt;0,"Quá hạn "&amp;R85&amp;" ngày - đòi tiền",IF(P85&gt;0,"Chờ thu tiền",IF(P85&lt;0,"Kiểm tra thu thừa",IF(AND(F85="Đã giao",H85="Đã xuất"),"Hoàn tất","Theo dõi"))))))))</f>
        <v/>
      </c>
      <c r="U85" s="8"/>
    </row>
    <row r="86" customFormat="false" ht="15" hidden="false" customHeight="false" outlineLevel="0" collapsed="false">
      <c r="A86" s="8"/>
      <c r="B86" s="9"/>
      <c r="C86" s="8"/>
      <c r="D86" s="10" t="str">
        <f aca="false">IF(C86="","",IFERROR(VLOOKUP(C86,KhachHang!$A$2:$B$200,2,FALSE())&amp;"",""))</f>
        <v/>
      </c>
      <c r="E86" s="8"/>
      <c r="F86" s="8"/>
      <c r="G86" s="9"/>
      <c r="H86" s="8"/>
      <c r="I86" s="8"/>
      <c r="J86" s="9"/>
      <c r="K86" s="11" t="str">
        <f aca="false">IF(A86="","",SUMIFS(ChiTiet!$I$2:$I$2000,ChiTiet!$A$2:$A$2000,A86))</f>
        <v/>
      </c>
      <c r="L86" s="12"/>
      <c r="M86" s="11" t="str">
        <f aca="false">IF(A86="","",ROUND(K86*IF(L86="",0.08,L86),0))</f>
        <v/>
      </c>
      <c r="N86" s="11" t="str">
        <f aca="false">IF(A86="","",K86+M86)</f>
        <v/>
      </c>
      <c r="O86" s="11" t="str">
        <f aca="false">IF(A86="","",SUMIFS(ThuTien!$D$2:$D$2000,ThuTien!$B$2:$B$2000,A86))</f>
        <v/>
      </c>
      <c r="P86" s="11" t="str">
        <f aca="false">IF(A86="","",N86-O86)</f>
        <v/>
      </c>
      <c r="Q86" s="9"/>
      <c r="R86" s="10" t="str">
        <f aca="true">IF(A86="","",IF(AND(Q86&lt;&gt;"",P86&gt;0,TODAY()&gt;Q86),TODAY()-Q86,0))</f>
        <v/>
      </c>
      <c r="S86" s="10" t="str">
        <f aca="false">IF(A86="","",IF(N86=0,"Chưa có tiền hàng",IF(P86&lt;0,"Thu thừa",IF(P86=0,"Đã thu đủ",IF(O86&gt;0,"Thu một phần","Chưa thu")))))</f>
        <v/>
      </c>
      <c r="T86" s="10" t="str">
        <f aca="false">IF(A86="","",IF(AND(F86="Đã giao",H86&lt;&gt;"Đã xuất"),"Đã giao - CHƯA XUẤT HĐ",IF(AND(H86="Đã xuất",F86="Chưa giao"),"Đã xuất HĐ - chưa giao",IF(F86="","Chưa cập nhật giao hàng",IF(R86&gt;0,"Quá hạn "&amp;R86&amp;" ngày - đòi tiền",IF(P86&gt;0,"Chờ thu tiền",IF(P86&lt;0,"Kiểm tra thu thừa",IF(AND(F86="Đã giao",H86="Đã xuất"),"Hoàn tất","Theo dõi"))))))))</f>
        <v/>
      </c>
      <c r="U86" s="8"/>
    </row>
    <row r="87" customFormat="false" ht="15" hidden="false" customHeight="false" outlineLevel="0" collapsed="false">
      <c r="A87" s="8"/>
      <c r="B87" s="9"/>
      <c r="C87" s="8"/>
      <c r="D87" s="10" t="str">
        <f aca="false">IF(C87="","",IFERROR(VLOOKUP(C87,KhachHang!$A$2:$B$200,2,FALSE())&amp;"",""))</f>
        <v/>
      </c>
      <c r="E87" s="8"/>
      <c r="F87" s="8"/>
      <c r="G87" s="9"/>
      <c r="H87" s="8"/>
      <c r="I87" s="8"/>
      <c r="J87" s="9"/>
      <c r="K87" s="11" t="str">
        <f aca="false">IF(A87="","",SUMIFS(ChiTiet!$I$2:$I$2000,ChiTiet!$A$2:$A$2000,A87))</f>
        <v/>
      </c>
      <c r="L87" s="12"/>
      <c r="M87" s="11" t="str">
        <f aca="false">IF(A87="","",ROUND(K87*IF(L87="",0.08,L87),0))</f>
        <v/>
      </c>
      <c r="N87" s="11" t="str">
        <f aca="false">IF(A87="","",K87+M87)</f>
        <v/>
      </c>
      <c r="O87" s="11" t="str">
        <f aca="false">IF(A87="","",SUMIFS(ThuTien!$D$2:$D$2000,ThuTien!$B$2:$B$2000,A87))</f>
        <v/>
      </c>
      <c r="P87" s="11" t="str">
        <f aca="false">IF(A87="","",N87-O87)</f>
        <v/>
      </c>
      <c r="Q87" s="9"/>
      <c r="R87" s="10" t="str">
        <f aca="true">IF(A87="","",IF(AND(Q87&lt;&gt;"",P87&gt;0,TODAY()&gt;Q87),TODAY()-Q87,0))</f>
        <v/>
      </c>
      <c r="S87" s="10" t="str">
        <f aca="false">IF(A87="","",IF(N87=0,"Chưa có tiền hàng",IF(P87&lt;0,"Thu thừa",IF(P87=0,"Đã thu đủ",IF(O87&gt;0,"Thu một phần","Chưa thu")))))</f>
        <v/>
      </c>
      <c r="T87" s="10" t="str">
        <f aca="false">IF(A87="","",IF(AND(F87="Đã giao",H87&lt;&gt;"Đã xuất"),"Đã giao - CHƯA XUẤT HĐ",IF(AND(H87="Đã xuất",F87="Chưa giao"),"Đã xuất HĐ - chưa giao",IF(F87="","Chưa cập nhật giao hàng",IF(R87&gt;0,"Quá hạn "&amp;R87&amp;" ngày - đòi tiền",IF(P87&gt;0,"Chờ thu tiền",IF(P87&lt;0,"Kiểm tra thu thừa",IF(AND(F87="Đã giao",H87="Đã xuất"),"Hoàn tất","Theo dõi"))))))))</f>
        <v/>
      </c>
      <c r="U87" s="8"/>
    </row>
    <row r="88" customFormat="false" ht="15" hidden="false" customHeight="false" outlineLevel="0" collapsed="false">
      <c r="A88" s="8"/>
      <c r="B88" s="9"/>
      <c r="C88" s="8"/>
      <c r="D88" s="10" t="str">
        <f aca="false">IF(C88="","",IFERROR(VLOOKUP(C88,KhachHang!$A$2:$B$200,2,FALSE())&amp;"",""))</f>
        <v/>
      </c>
      <c r="E88" s="8"/>
      <c r="F88" s="8"/>
      <c r="G88" s="9"/>
      <c r="H88" s="8"/>
      <c r="I88" s="8"/>
      <c r="J88" s="9"/>
      <c r="K88" s="11" t="str">
        <f aca="false">IF(A88="","",SUMIFS(ChiTiet!$I$2:$I$2000,ChiTiet!$A$2:$A$2000,A88))</f>
        <v/>
      </c>
      <c r="L88" s="12"/>
      <c r="M88" s="11" t="str">
        <f aca="false">IF(A88="","",ROUND(K88*IF(L88="",0.08,L88),0))</f>
        <v/>
      </c>
      <c r="N88" s="11" t="str">
        <f aca="false">IF(A88="","",K88+M88)</f>
        <v/>
      </c>
      <c r="O88" s="11" t="str">
        <f aca="false">IF(A88="","",SUMIFS(ThuTien!$D$2:$D$2000,ThuTien!$B$2:$B$2000,A88))</f>
        <v/>
      </c>
      <c r="P88" s="11" t="str">
        <f aca="false">IF(A88="","",N88-O88)</f>
        <v/>
      </c>
      <c r="Q88" s="9"/>
      <c r="R88" s="10" t="str">
        <f aca="true">IF(A88="","",IF(AND(Q88&lt;&gt;"",P88&gt;0,TODAY()&gt;Q88),TODAY()-Q88,0))</f>
        <v/>
      </c>
      <c r="S88" s="10" t="str">
        <f aca="false">IF(A88="","",IF(N88=0,"Chưa có tiền hàng",IF(P88&lt;0,"Thu thừa",IF(P88=0,"Đã thu đủ",IF(O88&gt;0,"Thu một phần","Chưa thu")))))</f>
        <v/>
      </c>
      <c r="T88" s="10" t="str">
        <f aca="false">IF(A88="","",IF(AND(F88="Đã giao",H88&lt;&gt;"Đã xuất"),"Đã giao - CHƯA XUẤT HĐ",IF(AND(H88="Đã xuất",F88="Chưa giao"),"Đã xuất HĐ - chưa giao",IF(F88="","Chưa cập nhật giao hàng",IF(R88&gt;0,"Quá hạn "&amp;R88&amp;" ngày - đòi tiền",IF(P88&gt;0,"Chờ thu tiền",IF(P88&lt;0,"Kiểm tra thu thừa",IF(AND(F88="Đã giao",H88="Đã xuất"),"Hoàn tất","Theo dõi"))))))))</f>
        <v/>
      </c>
      <c r="U88" s="8"/>
    </row>
    <row r="89" customFormat="false" ht="15" hidden="false" customHeight="false" outlineLevel="0" collapsed="false">
      <c r="A89" s="8"/>
      <c r="B89" s="9"/>
      <c r="C89" s="8"/>
      <c r="D89" s="10" t="str">
        <f aca="false">IF(C89="","",IFERROR(VLOOKUP(C89,KhachHang!$A$2:$B$200,2,FALSE())&amp;"",""))</f>
        <v/>
      </c>
      <c r="E89" s="8"/>
      <c r="F89" s="8"/>
      <c r="G89" s="9"/>
      <c r="H89" s="8"/>
      <c r="I89" s="8"/>
      <c r="J89" s="9"/>
      <c r="K89" s="11" t="str">
        <f aca="false">IF(A89="","",SUMIFS(ChiTiet!$I$2:$I$2000,ChiTiet!$A$2:$A$2000,A89))</f>
        <v/>
      </c>
      <c r="L89" s="12"/>
      <c r="M89" s="11" t="str">
        <f aca="false">IF(A89="","",ROUND(K89*IF(L89="",0.08,L89),0))</f>
        <v/>
      </c>
      <c r="N89" s="11" t="str">
        <f aca="false">IF(A89="","",K89+M89)</f>
        <v/>
      </c>
      <c r="O89" s="11" t="str">
        <f aca="false">IF(A89="","",SUMIFS(ThuTien!$D$2:$D$2000,ThuTien!$B$2:$B$2000,A89))</f>
        <v/>
      </c>
      <c r="P89" s="11" t="str">
        <f aca="false">IF(A89="","",N89-O89)</f>
        <v/>
      </c>
      <c r="Q89" s="9"/>
      <c r="R89" s="10" t="str">
        <f aca="true">IF(A89="","",IF(AND(Q89&lt;&gt;"",P89&gt;0,TODAY()&gt;Q89),TODAY()-Q89,0))</f>
        <v/>
      </c>
      <c r="S89" s="10" t="str">
        <f aca="false">IF(A89="","",IF(N89=0,"Chưa có tiền hàng",IF(P89&lt;0,"Thu thừa",IF(P89=0,"Đã thu đủ",IF(O89&gt;0,"Thu một phần","Chưa thu")))))</f>
        <v/>
      </c>
      <c r="T89" s="10" t="str">
        <f aca="false">IF(A89="","",IF(AND(F89="Đã giao",H89&lt;&gt;"Đã xuất"),"Đã giao - CHƯA XUẤT HĐ",IF(AND(H89="Đã xuất",F89="Chưa giao"),"Đã xuất HĐ - chưa giao",IF(F89="","Chưa cập nhật giao hàng",IF(R89&gt;0,"Quá hạn "&amp;R89&amp;" ngày - đòi tiền",IF(P89&gt;0,"Chờ thu tiền",IF(P89&lt;0,"Kiểm tra thu thừa",IF(AND(F89="Đã giao",H89="Đã xuất"),"Hoàn tất","Theo dõi"))))))))</f>
        <v/>
      </c>
      <c r="U89" s="8"/>
    </row>
    <row r="90" customFormat="false" ht="15" hidden="false" customHeight="false" outlineLevel="0" collapsed="false">
      <c r="A90" s="8"/>
      <c r="B90" s="9"/>
      <c r="C90" s="8"/>
      <c r="D90" s="10" t="str">
        <f aca="false">IF(C90="","",IFERROR(VLOOKUP(C90,KhachHang!$A$2:$B$200,2,FALSE())&amp;"",""))</f>
        <v/>
      </c>
      <c r="E90" s="8"/>
      <c r="F90" s="8"/>
      <c r="G90" s="9"/>
      <c r="H90" s="8"/>
      <c r="I90" s="8"/>
      <c r="J90" s="9"/>
      <c r="K90" s="11" t="str">
        <f aca="false">IF(A90="","",SUMIFS(ChiTiet!$I$2:$I$2000,ChiTiet!$A$2:$A$2000,A90))</f>
        <v/>
      </c>
      <c r="L90" s="12"/>
      <c r="M90" s="11" t="str">
        <f aca="false">IF(A90="","",ROUND(K90*IF(L90="",0.08,L90),0))</f>
        <v/>
      </c>
      <c r="N90" s="11" t="str">
        <f aca="false">IF(A90="","",K90+M90)</f>
        <v/>
      </c>
      <c r="O90" s="11" t="str">
        <f aca="false">IF(A90="","",SUMIFS(ThuTien!$D$2:$D$2000,ThuTien!$B$2:$B$2000,A90))</f>
        <v/>
      </c>
      <c r="P90" s="11" t="str">
        <f aca="false">IF(A90="","",N90-O90)</f>
        <v/>
      </c>
      <c r="Q90" s="9"/>
      <c r="R90" s="10" t="str">
        <f aca="true">IF(A90="","",IF(AND(Q90&lt;&gt;"",P90&gt;0,TODAY()&gt;Q90),TODAY()-Q90,0))</f>
        <v/>
      </c>
      <c r="S90" s="10" t="str">
        <f aca="false">IF(A90="","",IF(N90=0,"Chưa có tiền hàng",IF(P90&lt;0,"Thu thừa",IF(P90=0,"Đã thu đủ",IF(O90&gt;0,"Thu một phần","Chưa thu")))))</f>
        <v/>
      </c>
      <c r="T90" s="10" t="str">
        <f aca="false">IF(A90="","",IF(AND(F90="Đã giao",H90&lt;&gt;"Đã xuất"),"Đã giao - CHƯA XUẤT HĐ",IF(AND(H90="Đã xuất",F90="Chưa giao"),"Đã xuất HĐ - chưa giao",IF(F90="","Chưa cập nhật giao hàng",IF(R90&gt;0,"Quá hạn "&amp;R90&amp;" ngày - đòi tiền",IF(P90&gt;0,"Chờ thu tiền",IF(P90&lt;0,"Kiểm tra thu thừa",IF(AND(F90="Đã giao",H90="Đã xuất"),"Hoàn tất","Theo dõi"))))))))</f>
        <v/>
      </c>
      <c r="U90" s="8"/>
    </row>
    <row r="91" customFormat="false" ht="15" hidden="false" customHeight="false" outlineLevel="0" collapsed="false">
      <c r="A91" s="8"/>
      <c r="B91" s="9"/>
      <c r="C91" s="8"/>
      <c r="D91" s="10" t="str">
        <f aca="false">IF(C91="","",IFERROR(VLOOKUP(C91,KhachHang!$A$2:$B$200,2,FALSE())&amp;"",""))</f>
        <v/>
      </c>
      <c r="E91" s="8"/>
      <c r="F91" s="8"/>
      <c r="G91" s="9"/>
      <c r="H91" s="8"/>
      <c r="I91" s="8"/>
      <c r="J91" s="9"/>
      <c r="K91" s="11" t="str">
        <f aca="false">IF(A91="","",SUMIFS(ChiTiet!$I$2:$I$2000,ChiTiet!$A$2:$A$2000,A91))</f>
        <v/>
      </c>
      <c r="L91" s="12"/>
      <c r="M91" s="11" t="str">
        <f aca="false">IF(A91="","",ROUND(K91*IF(L91="",0.08,L91),0))</f>
        <v/>
      </c>
      <c r="N91" s="11" t="str">
        <f aca="false">IF(A91="","",K91+M91)</f>
        <v/>
      </c>
      <c r="O91" s="11" t="str">
        <f aca="false">IF(A91="","",SUMIFS(ThuTien!$D$2:$D$2000,ThuTien!$B$2:$B$2000,A91))</f>
        <v/>
      </c>
      <c r="P91" s="11" t="str">
        <f aca="false">IF(A91="","",N91-O91)</f>
        <v/>
      </c>
      <c r="Q91" s="9"/>
      <c r="R91" s="10" t="str">
        <f aca="true">IF(A91="","",IF(AND(Q91&lt;&gt;"",P91&gt;0,TODAY()&gt;Q91),TODAY()-Q91,0))</f>
        <v/>
      </c>
      <c r="S91" s="10" t="str">
        <f aca="false">IF(A91="","",IF(N91=0,"Chưa có tiền hàng",IF(P91&lt;0,"Thu thừa",IF(P91=0,"Đã thu đủ",IF(O91&gt;0,"Thu một phần","Chưa thu")))))</f>
        <v/>
      </c>
      <c r="T91" s="10" t="str">
        <f aca="false">IF(A91="","",IF(AND(F91="Đã giao",H91&lt;&gt;"Đã xuất"),"Đã giao - CHƯA XUẤT HĐ",IF(AND(H91="Đã xuất",F91="Chưa giao"),"Đã xuất HĐ - chưa giao",IF(F91="","Chưa cập nhật giao hàng",IF(R91&gt;0,"Quá hạn "&amp;R91&amp;" ngày - đòi tiền",IF(P91&gt;0,"Chờ thu tiền",IF(P91&lt;0,"Kiểm tra thu thừa",IF(AND(F91="Đã giao",H91="Đã xuất"),"Hoàn tất","Theo dõi"))))))))</f>
        <v/>
      </c>
      <c r="U91" s="8"/>
    </row>
    <row r="92" customFormat="false" ht="15" hidden="false" customHeight="false" outlineLevel="0" collapsed="false">
      <c r="A92" s="8"/>
      <c r="B92" s="9"/>
      <c r="C92" s="8"/>
      <c r="D92" s="10" t="str">
        <f aca="false">IF(C92="","",IFERROR(VLOOKUP(C92,KhachHang!$A$2:$B$200,2,FALSE())&amp;"",""))</f>
        <v/>
      </c>
      <c r="E92" s="8"/>
      <c r="F92" s="8"/>
      <c r="G92" s="9"/>
      <c r="H92" s="8"/>
      <c r="I92" s="8"/>
      <c r="J92" s="9"/>
      <c r="K92" s="11" t="str">
        <f aca="false">IF(A92="","",SUMIFS(ChiTiet!$I$2:$I$2000,ChiTiet!$A$2:$A$2000,A92))</f>
        <v/>
      </c>
      <c r="L92" s="12"/>
      <c r="M92" s="11" t="str">
        <f aca="false">IF(A92="","",ROUND(K92*IF(L92="",0.08,L92),0))</f>
        <v/>
      </c>
      <c r="N92" s="11" t="str">
        <f aca="false">IF(A92="","",K92+M92)</f>
        <v/>
      </c>
      <c r="O92" s="11" t="str">
        <f aca="false">IF(A92="","",SUMIFS(ThuTien!$D$2:$D$2000,ThuTien!$B$2:$B$2000,A92))</f>
        <v/>
      </c>
      <c r="P92" s="11" t="str">
        <f aca="false">IF(A92="","",N92-O92)</f>
        <v/>
      </c>
      <c r="Q92" s="9"/>
      <c r="R92" s="10" t="str">
        <f aca="true">IF(A92="","",IF(AND(Q92&lt;&gt;"",P92&gt;0,TODAY()&gt;Q92),TODAY()-Q92,0))</f>
        <v/>
      </c>
      <c r="S92" s="10" t="str">
        <f aca="false">IF(A92="","",IF(N92=0,"Chưa có tiền hàng",IF(P92&lt;0,"Thu thừa",IF(P92=0,"Đã thu đủ",IF(O92&gt;0,"Thu một phần","Chưa thu")))))</f>
        <v/>
      </c>
      <c r="T92" s="10" t="str">
        <f aca="false">IF(A92="","",IF(AND(F92="Đã giao",H92&lt;&gt;"Đã xuất"),"Đã giao - CHƯA XUẤT HĐ",IF(AND(H92="Đã xuất",F92="Chưa giao"),"Đã xuất HĐ - chưa giao",IF(F92="","Chưa cập nhật giao hàng",IF(R92&gt;0,"Quá hạn "&amp;R92&amp;" ngày - đòi tiền",IF(P92&gt;0,"Chờ thu tiền",IF(P92&lt;0,"Kiểm tra thu thừa",IF(AND(F92="Đã giao",H92="Đã xuất"),"Hoàn tất","Theo dõi"))))))))</f>
        <v/>
      </c>
      <c r="U92" s="8"/>
    </row>
    <row r="93" customFormat="false" ht="15" hidden="false" customHeight="false" outlineLevel="0" collapsed="false">
      <c r="A93" s="8"/>
      <c r="B93" s="9"/>
      <c r="C93" s="8"/>
      <c r="D93" s="10" t="str">
        <f aca="false">IF(C93="","",IFERROR(VLOOKUP(C93,KhachHang!$A$2:$B$200,2,FALSE())&amp;"",""))</f>
        <v/>
      </c>
      <c r="E93" s="8"/>
      <c r="F93" s="8"/>
      <c r="G93" s="9"/>
      <c r="H93" s="8"/>
      <c r="I93" s="8"/>
      <c r="J93" s="9"/>
      <c r="K93" s="11" t="str">
        <f aca="false">IF(A93="","",SUMIFS(ChiTiet!$I$2:$I$2000,ChiTiet!$A$2:$A$2000,A93))</f>
        <v/>
      </c>
      <c r="L93" s="12"/>
      <c r="M93" s="11" t="str">
        <f aca="false">IF(A93="","",ROUND(K93*IF(L93="",0.08,L93),0))</f>
        <v/>
      </c>
      <c r="N93" s="11" t="str">
        <f aca="false">IF(A93="","",K93+M93)</f>
        <v/>
      </c>
      <c r="O93" s="11" t="str">
        <f aca="false">IF(A93="","",SUMIFS(ThuTien!$D$2:$D$2000,ThuTien!$B$2:$B$2000,A93))</f>
        <v/>
      </c>
      <c r="P93" s="11" t="str">
        <f aca="false">IF(A93="","",N93-O93)</f>
        <v/>
      </c>
      <c r="Q93" s="9"/>
      <c r="R93" s="10" t="str">
        <f aca="true">IF(A93="","",IF(AND(Q93&lt;&gt;"",P93&gt;0,TODAY()&gt;Q93),TODAY()-Q93,0))</f>
        <v/>
      </c>
      <c r="S93" s="10" t="str">
        <f aca="false">IF(A93="","",IF(N93=0,"Chưa có tiền hàng",IF(P93&lt;0,"Thu thừa",IF(P93=0,"Đã thu đủ",IF(O93&gt;0,"Thu một phần","Chưa thu")))))</f>
        <v/>
      </c>
      <c r="T93" s="10" t="str">
        <f aca="false">IF(A93="","",IF(AND(F93="Đã giao",H93&lt;&gt;"Đã xuất"),"Đã giao - CHƯA XUẤT HĐ",IF(AND(H93="Đã xuất",F93="Chưa giao"),"Đã xuất HĐ - chưa giao",IF(F93="","Chưa cập nhật giao hàng",IF(R93&gt;0,"Quá hạn "&amp;R93&amp;" ngày - đòi tiền",IF(P93&gt;0,"Chờ thu tiền",IF(P93&lt;0,"Kiểm tra thu thừa",IF(AND(F93="Đã giao",H93="Đã xuất"),"Hoàn tất","Theo dõi"))))))))</f>
        <v/>
      </c>
      <c r="U93" s="8"/>
    </row>
    <row r="94" customFormat="false" ht="15" hidden="false" customHeight="false" outlineLevel="0" collapsed="false">
      <c r="A94" s="8"/>
      <c r="B94" s="9"/>
      <c r="C94" s="8"/>
      <c r="D94" s="10" t="str">
        <f aca="false">IF(C94="","",IFERROR(VLOOKUP(C94,KhachHang!$A$2:$B$200,2,FALSE())&amp;"",""))</f>
        <v/>
      </c>
      <c r="E94" s="8"/>
      <c r="F94" s="8"/>
      <c r="G94" s="9"/>
      <c r="H94" s="8"/>
      <c r="I94" s="8"/>
      <c r="J94" s="9"/>
      <c r="K94" s="11" t="str">
        <f aca="false">IF(A94="","",SUMIFS(ChiTiet!$I$2:$I$2000,ChiTiet!$A$2:$A$2000,A94))</f>
        <v/>
      </c>
      <c r="L94" s="12"/>
      <c r="M94" s="11" t="str">
        <f aca="false">IF(A94="","",ROUND(K94*IF(L94="",0.08,L94),0))</f>
        <v/>
      </c>
      <c r="N94" s="11" t="str">
        <f aca="false">IF(A94="","",K94+M94)</f>
        <v/>
      </c>
      <c r="O94" s="11" t="str">
        <f aca="false">IF(A94="","",SUMIFS(ThuTien!$D$2:$D$2000,ThuTien!$B$2:$B$2000,A94))</f>
        <v/>
      </c>
      <c r="P94" s="11" t="str">
        <f aca="false">IF(A94="","",N94-O94)</f>
        <v/>
      </c>
      <c r="Q94" s="9"/>
      <c r="R94" s="10" t="str">
        <f aca="true">IF(A94="","",IF(AND(Q94&lt;&gt;"",P94&gt;0,TODAY()&gt;Q94),TODAY()-Q94,0))</f>
        <v/>
      </c>
      <c r="S94" s="10" t="str">
        <f aca="false">IF(A94="","",IF(N94=0,"Chưa có tiền hàng",IF(P94&lt;0,"Thu thừa",IF(P94=0,"Đã thu đủ",IF(O94&gt;0,"Thu một phần","Chưa thu")))))</f>
        <v/>
      </c>
      <c r="T94" s="10" t="str">
        <f aca="false">IF(A94="","",IF(AND(F94="Đã giao",H94&lt;&gt;"Đã xuất"),"Đã giao - CHƯA XUẤT HĐ",IF(AND(H94="Đã xuất",F94="Chưa giao"),"Đã xuất HĐ - chưa giao",IF(F94="","Chưa cập nhật giao hàng",IF(R94&gt;0,"Quá hạn "&amp;R94&amp;" ngày - đòi tiền",IF(P94&gt;0,"Chờ thu tiền",IF(P94&lt;0,"Kiểm tra thu thừa",IF(AND(F94="Đã giao",H94="Đã xuất"),"Hoàn tất","Theo dõi"))))))))</f>
        <v/>
      </c>
      <c r="U94" s="8"/>
    </row>
    <row r="95" customFormat="false" ht="15" hidden="false" customHeight="false" outlineLevel="0" collapsed="false">
      <c r="A95" s="8"/>
      <c r="B95" s="9"/>
      <c r="C95" s="8"/>
      <c r="D95" s="10" t="str">
        <f aca="false">IF(C95="","",IFERROR(VLOOKUP(C95,KhachHang!$A$2:$B$200,2,FALSE())&amp;"",""))</f>
        <v/>
      </c>
      <c r="E95" s="8"/>
      <c r="F95" s="8"/>
      <c r="G95" s="9"/>
      <c r="H95" s="8"/>
      <c r="I95" s="8"/>
      <c r="J95" s="9"/>
      <c r="K95" s="11" t="str">
        <f aca="false">IF(A95="","",SUMIFS(ChiTiet!$I$2:$I$2000,ChiTiet!$A$2:$A$2000,A95))</f>
        <v/>
      </c>
      <c r="L95" s="12"/>
      <c r="M95" s="11" t="str">
        <f aca="false">IF(A95="","",ROUND(K95*IF(L95="",0.08,L95),0))</f>
        <v/>
      </c>
      <c r="N95" s="11" t="str">
        <f aca="false">IF(A95="","",K95+M95)</f>
        <v/>
      </c>
      <c r="O95" s="11" t="str">
        <f aca="false">IF(A95="","",SUMIFS(ThuTien!$D$2:$D$2000,ThuTien!$B$2:$B$2000,A95))</f>
        <v/>
      </c>
      <c r="P95" s="11" t="str">
        <f aca="false">IF(A95="","",N95-O95)</f>
        <v/>
      </c>
      <c r="Q95" s="9"/>
      <c r="R95" s="10" t="str">
        <f aca="true">IF(A95="","",IF(AND(Q95&lt;&gt;"",P95&gt;0,TODAY()&gt;Q95),TODAY()-Q95,0))</f>
        <v/>
      </c>
      <c r="S95" s="10" t="str">
        <f aca="false">IF(A95="","",IF(N95=0,"Chưa có tiền hàng",IF(P95&lt;0,"Thu thừa",IF(P95=0,"Đã thu đủ",IF(O95&gt;0,"Thu một phần","Chưa thu")))))</f>
        <v/>
      </c>
      <c r="T95" s="10" t="str">
        <f aca="false">IF(A95="","",IF(AND(F95="Đã giao",H95&lt;&gt;"Đã xuất"),"Đã giao - CHƯA XUẤT HĐ",IF(AND(H95="Đã xuất",F95="Chưa giao"),"Đã xuất HĐ - chưa giao",IF(F95="","Chưa cập nhật giao hàng",IF(R95&gt;0,"Quá hạn "&amp;R95&amp;" ngày - đòi tiền",IF(P95&gt;0,"Chờ thu tiền",IF(P95&lt;0,"Kiểm tra thu thừa",IF(AND(F95="Đã giao",H95="Đã xuất"),"Hoàn tất","Theo dõi"))))))))</f>
        <v/>
      </c>
      <c r="U95" s="8"/>
    </row>
    <row r="96" customFormat="false" ht="15" hidden="false" customHeight="false" outlineLevel="0" collapsed="false">
      <c r="A96" s="8"/>
      <c r="B96" s="9"/>
      <c r="C96" s="8"/>
      <c r="D96" s="10" t="str">
        <f aca="false">IF(C96="","",IFERROR(VLOOKUP(C96,KhachHang!$A$2:$B$200,2,FALSE())&amp;"",""))</f>
        <v/>
      </c>
      <c r="E96" s="8"/>
      <c r="F96" s="8"/>
      <c r="G96" s="9"/>
      <c r="H96" s="8"/>
      <c r="I96" s="8"/>
      <c r="J96" s="9"/>
      <c r="K96" s="11" t="str">
        <f aca="false">IF(A96="","",SUMIFS(ChiTiet!$I$2:$I$2000,ChiTiet!$A$2:$A$2000,A96))</f>
        <v/>
      </c>
      <c r="L96" s="12"/>
      <c r="M96" s="11" t="str">
        <f aca="false">IF(A96="","",ROUND(K96*IF(L96="",0.08,L96),0))</f>
        <v/>
      </c>
      <c r="N96" s="11" t="str">
        <f aca="false">IF(A96="","",K96+M96)</f>
        <v/>
      </c>
      <c r="O96" s="11" t="str">
        <f aca="false">IF(A96="","",SUMIFS(ThuTien!$D$2:$D$2000,ThuTien!$B$2:$B$2000,A96))</f>
        <v/>
      </c>
      <c r="P96" s="11" t="str">
        <f aca="false">IF(A96="","",N96-O96)</f>
        <v/>
      </c>
      <c r="Q96" s="9"/>
      <c r="R96" s="10" t="str">
        <f aca="true">IF(A96="","",IF(AND(Q96&lt;&gt;"",P96&gt;0,TODAY()&gt;Q96),TODAY()-Q96,0))</f>
        <v/>
      </c>
      <c r="S96" s="10" t="str">
        <f aca="false">IF(A96="","",IF(N96=0,"Chưa có tiền hàng",IF(P96&lt;0,"Thu thừa",IF(P96=0,"Đã thu đủ",IF(O96&gt;0,"Thu một phần","Chưa thu")))))</f>
        <v/>
      </c>
      <c r="T96" s="10" t="str">
        <f aca="false">IF(A96="","",IF(AND(F96="Đã giao",H96&lt;&gt;"Đã xuất"),"Đã giao - CHƯA XUẤT HĐ",IF(AND(H96="Đã xuất",F96="Chưa giao"),"Đã xuất HĐ - chưa giao",IF(F96="","Chưa cập nhật giao hàng",IF(R96&gt;0,"Quá hạn "&amp;R96&amp;" ngày - đòi tiền",IF(P96&gt;0,"Chờ thu tiền",IF(P96&lt;0,"Kiểm tra thu thừa",IF(AND(F96="Đã giao",H96="Đã xuất"),"Hoàn tất","Theo dõi"))))))))</f>
        <v/>
      </c>
      <c r="U96" s="8"/>
    </row>
    <row r="97" customFormat="false" ht="15" hidden="false" customHeight="false" outlineLevel="0" collapsed="false">
      <c r="A97" s="8"/>
      <c r="B97" s="9"/>
      <c r="C97" s="8"/>
      <c r="D97" s="10" t="str">
        <f aca="false">IF(C97="","",IFERROR(VLOOKUP(C97,KhachHang!$A$2:$B$200,2,FALSE())&amp;"",""))</f>
        <v/>
      </c>
      <c r="E97" s="8"/>
      <c r="F97" s="8"/>
      <c r="G97" s="9"/>
      <c r="H97" s="8"/>
      <c r="I97" s="8"/>
      <c r="J97" s="9"/>
      <c r="K97" s="11" t="str">
        <f aca="false">IF(A97="","",SUMIFS(ChiTiet!$I$2:$I$2000,ChiTiet!$A$2:$A$2000,A97))</f>
        <v/>
      </c>
      <c r="L97" s="12"/>
      <c r="M97" s="11" t="str">
        <f aca="false">IF(A97="","",ROUND(K97*IF(L97="",0.08,L97),0))</f>
        <v/>
      </c>
      <c r="N97" s="11" t="str">
        <f aca="false">IF(A97="","",K97+M97)</f>
        <v/>
      </c>
      <c r="O97" s="11" t="str">
        <f aca="false">IF(A97="","",SUMIFS(ThuTien!$D$2:$D$2000,ThuTien!$B$2:$B$2000,A97))</f>
        <v/>
      </c>
      <c r="P97" s="11" t="str">
        <f aca="false">IF(A97="","",N97-O97)</f>
        <v/>
      </c>
      <c r="Q97" s="9"/>
      <c r="R97" s="10" t="str">
        <f aca="true">IF(A97="","",IF(AND(Q97&lt;&gt;"",P97&gt;0,TODAY()&gt;Q97),TODAY()-Q97,0))</f>
        <v/>
      </c>
      <c r="S97" s="10" t="str">
        <f aca="false">IF(A97="","",IF(N97=0,"Chưa có tiền hàng",IF(P97&lt;0,"Thu thừa",IF(P97=0,"Đã thu đủ",IF(O97&gt;0,"Thu một phần","Chưa thu")))))</f>
        <v/>
      </c>
      <c r="T97" s="10" t="str">
        <f aca="false">IF(A97="","",IF(AND(F97="Đã giao",H97&lt;&gt;"Đã xuất"),"Đã giao - CHƯA XUẤT HĐ",IF(AND(H97="Đã xuất",F97="Chưa giao"),"Đã xuất HĐ - chưa giao",IF(F97="","Chưa cập nhật giao hàng",IF(R97&gt;0,"Quá hạn "&amp;R97&amp;" ngày - đòi tiền",IF(P97&gt;0,"Chờ thu tiền",IF(P97&lt;0,"Kiểm tra thu thừa",IF(AND(F97="Đã giao",H97="Đã xuất"),"Hoàn tất","Theo dõi"))))))))</f>
        <v/>
      </c>
      <c r="U97" s="8"/>
    </row>
    <row r="98" customFormat="false" ht="15" hidden="false" customHeight="false" outlineLevel="0" collapsed="false">
      <c r="A98" s="8"/>
      <c r="B98" s="9"/>
      <c r="C98" s="8"/>
      <c r="D98" s="10" t="str">
        <f aca="false">IF(C98="","",IFERROR(VLOOKUP(C98,KhachHang!$A$2:$B$200,2,FALSE())&amp;"",""))</f>
        <v/>
      </c>
      <c r="E98" s="8"/>
      <c r="F98" s="8"/>
      <c r="G98" s="9"/>
      <c r="H98" s="8"/>
      <c r="I98" s="8"/>
      <c r="J98" s="9"/>
      <c r="K98" s="11" t="str">
        <f aca="false">IF(A98="","",SUMIFS(ChiTiet!$I$2:$I$2000,ChiTiet!$A$2:$A$2000,A98))</f>
        <v/>
      </c>
      <c r="L98" s="12"/>
      <c r="M98" s="11" t="str">
        <f aca="false">IF(A98="","",ROUND(K98*IF(L98="",0.08,L98),0))</f>
        <v/>
      </c>
      <c r="N98" s="11" t="str">
        <f aca="false">IF(A98="","",K98+M98)</f>
        <v/>
      </c>
      <c r="O98" s="11" t="str">
        <f aca="false">IF(A98="","",SUMIFS(ThuTien!$D$2:$D$2000,ThuTien!$B$2:$B$2000,A98))</f>
        <v/>
      </c>
      <c r="P98" s="11" t="str">
        <f aca="false">IF(A98="","",N98-O98)</f>
        <v/>
      </c>
      <c r="Q98" s="9"/>
      <c r="R98" s="10" t="str">
        <f aca="true">IF(A98="","",IF(AND(Q98&lt;&gt;"",P98&gt;0,TODAY()&gt;Q98),TODAY()-Q98,0))</f>
        <v/>
      </c>
      <c r="S98" s="10" t="str">
        <f aca="false">IF(A98="","",IF(N98=0,"Chưa có tiền hàng",IF(P98&lt;0,"Thu thừa",IF(P98=0,"Đã thu đủ",IF(O98&gt;0,"Thu một phần","Chưa thu")))))</f>
        <v/>
      </c>
      <c r="T98" s="10" t="str">
        <f aca="false">IF(A98="","",IF(AND(F98="Đã giao",H98&lt;&gt;"Đã xuất"),"Đã giao - CHƯA XUẤT HĐ",IF(AND(H98="Đã xuất",F98="Chưa giao"),"Đã xuất HĐ - chưa giao",IF(F98="","Chưa cập nhật giao hàng",IF(R98&gt;0,"Quá hạn "&amp;R98&amp;" ngày - đòi tiền",IF(P98&gt;0,"Chờ thu tiền",IF(P98&lt;0,"Kiểm tra thu thừa",IF(AND(F98="Đã giao",H98="Đã xuất"),"Hoàn tất","Theo dõi"))))))))</f>
        <v/>
      </c>
      <c r="U98" s="8"/>
    </row>
    <row r="99" customFormat="false" ht="15" hidden="false" customHeight="false" outlineLevel="0" collapsed="false">
      <c r="A99" s="8"/>
      <c r="B99" s="9"/>
      <c r="C99" s="8"/>
      <c r="D99" s="10" t="str">
        <f aca="false">IF(C99="","",IFERROR(VLOOKUP(C99,KhachHang!$A$2:$B$200,2,FALSE())&amp;"",""))</f>
        <v/>
      </c>
      <c r="E99" s="8"/>
      <c r="F99" s="8"/>
      <c r="G99" s="9"/>
      <c r="H99" s="8"/>
      <c r="I99" s="8"/>
      <c r="J99" s="9"/>
      <c r="K99" s="11" t="str">
        <f aca="false">IF(A99="","",SUMIFS(ChiTiet!$I$2:$I$2000,ChiTiet!$A$2:$A$2000,A99))</f>
        <v/>
      </c>
      <c r="L99" s="12"/>
      <c r="M99" s="11" t="str">
        <f aca="false">IF(A99="","",ROUND(K99*IF(L99="",0.08,L99),0))</f>
        <v/>
      </c>
      <c r="N99" s="11" t="str">
        <f aca="false">IF(A99="","",K99+M99)</f>
        <v/>
      </c>
      <c r="O99" s="11" t="str">
        <f aca="false">IF(A99="","",SUMIFS(ThuTien!$D$2:$D$2000,ThuTien!$B$2:$B$2000,A99))</f>
        <v/>
      </c>
      <c r="P99" s="11" t="str">
        <f aca="false">IF(A99="","",N99-O99)</f>
        <v/>
      </c>
      <c r="Q99" s="9"/>
      <c r="R99" s="10" t="str">
        <f aca="true">IF(A99="","",IF(AND(Q99&lt;&gt;"",P99&gt;0,TODAY()&gt;Q99),TODAY()-Q99,0))</f>
        <v/>
      </c>
      <c r="S99" s="10" t="str">
        <f aca="false">IF(A99="","",IF(N99=0,"Chưa có tiền hàng",IF(P99&lt;0,"Thu thừa",IF(P99=0,"Đã thu đủ",IF(O99&gt;0,"Thu một phần","Chưa thu")))))</f>
        <v/>
      </c>
      <c r="T99" s="10" t="str">
        <f aca="false">IF(A99="","",IF(AND(F99="Đã giao",H99&lt;&gt;"Đã xuất"),"Đã giao - CHƯA XUẤT HĐ",IF(AND(H99="Đã xuất",F99="Chưa giao"),"Đã xuất HĐ - chưa giao",IF(F99="","Chưa cập nhật giao hàng",IF(R99&gt;0,"Quá hạn "&amp;R99&amp;" ngày - đòi tiền",IF(P99&gt;0,"Chờ thu tiền",IF(P99&lt;0,"Kiểm tra thu thừa",IF(AND(F99="Đã giao",H99="Đã xuất"),"Hoàn tất","Theo dõi"))))))))</f>
        <v/>
      </c>
      <c r="U99" s="8"/>
    </row>
    <row r="100" customFormat="false" ht="15" hidden="false" customHeight="false" outlineLevel="0" collapsed="false">
      <c r="A100" s="8"/>
      <c r="B100" s="9"/>
      <c r="C100" s="8"/>
      <c r="D100" s="10" t="str">
        <f aca="false">IF(C100="","",IFERROR(VLOOKUP(C100,KhachHang!$A$2:$B$200,2,FALSE())&amp;"",""))</f>
        <v/>
      </c>
      <c r="E100" s="8"/>
      <c r="F100" s="8"/>
      <c r="G100" s="9"/>
      <c r="H100" s="8"/>
      <c r="I100" s="8"/>
      <c r="J100" s="9"/>
      <c r="K100" s="11" t="str">
        <f aca="false">IF(A100="","",SUMIFS(ChiTiet!$I$2:$I$2000,ChiTiet!$A$2:$A$2000,A100))</f>
        <v/>
      </c>
      <c r="L100" s="12"/>
      <c r="M100" s="11" t="str">
        <f aca="false">IF(A100="","",ROUND(K100*IF(L100="",0.08,L100),0))</f>
        <v/>
      </c>
      <c r="N100" s="11" t="str">
        <f aca="false">IF(A100="","",K100+M100)</f>
        <v/>
      </c>
      <c r="O100" s="11" t="str">
        <f aca="false">IF(A100="","",SUMIFS(ThuTien!$D$2:$D$2000,ThuTien!$B$2:$B$2000,A100))</f>
        <v/>
      </c>
      <c r="P100" s="11" t="str">
        <f aca="false">IF(A100="","",N100-O100)</f>
        <v/>
      </c>
      <c r="Q100" s="9"/>
      <c r="R100" s="10" t="str">
        <f aca="true">IF(A100="","",IF(AND(Q100&lt;&gt;"",P100&gt;0,TODAY()&gt;Q100),TODAY()-Q100,0))</f>
        <v/>
      </c>
      <c r="S100" s="10" t="str">
        <f aca="false">IF(A100="","",IF(N100=0,"Chưa có tiền hàng",IF(P100&lt;0,"Thu thừa",IF(P100=0,"Đã thu đủ",IF(O100&gt;0,"Thu một phần","Chưa thu")))))</f>
        <v/>
      </c>
      <c r="T100" s="10" t="str">
        <f aca="false">IF(A100="","",IF(AND(F100="Đã giao",H100&lt;&gt;"Đã xuất"),"Đã giao - CHƯA XUẤT HĐ",IF(AND(H100="Đã xuất",F100="Chưa giao"),"Đã xuất HĐ - chưa giao",IF(F100="","Chưa cập nhật giao hàng",IF(R100&gt;0,"Quá hạn "&amp;R100&amp;" ngày - đòi tiền",IF(P100&gt;0,"Chờ thu tiền",IF(P100&lt;0,"Kiểm tra thu thừa",IF(AND(F100="Đã giao",H100="Đã xuất"),"Hoàn tất","Theo dõi"))))))))</f>
        <v/>
      </c>
      <c r="U100" s="8"/>
    </row>
    <row r="101" customFormat="false" ht="15" hidden="false" customHeight="false" outlineLevel="0" collapsed="false">
      <c r="A101" s="8"/>
      <c r="B101" s="9"/>
      <c r="C101" s="8"/>
      <c r="D101" s="10" t="str">
        <f aca="false">IF(C101="","",IFERROR(VLOOKUP(C101,KhachHang!$A$2:$B$200,2,FALSE())&amp;"",""))</f>
        <v/>
      </c>
      <c r="E101" s="8"/>
      <c r="F101" s="8"/>
      <c r="G101" s="9"/>
      <c r="H101" s="8"/>
      <c r="I101" s="8"/>
      <c r="J101" s="9"/>
      <c r="K101" s="11" t="str">
        <f aca="false">IF(A101="","",SUMIFS(ChiTiet!$I$2:$I$2000,ChiTiet!$A$2:$A$2000,A101))</f>
        <v/>
      </c>
      <c r="L101" s="12"/>
      <c r="M101" s="11" t="str">
        <f aca="false">IF(A101="","",ROUND(K101*IF(L101="",0.08,L101),0))</f>
        <v/>
      </c>
      <c r="N101" s="11" t="str">
        <f aca="false">IF(A101="","",K101+M101)</f>
        <v/>
      </c>
      <c r="O101" s="11" t="str">
        <f aca="false">IF(A101="","",SUMIFS(ThuTien!$D$2:$D$2000,ThuTien!$B$2:$B$2000,A101))</f>
        <v/>
      </c>
      <c r="P101" s="11" t="str">
        <f aca="false">IF(A101="","",N101-O101)</f>
        <v/>
      </c>
      <c r="Q101" s="9"/>
      <c r="R101" s="10" t="str">
        <f aca="true">IF(A101="","",IF(AND(Q101&lt;&gt;"",P101&gt;0,TODAY()&gt;Q101),TODAY()-Q101,0))</f>
        <v/>
      </c>
      <c r="S101" s="10" t="str">
        <f aca="false">IF(A101="","",IF(N101=0,"Chưa có tiền hàng",IF(P101&lt;0,"Thu thừa",IF(P101=0,"Đã thu đủ",IF(O101&gt;0,"Thu một phần","Chưa thu")))))</f>
        <v/>
      </c>
      <c r="T101" s="10" t="str">
        <f aca="false">IF(A101="","",IF(AND(F101="Đã giao",H101&lt;&gt;"Đã xuất"),"Đã giao - CHƯA XUẤT HĐ",IF(AND(H101="Đã xuất",F101="Chưa giao"),"Đã xuất HĐ - chưa giao",IF(F101="","Chưa cập nhật giao hàng",IF(R101&gt;0,"Quá hạn "&amp;R101&amp;" ngày - đòi tiền",IF(P101&gt;0,"Chờ thu tiền",IF(P101&lt;0,"Kiểm tra thu thừa",IF(AND(F101="Đã giao",H101="Đã xuất"),"Hoàn tất","Theo dõi"))))))))</f>
        <v/>
      </c>
      <c r="U101" s="8"/>
    </row>
    <row r="102" customFormat="false" ht="15" hidden="false" customHeight="false" outlineLevel="0" collapsed="false">
      <c r="A102" s="8"/>
      <c r="B102" s="9"/>
      <c r="C102" s="8"/>
      <c r="D102" s="10" t="str">
        <f aca="false">IF(C102="","",IFERROR(VLOOKUP(C102,KhachHang!$A$2:$B$200,2,FALSE())&amp;"",""))</f>
        <v/>
      </c>
      <c r="E102" s="8"/>
      <c r="F102" s="8"/>
      <c r="G102" s="9"/>
      <c r="H102" s="8"/>
      <c r="I102" s="8"/>
      <c r="J102" s="9"/>
      <c r="K102" s="11" t="str">
        <f aca="false">IF(A102="","",SUMIFS(ChiTiet!$I$2:$I$2000,ChiTiet!$A$2:$A$2000,A102))</f>
        <v/>
      </c>
      <c r="L102" s="12"/>
      <c r="M102" s="11" t="str">
        <f aca="false">IF(A102="","",ROUND(K102*IF(L102="",0.08,L102),0))</f>
        <v/>
      </c>
      <c r="N102" s="11" t="str">
        <f aca="false">IF(A102="","",K102+M102)</f>
        <v/>
      </c>
      <c r="O102" s="11" t="str">
        <f aca="false">IF(A102="","",SUMIFS(ThuTien!$D$2:$D$2000,ThuTien!$B$2:$B$2000,A102))</f>
        <v/>
      </c>
      <c r="P102" s="11" t="str">
        <f aca="false">IF(A102="","",N102-O102)</f>
        <v/>
      </c>
      <c r="Q102" s="9"/>
      <c r="R102" s="10" t="str">
        <f aca="true">IF(A102="","",IF(AND(Q102&lt;&gt;"",P102&gt;0,TODAY()&gt;Q102),TODAY()-Q102,0))</f>
        <v/>
      </c>
      <c r="S102" s="10" t="str">
        <f aca="false">IF(A102="","",IF(N102=0,"Chưa có tiền hàng",IF(P102&lt;0,"Thu thừa",IF(P102=0,"Đã thu đủ",IF(O102&gt;0,"Thu một phần","Chưa thu")))))</f>
        <v/>
      </c>
      <c r="T102" s="10" t="str">
        <f aca="false">IF(A102="","",IF(AND(F102="Đã giao",H102&lt;&gt;"Đã xuất"),"Đã giao - CHƯA XUẤT HĐ",IF(AND(H102="Đã xuất",F102="Chưa giao"),"Đã xuất HĐ - chưa giao",IF(F102="","Chưa cập nhật giao hàng",IF(R102&gt;0,"Quá hạn "&amp;R102&amp;" ngày - đòi tiền",IF(P102&gt;0,"Chờ thu tiền",IF(P102&lt;0,"Kiểm tra thu thừa",IF(AND(F102="Đã giao",H102="Đã xuất"),"Hoàn tất","Theo dõi"))))))))</f>
        <v/>
      </c>
      <c r="U102" s="8"/>
    </row>
    <row r="103" customFormat="false" ht="15" hidden="false" customHeight="false" outlineLevel="0" collapsed="false">
      <c r="A103" s="8"/>
      <c r="B103" s="9"/>
      <c r="C103" s="8"/>
      <c r="D103" s="10" t="str">
        <f aca="false">IF(C103="","",IFERROR(VLOOKUP(C103,KhachHang!$A$2:$B$200,2,FALSE())&amp;"",""))</f>
        <v/>
      </c>
      <c r="E103" s="8"/>
      <c r="F103" s="8"/>
      <c r="G103" s="9"/>
      <c r="H103" s="8"/>
      <c r="I103" s="8"/>
      <c r="J103" s="9"/>
      <c r="K103" s="11" t="str">
        <f aca="false">IF(A103="","",SUMIFS(ChiTiet!$I$2:$I$2000,ChiTiet!$A$2:$A$2000,A103))</f>
        <v/>
      </c>
      <c r="L103" s="12"/>
      <c r="M103" s="11" t="str">
        <f aca="false">IF(A103="","",ROUND(K103*IF(L103="",0.08,L103),0))</f>
        <v/>
      </c>
      <c r="N103" s="11" t="str">
        <f aca="false">IF(A103="","",K103+M103)</f>
        <v/>
      </c>
      <c r="O103" s="11" t="str">
        <f aca="false">IF(A103="","",SUMIFS(ThuTien!$D$2:$D$2000,ThuTien!$B$2:$B$2000,A103))</f>
        <v/>
      </c>
      <c r="P103" s="11" t="str">
        <f aca="false">IF(A103="","",N103-O103)</f>
        <v/>
      </c>
      <c r="Q103" s="9"/>
      <c r="R103" s="10" t="str">
        <f aca="true">IF(A103="","",IF(AND(Q103&lt;&gt;"",P103&gt;0,TODAY()&gt;Q103),TODAY()-Q103,0))</f>
        <v/>
      </c>
      <c r="S103" s="10" t="str">
        <f aca="false">IF(A103="","",IF(N103=0,"Chưa có tiền hàng",IF(P103&lt;0,"Thu thừa",IF(P103=0,"Đã thu đủ",IF(O103&gt;0,"Thu một phần","Chưa thu")))))</f>
        <v/>
      </c>
      <c r="T103" s="10" t="str">
        <f aca="false">IF(A103="","",IF(AND(F103="Đã giao",H103&lt;&gt;"Đã xuất"),"Đã giao - CHƯA XUẤT HĐ",IF(AND(H103="Đã xuất",F103="Chưa giao"),"Đã xuất HĐ - chưa giao",IF(F103="","Chưa cập nhật giao hàng",IF(R103&gt;0,"Quá hạn "&amp;R103&amp;" ngày - đòi tiền",IF(P103&gt;0,"Chờ thu tiền",IF(P103&lt;0,"Kiểm tra thu thừa",IF(AND(F103="Đã giao",H103="Đã xuất"),"Hoàn tất","Theo dõi"))))))))</f>
        <v/>
      </c>
      <c r="U103" s="8"/>
    </row>
    <row r="104" customFormat="false" ht="15" hidden="false" customHeight="false" outlineLevel="0" collapsed="false">
      <c r="A104" s="8"/>
      <c r="B104" s="9"/>
      <c r="C104" s="8"/>
      <c r="D104" s="10" t="str">
        <f aca="false">IF(C104="","",IFERROR(VLOOKUP(C104,KhachHang!$A$2:$B$200,2,FALSE())&amp;"",""))</f>
        <v/>
      </c>
      <c r="E104" s="8"/>
      <c r="F104" s="8"/>
      <c r="G104" s="9"/>
      <c r="H104" s="8"/>
      <c r="I104" s="8"/>
      <c r="J104" s="9"/>
      <c r="K104" s="11" t="str">
        <f aca="false">IF(A104="","",SUMIFS(ChiTiet!$I$2:$I$2000,ChiTiet!$A$2:$A$2000,A104))</f>
        <v/>
      </c>
      <c r="L104" s="12"/>
      <c r="M104" s="11" t="str">
        <f aca="false">IF(A104="","",ROUND(K104*IF(L104="",0.08,L104),0))</f>
        <v/>
      </c>
      <c r="N104" s="11" t="str">
        <f aca="false">IF(A104="","",K104+M104)</f>
        <v/>
      </c>
      <c r="O104" s="11" t="str">
        <f aca="false">IF(A104="","",SUMIFS(ThuTien!$D$2:$D$2000,ThuTien!$B$2:$B$2000,A104))</f>
        <v/>
      </c>
      <c r="P104" s="11" t="str">
        <f aca="false">IF(A104="","",N104-O104)</f>
        <v/>
      </c>
      <c r="Q104" s="9"/>
      <c r="R104" s="10" t="str">
        <f aca="true">IF(A104="","",IF(AND(Q104&lt;&gt;"",P104&gt;0,TODAY()&gt;Q104),TODAY()-Q104,0))</f>
        <v/>
      </c>
      <c r="S104" s="10" t="str">
        <f aca="false">IF(A104="","",IF(N104=0,"Chưa có tiền hàng",IF(P104&lt;0,"Thu thừa",IF(P104=0,"Đã thu đủ",IF(O104&gt;0,"Thu một phần","Chưa thu")))))</f>
        <v/>
      </c>
      <c r="T104" s="10" t="str">
        <f aca="false">IF(A104="","",IF(AND(F104="Đã giao",H104&lt;&gt;"Đã xuất"),"Đã giao - CHƯA XUẤT HĐ",IF(AND(H104="Đã xuất",F104="Chưa giao"),"Đã xuất HĐ - chưa giao",IF(F104="","Chưa cập nhật giao hàng",IF(R104&gt;0,"Quá hạn "&amp;R104&amp;" ngày - đòi tiền",IF(P104&gt;0,"Chờ thu tiền",IF(P104&lt;0,"Kiểm tra thu thừa",IF(AND(F104="Đã giao",H104="Đã xuất"),"Hoàn tất","Theo dõi"))))))))</f>
        <v/>
      </c>
      <c r="U104" s="8"/>
    </row>
    <row r="105" customFormat="false" ht="15" hidden="false" customHeight="false" outlineLevel="0" collapsed="false">
      <c r="A105" s="8"/>
      <c r="B105" s="9"/>
      <c r="C105" s="8"/>
      <c r="D105" s="10" t="str">
        <f aca="false">IF(C105="","",IFERROR(VLOOKUP(C105,KhachHang!$A$2:$B$200,2,FALSE())&amp;"",""))</f>
        <v/>
      </c>
      <c r="E105" s="8"/>
      <c r="F105" s="8"/>
      <c r="G105" s="9"/>
      <c r="H105" s="8"/>
      <c r="I105" s="8"/>
      <c r="J105" s="9"/>
      <c r="K105" s="11" t="str">
        <f aca="false">IF(A105="","",SUMIFS(ChiTiet!$I$2:$I$2000,ChiTiet!$A$2:$A$2000,A105))</f>
        <v/>
      </c>
      <c r="L105" s="12"/>
      <c r="M105" s="11" t="str">
        <f aca="false">IF(A105="","",ROUND(K105*IF(L105="",0.08,L105),0))</f>
        <v/>
      </c>
      <c r="N105" s="11" t="str">
        <f aca="false">IF(A105="","",K105+M105)</f>
        <v/>
      </c>
      <c r="O105" s="11" t="str">
        <f aca="false">IF(A105="","",SUMIFS(ThuTien!$D$2:$D$2000,ThuTien!$B$2:$B$2000,A105))</f>
        <v/>
      </c>
      <c r="P105" s="11" t="str">
        <f aca="false">IF(A105="","",N105-O105)</f>
        <v/>
      </c>
      <c r="Q105" s="9"/>
      <c r="R105" s="10" t="str">
        <f aca="true">IF(A105="","",IF(AND(Q105&lt;&gt;"",P105&gt;0,TODAY()&gt;Q105),TODAY()-Q105,0))</f>
        <v/>
      </c>
      <c r="S105" s="10" t="str">
        <f aca="false">IF(A105="","",IF(N105=0,"Chưa có tiền hàng",IF(P105&lt;0,"Thu thừa",IF(P105=0,"Đã thu đủ",IF(O105&gt;0,"Thu một phần","Chưa thu")))))</f>
        <v/>
      </c>
      <c r="T105" s="10" t="str">
        <f aca="false">IF(A105="","",IF(AND(F105="Đã giao",H105&lt;&gt;"Đã xuất"),"Đã giao - CHƯA XUẤT HĐ",IF(AND(H105="Đã xuất",F105="Chưa giao"),"Đã xuất HĐ - chưa giao",IF(F105="","Chưa cập nhật giao hàng",IF(R105&gt;0,"Quá hạn "&amp;R105&amp;" ngày - đòi tiền",IF(P105&gt;0,"Chờ thu tiền",IF(P105&lt;0,"Kiểm tra thu thừa",IF(AND(F105="Đã giao",H105="Đã xuất"),"Hoàn tất","Theo dõi"))))))))</f>
        <v/>
      </c>
      <c r="U105" s="8"/>
    </row>
    <row r="106" customFormat="false" ht="15" hidden="false" customHeight="false" outlineLevel="0" collapsed="false">
      <c r="A106" s="8"/>
      <c r="B106" s="9"/>
      <c r="C106" s="8"/>
      <c r="D106" s="10" t="str">
        <f aca="false">IF(C106="","",IFERROR(VLOOKUP(C106,KhachHang!$A$2:$B$200,2,FALSE())&amp;"",""))</f>
        <v/>
      </c>
      <c r="E106" s="8"/>
      <c r="F106" s="8"/>
      <c r="G106" s="9"/>
      <c r="H106" s="8"/>
      <c r="I106" s="8"/>
      <c r="J106" s="9"/>
      <c r="K106" s="11" t="str">
        <f aca="false">IF(A106="","",SUMIFS(ChiTiet!$I$2:$I$2000,ChiTiet!$A$2:$A$2000,A106))</f>
        <v/>
      </c>
      <c r="L106" s="12"/>
      <c r="M106" s="11" t="str">
        <f aca="false">IF(A106="","",ROUND(K106*IF(L106="",0.08,L106),0))</f>
        <v/>
      </c>
      <c r="N106" s="11" t="str">
        <f aca="false">IF(A106="","",K106+M106)</f>
        <v/>
      </c>
      <c r="O106" s="11" t="str">
        <f aca="false">IF(A106="","",SUMIFS(ThuTien!$D$2:$D$2000,ThuTien!$B$2:$B$2000,A106))</f>
        <v/>
      </c>
      <c r="P106" s="11" t="str">
        <f aca="false">IF(A106="","",N106-O106)</f>
        <v/>
      </c>
      <c r="Q106" s="9"/>
      <c r="R106" s="10" t="str">
        <f aca="true">IF(A106="","",IF(AND(Q106&lt;&gt;"",P106&gt;0,TODAY()&gt;Q106),TODAY()-Q106,0))</f>
        <v/>
      </c>
      <c r="S106" s="10" t="str">
        <f aca="false">IF(A106="","",IF(N106=0,"Chưa có tiền hàng",IF(P106&lt;0,"Thu thừa",IF(P106=0,"Đã thu đủ",IF(O106&gt;0,"Thu một phần","Chưa thu")))))</f>
        <v/>
      </c>
      <c r="T106" s="10" t="str">
        <f aca="false">IF(A106="","",IF(AND(F106="Đã giao",H106&lt;&gt;"Đã xuất"),"Đã giao - CHƯA XUẤT HĐ",IF(AND(H106="Đã xuất",F106="Chưa giao"),"Đã xuất HĐ - chưa giao",IF(F106="","Chưa cập nhật giao hàng",IF(R106&gt;0,"Quá hạn "&amp;R106&amp;" ngày - đòi tiền",IF(P106&gt;0,"Chờ thu tiền",IF(P106&lt;0,"Kiểm tra thu thừa",IF(AND(F106="Đã giao",H106="Đã xuất"),"Hoàn tất","Theo dõi"))))))))</f>
        <v/>
      </c>
      <c r="U106" s="8"/>
    </row>
    <row r="107" customFormat="false" ht="15" hidden="false" customHeight="false" outlineLevel="0" collapsed="false">
      <c r="A107" s="8"/>
      <c r="B107" s="9"/>
      <c r="C107" s="8"/>
      <c r="D107" s="10" t="str">
        <f aca="false">IF(C107="","",IFERROR(VLOOKUP(C107,KhachHang!$A$2:$B$200,2,FALSE())&amp;"",""))</f>
        <v/>
      </c>
      <c r="E107" s="8"/>
      <c r="F107" s="8"/>
      <c r="G107" s="9"/>
      <c r="H107" s="8"/>
      <c r="I107" s="8"/>
      <c r="J107" s="9"/>
      <c r="K107" s="11" t="str">
        <f aca="false">IF(A107="","",SUMIFS(ChiTiet!$I$2:$I$2000,ChiTiet!$A$2:$A$2000,A107))</f>
        <v/>
      </c>
      <c r="L107" s="12"/>
      <c r="M107" s="11" t="str">
        <f aca="false">IF(A107="","",ROUND(K107*IF(L107="",0.08,L107),0))</f>
        <v/>
      </c>
      <c r="N107" s="11" t="str">
        <f aca="false">IF(A107="","",K107+M107)</f>
        <v/>
      </c>
      <c r="O107" s="11" t="str">
        <f aca="false">IF(A107="","",SUMIFS(ThuTien!$D$2:$D$2000,ThuTien!$B$2:$B$2000,A107))</f>
        <v/>
      </c>
      <c r="P107" s="11" t="str">
        <f aca="false">IF(A107="","",N107-O107)</f>
        <v/>
      </c>
      <c r="Q107" s="9"/>
      <c r="R107" s="10" t="str">
        <f aca="true">IF(A107="","",IF(AND(Q107&lt;&gt;"",P107&gt;0,TODAY()&gt;Q107),TODAY()-Q107,0))</f>
        <v/>
      </c>
      <c r="S107" s="10" t="str">
        <f aca="false">IF(A107="","",IF(N107=0,"Chưa có tiền hàng",IF(P107&lt;0,"Thu thừa",IF(P107=0,"Đã thu đủ",IF(O107&gt;0,"Thu một phần","Chưa thu")))))</f>
        <v/>
      </c>
      <c r="T107" s="10" t="str">
        <f aca="false">IF(A107="","",IF(AND(F107="Đã giao",H107&lt;&gt;"Đã xuất"),"Đã giao - CHƯA XUẤT HĐ",IF(AND(H107="Đã xuất",F107="Chưa giao"),"Đã xuất HĐ - chưa giao",IF(F107="","Chưa cập nhật giao hàng",IF(R107&gt;0,"Quá hạn "&amp;R107&amp;" ngày - đòi tiền",IF(P107&gt;0,"Chờ thu tiền",IF(P107&lt;0,"Kiểm tra thu thừa",IF(AND(F107="Đã giao",H107="Đã xuất"),"Hoàn tất","Theo dõi"))))))))</f>
        <v/>
      </c>
      <c r="U107" s="8"/>
    </row>
    <row r="108" customFormat="false" ht="15" hidden="false" customHeight="false" outlineLevel="0" collapsed="false">
      <c r="A108" s="8"/>
      <c r="B108" s="9"/>
      <c r="C108" s="8"/>
      <c r="D108" s="10" t="str">
        <f aca="false">IF(C108="","",IFERROR(VLOOKUP(C108,KhachHang!$A$2:$B$200,2,FALSE())&amp;"",""))</f>
        <v/>
      </c>
      <c r="E108" s="8"/>
      <c r="F108" s="8"/>
      <c r="G108" s="9"/>
      <c r="H108" s="8"/>
      <c r="I108" s="8"/>
      <c r="J108" s="9"/>
      <c r="K108" s="11" t="str">
        <f aca="false">IF(A108="","",SUMIFS(ChiTiet!$I$2:$I$2000,ChiTiet!$A$2:$A$2000,A108))</f>
        <v/>
      </c>
      <c r="L108" s="12"/>
      <c r="M108" s="11" t="str">
        <f aca="false">IF(A108="","",ROUND(K108*IF(L108="",0.08,L108),0))</f>
        <v/>
      </c>
      <c r="N108" s="11" t="str">
        <f aca="false">IF(A108="","",K108+M108)</f>
        <v/>
      </c>
      <c r="O108" s="11" t="str">
        <f aca="false">IF(A108="","",SUMIFS(ThuTien!$D$2:$D$2000,ThuTien!$B$2:$B$2000,A108))</f>
        <v/>
      </c>
      <c r="P108" s="11" t="str">
        <f aca="false">IF(A108="","",N108-O108)</f>
        <v/>
      </c>
      <c r="Q108" s="9"/>
      <c r="R108" s="10" t="str">
        <f aca="true">IF(A108="","",IF(AND(Q108&lt;&gt;"",P108&gt;0,TODAY()&gt;Q108),TODAY()-Q108,0))</f>
        <v/>
      </c>
      <c r="S108" s="10" t="str">
        <f aca="false">IF(A108="","",IF(N108=0,"Chưa có tiền hàng",IF(P108&lt;0,"Thu thừa",IF(P108=0,"Đã thu đủ",IF(O108&gt;0,"Thu một phần","Chưa thu")))))</f>
        <v/>
      </c>
      <c r="T108" s="10" t="str">
        <f aca="false">IF(A108="","",IF(AND(F108="Đã giao",H108&lt;&gt;"Đã xuất"),"Đã giao - CHƯA XUẤT HĐ",IF(AND(H108="Đã xuất",F108="Chưa giao"),"Đã xuất HĐ - chưa giao",IF(F108="","Chưa cập nhật giao hàng",IF(R108&gt;0,"Quá hạn "&amp;R108&amp;" ngày - đòi tiền",IF(P108&gt;0,"Chờ thu tiền",IF(P108&lt;0,"Kiểm tra thu thừa",IF(AND(F108="Đã giao",H108="Đã xuất"),"Hoàn tất","Theo dõi"))))))))</f>
        <v/>
      </c>
      <c r="U108" s="8"/>
    </row>
    <row r="109" customFormat="false" ht="15" hidden="false" customHeight="false" outlineLevel="0" collapsed="false">
      <c r="A109" s="8"/>
      <c r="B109" s="9"/>
      <c r="C109" s="8"/>
      <c r="D109" s="10" t="str">
        <f aca="false">IF(C109="","",IFERROR(VLOOKUP(C109,KhachHang!$A$2:$B$200,2,FALSE())&amp;"",""))</f>
        <v/>
      </c>
      <c r="E109" s="8"/>
      <c r="F109" s="8"/>
      <c r="G109" s="9"/>
      <c r="H109" s="8"/>
      <c r="I109" s="8"/>
      <c r="J109" s="9"/>
      <c r="K109" s="11" t="str">
        <f aca="false">IF(A109="","",SUMIFS(ChiTiet!$I$2:$I$2000,ChiTiet!$A$2:$A$2000,A109))</f>
        <v/>
      </c>
      <c r="L109" s="12"/>
      <c r="M109" s="11" t="str">
        <f aca="false">IF(A109="","",ROUND(K109*IF(L109="",0.08,L109),0))</f>
        <v/>
      </c>
      <c r="N109" s="11" t="str">
        <f aca="false">IF(A109="","",K109+M109)</f>
        <v/>
      </c>
      <c r="O109" s="11" t="str">
        <f aca="false">IF(A109="","",SUMIFS(ThuTien!$D$2:$D$2000,ThuTien!$B$2:$B$2000,A109))</f>
        <v/>
      </c>
      <c r="P109" s="11" t="str">
        <f aca="false">IF(A109="","",N109-O109)</f>
        <v/>
      </c>
      <c r="Q109" s="9"/>
      <c r="R109" s="10" t="str">
        <f aca="true">IF(A109="","",IF(AND(Q109&lt;&gt;"",P109&gt;0,TODAY()&gt;Q109),TODAY()-Q109,0))</f>
        <v/>
      </c>
      <c r="S109" s="10" t="str">
        <f aca="false">IF(A109="","",IF(N109=0,"Chưa có tiền hàng",IF(P109&lt;0,"Thu thừa",IF(P109=0,"Đã thu đủ",IF(O109&gt;0,"Thu một phần","Chưa thu")))))</f>
        <v/>
      </c>
      <c r="T109" s="10" t="str">
        <f aca="false">IF(A109="","",IF(AND(F109="Đã giao",H109&lt;&gt;"Đã xuất"),"Đã giao - CHƯA XUẤT HĐ",IF(AND(H109="Đã xuất",F109="Chưa giao"),"Đã xuất HĐ - chưa giao",IF(F109="","Chưa cập nhật giao hàng",IF(R109&gt;0,"Quá hạn "&amp;R109&amp;" ngày - đòi tiền",IF(P109&gt;0,"Chờ thu tiền",IF(P109&lt;0,"Kiểm tra thu thừa",IF(AND(F109="Đã giao",H109="Đã xuất"),"Hoàn tất","Theo dõi"))))))))</f>
        <v/>
      </c>
      <c r="U109" s="8"/>
    </row>
    <row r="110" customFormat="false" ht="15" hidden="false" customHeight="false" outlineLevel="0" collapsed="false">
      <c r="A110" s="8"/>
      <c r="B110" s="9"/>
      <c r="C110" s="8"/>
      <c r="D110" s="10" t="str">
        <f aca="false">IF(C110="","",IFERROR(VLOOKUP(C110,KhachHang!$A$2:$B$200,2,FALSE())&amp;"",""))</f>
        <v/>
      </c>
      <c r="E110" s="8"/>
      <c r="F110" s="8"/>
      <c r="G110" s="9"/>
      <c r="H110" s="8"/>
      <c r="I110" s="8"/>
      <c r="J110" s="9"/>
      <c r="K110" s="11" t="str">
        <f aca="false">IF(A110="","",SUMIFS(ChiTiet!$I$2:$I$2000,ChiTiet!$A$2:$A$2000,A110))</f>
        <v/>
      </c>
      <c r="L110" s="12"/>
      <c r="M110" s="11" t="str">
        <f aca="false">IF(A110="","",ROUND(K110*IF(L110="",0.08,L110),0))</f>
        <v/>
      </c>
      <c r="N110" s="11" t="str">
        <f aca="false">IF(A110="","",K110+M110)</f>
        <v/>
      </c>
      <c r="O110" s="11" t="str">
        <f aca="false">IF(A110="","",SUMIFS(ThuTien!$D$2:$D$2000,ThuTien!$B$2:$B$2000,A110))</f>
        <v/>
      </c>
      <c r="P110" s="11" t="str">
        <f aca="false">IF(A110="","",N110-O110)</f>
        <v/>
      </c>
      <c r="Q110" s="9"/>
      <c r="R110" s="10" t="str">
        <f aca="true">IF(A110="","",IF(AND(Q110&lt;&gt;"",P110&gt;0,TODAY()&gt;Q110),TODAY()-Q110,0))</f>
        <v/>
      </c>
      <c r="S110" s="10" t="str">
        <f aca="false">IF(A110="","",IF(N110=0,"Chưa có tiền hàng",IF(P110&lt;0,"Thu thừa",IF(P110=0,"Đã thu đủ",IF(O110&gt;0,"Thu một phần","Chưa thu")))))</f>
        <v/>
      </c>
      <c r="T110" s="10" t="str">
        <f aca="false">IF(A110="","",IF(AND(F110="Đã giao",H110&lt;&gt;"Đã xuất"),"Đã giao - CHƯA XUẤT HĐ",IF(AND(H110="Đã xuất",F110="Chưa giao"),"Đã xuất HĐ - chưa giao",IF(F110="","Chưa cập nhật giao hàng",IF(R110&gt;0,"Quá hạn "&amp;R110&amp;" ngày - đòi tiền",IF(P110&gt;0,"Chờ thu tiền",IF(P110&lt;0,"Kiểm tra thu thừa",IF(AND(F110="Đã giao",H110="Đã xuất"),"Hoàn tất","Theo dõi"))))))))</f>
        <v/>
      </c>
      <c r="U110" s="8"/>
    </row>
    <row r="111" customFormat="false" ht="15" hidden="false" customHeight="false" outlineLevel="0" collapsed="false">
      <c r="A111" s="8"/>
      <c r="B111" s="9"/>
      <c r="C111" s="8"/>
      <c r="D111" s="10" t="str">
        <f aca="false">IF(C111="","",IFERROR(VLOOKUP(C111,KhachHang!$A$2:$B$200,2,FALSE())&amp;"",""))</f>
        <v/>
      </c>
      <c r="E111" s="8"/>
      <c r="F111" s="8"/>
      <c r="G111" s="9"/>
      <c r="H111" s="8"/>
      <c r="I111" s="8"/>
      <c r="J111" s="9"/>
      <c r="K111" s="11" t="str">
        <f aca="false">IF(A111="","",SUMIFS(ChiTiet!$I$2:$I$2000,ChiTiet!$A$2:$A$2000,A111))</f>
        <v/>
      </c>
      <c r="L111" s="12"/>
      <c r="M111" s="11" t="str">
        <f aca="false">IF(A111="","",ROUND(K111*IF(L111="",0.08,L111),0))</f>
        <v/>
      </c>
      <c r="N111" s="11" t="str">
        <f aca="false">IF(A111="","",K111+M111)</f>
        <v/>
      </c>
      <c r="O111" s="11" t="str">
        <f aca="false">IF(A111="","",SUMIFS(ThuTien!$D$2:$D$2000,ThuTien!$B$2:$B$2000,A111))</f>
        <v/>
      </c>
      <c r="P111" s="11" t="str">
        <f aca="false">IF(A111="","",N111-O111)</f>
        <v/>
      </c>
      <c r="Q111" s="9"/>
      <c r="R111" s="10" t="str">
        <f aca="true">IF(A111="","",IF(AND(Q111&lt;&gt;"",P111&gt;0,TODAY()&gt;Q111),TODAY()-Q111,0))</f>
        <v/>
      </c>
      <c r="S111" s="10" t="str">
        <f aca="false">IF(A111="","",IF(N111=0,"Chưa có tiền hàng",IF(P111&lt;0,"Thu thừa",IF(P111=0,"Đã thu đủ",IF(O111&gt;0,"Thu một phần","Chưa thu")))))</f>
        <v/>
      </c>
      <c r="T111" s="10" t="str">
        <f aca="false">IF(A111="","",IF(AND(F111="Đã giao",H111&lt;&gt;"Đã xuất"),"Đã giao - CHƯA XUẤT HĐ",IF(AND(H111="Đã xuất",F111="Chưa giao"),"Đã xuất HĐ - chưa giao",IF(F111="","Chưa cập nhật giao hàng",IF(R111&gt;0,"Quá hạn "&amp;R111&amp;" ngày - đòi tiền",IF(P111&gt;0,"Chờ thu tiền",IF(P111&lt;0,"Kiểm tra thu thừa",IF(AND(F111="Đã giao",H111="Đã xuất"),"Hoàn tất","Theo dõi"))))))))</f>
        <v/>
      </c>
      <c r="U111" s="8"/>
    </row>
    <row r="112" customFormat="false" ht="15" hidden="false" customHeight="false" outlineLevel="0" collapsed="false">
      <c r="A112" s="8"/>
      <c r="B112" s="9"/>
      <c r="C112" s="8"/>
      <c r="D112" s="10" t="str">
        <f aca="false">IF(C112="","",IFERROR(VLOOKUP(C112,KhachHang!$A$2:$B$200,2,FALSE())&amp;"",""))</f>
        <v/>
      </c>
      <c r="E112" s="8"/>
      <c r="F112" s="8"/>
      <c r="G112" s="9"/>
      <c r="H112" s="8"/>
      <c r="I112" s="8"/>
      <c r="J112" s="9"/>
      <c r="K112" s="11" t="str">
        <f aca="false">IF(A112="","",SUMIFS(ChiTiet!$I$2:$I$2000,ChiTiet!$A$2:$A$2000,A112))</f>
        <v/>
      </c>
      <c r="L112" s="12"/>
      <c r="M112" s="11" t="str">
        <f aca="false">IF(A112="","",ROUND(K112*IF(L112="",0.08,L112),0))</f>
        <v/>
      </c>
      <c r="N112" s="11" t="str">
        <f aca="false">IF(A112="","",K112+M112)</f>
        <v/>
      </c>
      <c r="O112" s="11" t="str">
        <f aca="false">IF(A112="","",SUMIFS(ThuTien!$D$2:$D$2000,ThuTien!$B$2:$B$2000,A112))</f>
        <v/>
      </c>
      <c r="P112" s="11" t="str">
        <f aca="false">IF(A112="","",N112-O112)</f>
        <v/>
      </c>
      <c r="Q112" s="9"/>
      <c r="R112" s="10" t="str">
        <f aca="true">IF(A112="","",IF(AND(Q112&lt;&gt;"",P112&gt;0,TODAY()&gt;Q112),TODAY()-Q112,0))</f>
        <v/>
      </c>
      <c r="S112" s="10" t="str">
        <f aca="false">IF(A112="","",IF(N112=0,"Chưa có tiền hàng",IF(P112&lt;0,"Thu thừa",IF(P112=0,"Đã thu đủ",IF(O112&gt;0,"Thu một phần","Chưa thu")))))</f>
        <v/>
      </c>
      <c r="T112" s="10" t="str">
        <f aca="false">IF(A112="","",IF(AND(F112="Đã giao",H112&lt;&gt;"Đã xuất"),"Đã giao - CHƯA XUẤT HĐ",IF(AND(H112="Đã xuất",F112="Chưa giao"),"Đã xuất HĐ - chưa giao",IF(F112="","Chưa cập nhật giao hàng",IF(R112&gt;0,"Quá hạn "&amp;R112&amp;" ngày - đòi tiền",IF(P112&gt;0,"Chờ thu tiền",IF(P112&lt;0,"Kiểm tra thu thừa",IF(AND(F112="Đã giao",H112="Đã xuất"),"Hoàn tất","Theo dõi"))))))))</f>
        <v/>
      </c>
      <c r="U112" s="8"/>
    </row>
    <row r="113" customFormat="false" ht="15" hidden="false" customHeight="false" outlineLevel="0" collapsed="false">
      <c r="A113" s="8"/>
      <c r="B113" s="9"/>
      <c r="C113" s="8"/>
      <c r="D113" s="10" t="str">
        <f aca="false">IF(C113="","",IFERROR(VLOOKUP(C113,KhachHang!$A$2:$B$200,2,FALSE())&amp;"",""))</f>
        <v/>
      </c>
      <c r="E113" s="8"/>
      <c r="F113" s="8"/>
      <c r="G113" s="9"/>
      <c r="H113" s="8"/>
      <c r="I113" s="8"/>
      <c r="J113" s="9"/>
      <c r="K113" s="11" t="str">
        <f aca="false">IF(A113="","",SUMIFS(ChiTiet!$I$2:$I$2000,ChiTiet!$A$2:$A$2000,A113))</f>
        <v/>
      </c>
      <c r="L113" s="12"/>
      <c r="M113" s="11" t="str">
        <f aca="false">IF(A113="","",ROUND(K113*IF(L113="",0.08,L113),0))</f>
        <v/>
      </c>
      <c r="N113" s="11" t="str">
        <f aca="false">IF(A113="","",K113+M113)</f>
        <v/>
      </c>
      <c r="O113" s="11" t="str">
        <f aca="false">IF(A113="","",SUMIFS(ThuTien!$D$2:$D$2000,ThuTien!$B$2:$B$2000,A113))</f>
        <v/>
      </c>
      <c r="P113" s="11" t="str">
        <f aca="false">IF(A113="","",N113-O113)</f>
        <v/>
      </c>
      <c r="Q113" s="9"/>
      <c r="R113" s="10" t="str">
        <f aca="true">IF(A113="","",IF(AND(Q113&lt;&gt;"",P113&gt;0,TODAY()&gt;Q113),TODAY()-Q113,0))</f>
        <v/>
      </c>
      <c r="S113" s="10" t="str">
        <f aca="false">IF(A113="","",IF(N113=0,"Chưa có tiền hàng",IF(P113&lt;0,"Thu thừa",IF(P113=0,"Đã thu đủ",IF(O113&gt;0,"Thu một phần","Chưa thu")))))</f>
        <v/>
      </c>
      <c r="T113" s="10" t="str">
        <f aca="false">IF(A113="","",IF(AND(F113="Đã giao",H113&lt;&gt;"Đã xuất"),"Đã giao - CHƯA XUẤT HĐ",IF(AND(H113="Đã xuất",F113="Chưa giao"),"Đã xuất HĐ - chưa giao",IF(F113="","Chưa cập nhật giao hàng",IF(R113&gt;0,"Quá hạn "&amp;R113&amp;" ngày - đòi tiền",IF(P113&gt;0,"Chờ thu tiền",IF(P113&lt;0,"Kiểm tra thu thừa",IF(AND(F113="Đã giao",H113="Đã xuất"),"Hoàn tất","Theo dõi"))))))))</f>
        <v/>
      </c>
      <c r="U113" s="8"/>
    </row>
    <row r="114" customFormat="false" ht="15" hidden="false" customHeight="false" outlineLevel="0" collapsed="false">
      <c r="A114" s="8"/>
      <c r="B114" s="9"/>
      <c r="C114" s="8"/>
      <c r="D114" s="10" t="str">
        <f aca="false">IF(C114="","",IFERROR(VLOOKUP(C114,KhachHang!$A$2:$B$200,2,FALSE())&amp;"",""))</f>
        <v/>
      </c>
      <c r="E114" s="8"/>
      <c r="F114" s="8"/>
      <c r="G114" s="9"/>
      <c r="H114" s="8"/>
      <c r="I114" s="8"/>
      <c r="J114" s="9"/>
      <c r="K114" s="11" t="str">
        <f aca="false">IF(A114="","",SUMIFS(ChiTiet!$I$2:$I$2000,ChiTiet!$A$2:$A$2000,A114))</f>
        <v/>
      </c>
      <c r="L114" s="12"/>
      <c r="M114" s="11" t="str">
        <f aca="false">IF(A114="","",ROUND(K114*IF(L114="",0.08,L114),0))</f>
        <v/>
      </c>
      <c r="N114" s="11" t="str">
        <f aca="false">IF(A114="","",K114+M114)</f>
        <v/>
      </c>
      <c r="O114" s="11" t="str">
        <f aca="false">IF(A114="","",SUMIFS(ThuTien!$D$2:$D$2000,ThuTien!$B$2:$B$2000,A114))</f>
        <v/>
      </c>
      <c r="P114" s="11" t="str">
        <f aca="false">IF(A114="","",N114-O114)</f>
        <v/>
      </c>
      <c r="Q114" s="9"/>
      <c r="R114" s="10" t="str">
        <f aca="true">IF(A114="","",IF(AND(Q114&lt;&gt;"",P114&gt;0,TODAY()&gt;Q114),TODAY()-Q114,0))</f>
        <v/>
      </c>
      <c r="S114" s="10" t="str">
        <f aca="false">IF(A114="","",IF(N114=0,"Chưa có tiền hàng",IF(P114&lt;0,"Thu thừa",IF(P114=0,"Đã thu đủ",IF(O114&gt;0,"Thu một phần","Chưa thu")))))</f>
        <v/>
      </c>
      <c r="T114" s="10" t="str">
        <f aca="false">IF(A114="","",IF(AND(F114="Đã giao",H114&lt;&gt;"Đã xuất"),"Đã giao - CHƯA XUẤT HĐ",IF(AND(H114="Đã xuất",F114="Chưa giao"),"Đã xuất HĐ - chưa giao",IF(F114="","Chưa cập nhật giao hàng",IF(R114&gt;0,"Quá hạn "&amp;R114&amp;" ngày - đòi tiền",IF(P114&gt;0,"Chờ thu tiền",IF(P114&lt;0,"Kiểm tra thu thừa",IF(AND(F114="Đã giao",H114="Đã xuất"),"Hoàn tất","Theo dõi"))))))))</f>
        <v/>
      </c>
      <c r="U114" s="8"/>
    </row>
    <row r="115" customFormat="false" ht="15" hidden="false" customHeight="false" outlineLevel="0" collapsed="false">
      <c r="A115" s="8"/>
      <c r="B115" s="9"/>
      <c r="C115" s="8"/>
      <c r="D115" s="10" t="str">
        <f aca="false">IF(C115="","",IFERROR(VLOOKUP(C115,KhachHang!$A$2:$B$200,2,FALSE())&amp;"",""))</f>
        <v/>
      </c>
      <c r="E115" s="8"/>
      <c r="F115" s="8"/>
      <c r="G115" s="9"/>
      <c r="H115" s="8"/>
      <c r="I115" s="8"/>
      <c r="J115" s="9"/>
      <c r="K115" s="11" t="str">
        <f aca="false">IF(A115="","",SUMIFS(ChiTiet!$I$2:$I$2000,ChiTiet!$A$2:$A$2000,A115))</f>
        <v/>
      </c>
      <c r="L115" s="12"/>
      <c r="M115" s="11" t="str">
        <f aca="false">IF(A115="","",ROUND(K115*IF(L115="",0.08,L115),0))</f>
        <v/>
      </c>
      <c r="N115" s="11" t="str">
        <f aca="false">IF(A115="","",K115+M115)</f>
        <v/>
      </c>
      <c r="O115" s="11" t="str">
        <f aca="false">IF(A115="","",SUMIFS(ThuTien!$D$2:$D$2000,ThuTien!$B$2:$B$2000,A115))</f>
        <v/>
      </c>
      <c r="P115" s="11" t="str">
        <f aca="false">IF(A115="","",N115-O115)</f>
        <v/>
      </c>
      <c r="Q115" s="9"/>
      <c r="R115" s="10" t="str">
        <f aca="true">IF(A115="","",IF(AND(Q115&lt;&gt;"",P115&gt;0,TODAY()&gt;Q115),TODAY()-Q115,0))</f>
        <v/>
      </c>
      <c r="S115" s="10" t="str">
        <f aca="false">IF(A115="","",IF(N115=0,"Chưa có tiền hàng",IF(P115&lt;0,"Thu thừa",IF(P115=0,"Đã thu đủ",IF(O115&gt;0,"Thu một phần","Chưa thu")))))</f>
        <v/>
      </c>
      <c r="T115" s="10" t="str">
        <f aca="false">IF(A115="","",IF(AND(F115="Đã giao",H115&lt;&gt;"Đã xuất"),"Đã giao - CHƯA XUẤT HĐ",IF(AND(H115="Đã xuất",F115="Chưa giao"),"Đã xuất HĐ - chưa giao",IF(F115="","Chưa cập nhật giao hàng",IF(R115&gt;0,"Quá hạn "&amp;R115&amp;" ngày - đòi tiền",IF(P115&gt;0,"Chờ thu tiền",IF(P115&lt;0,"Kiểm tra thu thừa",IF(AND(F115="Đã giao",H115="Đã xuất"),"Hoàn tất","Theo dõi"))))))))</f>
        <v/>
      </c>
      <c r="U115" s="8"/>
    </row>
    <row r="116" customFormat="false" ht="15" hidden="false" customHeight="false" outlineLevel="0" collapsed="false">
      <c r="A116" s="8"/>
      <c r="B116" s="9"/>
      <c r="C116" s="8"/>
      <c r="D116" s="10" t="str">
        <f aca="false">IF(C116="","",IFERROR(VLOOKUP(C116,KhachHang!$A$2:$B$200,2,FALSE())&amp;"",""))</f>
        <v/>
      </c>
      <c r="E116" s="8"/>
      <c r="F116" s="8"/>
      <c r="G116" s="9"/>
      <c r="H116" s="8"/>
      <c r="I116" s="8"/>
      <c r="J116" s="9"/>
      <c r="K116" s="11" t="str">
        <f aca="false">IF(A116="","",SUMIFS(ChiTiet!$I$2:$I$2000,ChiTiet!$A$2:$A$2000,A116))</f>
        <v/>
      </c>
      <c r="L116" s="12"/>
      <c r="M116" s="11" t="str">
        <f aca="false">IF(A116="","",ROUND(K116*IF(L116="",0.08,L116),0))</f>
        <v/>
      </c>
      <c r="N116" s="11" t="str">
        <f aca="false">IF(A116="","",K116+M116)</f>
        <v/>
      </c>
      <c r="O116" s="11" t="str">
        <f aca="false">IF(A116="","",SUMIFS(ThuTien!$D$2:$D$2000,ThuTien!$B$2:$B$2000,A116))</f>
        <v/>
      </c>
      <c r="P116" s="11" t="str">
        <f aca="false">IF(A116="","",N116-O116)</f>
        <v/>
      </c>
      <c r="Q116" s="9"/>
      <c r="R116" s="10" t="str">
        <f aca="true">IF(A116="","",IF(AND(Q116&lt;&gt;"",P116&gt;0,TODAY()&gt;Q116),TODAY()-Q116,0))</f>
        <v/>
      </c>
      <c r="S116" s="10" t="str">
        <f aca="false">IF(A116="","",IF(N116=0,"Chưa có tiền hàng",IF(P116&lt;0,"Thu thừa",IF(P116=0,"Đã thu đủ",IF(O116&gt;0,"Thu một phần","Chưa thu")))))</f>
        <v/>
      </c>
      <c r="T116" s="10" t="str">
        <f aca="false">IF(A116="","",IF(AND(F116="Đã giao",H116&lt;&gt;"Đã xuất"),"Đã giao - CHƯA XUẤT HĐ",IF(AND(H116="Đã xuất",F116="Chưa giao"),"Đã xuất HĐ - chưa giao",IF(F116="","Chưa cập nhật giao hàng",IF(R116&gt;0,"Quá hạn "&amp;R116&amp;" ngày - đòi tiền",IF(P116&gt;0,"Chờ thu tiền",IF(P116&lt;0,"Kiểm tra thu thừa",IF(AND(F116="Đã giao",H116="Đã xuất"),"Hoàn tất","Theo dõi"))))))))</f>
        <v/>
      </c>
      <c r="U116" s="8"/>
    </row>
    <row r="117" customFormat="false" ht="15" hidden="false" customHeight="false" outlineLevel="0" collapsed="false">
      <c r="A117" s="8"/>
      <c r="B117" s="9"/>
      <c r="C117" s="8"/>
      <c r="D117" s="10" t="str">
        <f aca="false">IF(C117="","",IFERROR(VLOOKUP(C117,KhachHang!$A$2:$B$200,2,FALSE())&amp;"",""))</f>
        <v/>
      </c>
      <c r="E117" s="8"/>
      <c r="F117" s="8"/>
      <c r="G117" s="9"/>
      <c r="H117" s="8"/>
      <c r="I117" s="8"/>
      <c r="J117" s="9"/>
      <c r="K117" s="11" t="str">
        <f aca="false">IF(A117="","",SUMIFS(ChiTiet!$I$2:$I$2000,ChiTiet!$A$2:$A$2000,A117))</f>
        <v/>
      </c>
      <c r="L117" s="12"/>
      <c r="M117" s="11" t="str">
        <f aca="false">IF(A117="","",ROUND(K117*IF(L117="",0.08,L117),0))</f>
        <v/>
      </c>
      <c r="N117" s="11" t="str">
        <f aca="false">IF(A117="","",K117+M117)</f>
        <v/>
      </c>
      <c r="O117" s="11" t="str">
        <f aca="false">IF(A117="","",SUMIFS(ThuTien!$D$2:$D$2000,ThuTien!$B$2:$B$2000,A117))</f>
        <v/>
      </c>
      <c r="P117" s="11" t="str">
        <f aca="false">IF(A117="","",N117-O117)</f>
        <v/>
      </c>
      <c r="Q117" s="9"/>
      <c r="R117" s="10" t="str">
        <f aca="true">IF(A117="","",IF(AND(Q117&lt;&gt;"",P117&gt;0,TODAY()&gt;Q117),TODAY()-Q117,0))</f>
        <v/>
      </c>
      <c r="S117" s="10" t="str">
        <f aca="false">IF(A117="","",IF(N117=0,"Chưa có tiền hàng",IF(P117&lt;0,"Thu thừa",IF(P117=0,"Đã thu đủ",IF(O117&gt;0,"Thu một phần","Chưa thu")))))</f>
        <v/>
      </c>
      <c r="T117" s="10" t="str">
        <f aca="false">IF(A117="","",IF(AND(F117="Đã giao",H117&lt;&gt;"Đã xuất"),"Đã giao - CHƯA XUẤT HĐ",IF(AND(H117="Đã xuất",F117="Chưa giao"),"Đã xuất HĐ - chưa giao",IF(F117="","Chưa cập nhật giao hàng",IF(R117&gt;0,"Quá hạn "&amp;R117&amp;" ngày - đòi tiền",IF(P117&gt;0,"Chờ thu tiền",IF(P117&lt;0,"Kiểm tra thu thừa",IF(AND(F117="Đã giao",H117="Đã xuất"),"Hoàn tất","Theo dõi"))))))))</f>
        <v/>
      </c>
      <c r="U117" s="8"/>
    </row>
    <row r="118" customFormat="false" ht="15" hidden="false" customHeight="false" outlineLevel="0" collapsed="false">
      <c r="A118" s="8"/>
      <c r="B118" s="9"/>
      <c r="C118" s="8"/>
      <c r="D118" s="10" t="str">
        <f aca="false">IF(C118="","",IFERROR(VLOOKUP(C118,KhachHang!$A$2:$B$200,2,FALSE())&amp;"",""))</f>
        <v/>
      </c>
      <c r="E118" s="8"/>
      <c r="F118" s="8"/>
      <c r="G118" s="9"/>
      <c r="H118" s="8"/>
      <c r="I118" s="8"/>
      <c r="J118" s="9"/>
      <c r="K118" s="11" t="str">
        <f aca="false">IF(A118="","",SUMIFS(ChiTiet!$I$2:$I$2000,ChiTiet!$A$2:$A$2000,A118))</f>
        <v/>
      </c>
      <c r="L118" s="12"/>
      <c r="M118" s="11" t="str">
        <f aca="false">IF(A118="","",ROUND(K118*IF(L118="",0.08,L118),0))</f>
        <v/>
      </c>
      <c r="N118" s="11" t="str">
        <f aca="false">IF(A118="","",K118+M118)</f>
        <v/>
      </c>
      <c r="O118" s="11" t="str">
        <f aca="false">IF(A118="","",SUMIFS(ThuTien!$D$2:$D$2000,ThuTien!$B$2:$B$2000,A118))</f>
        <v/>
      </c>
      <c r="P118" s="11" t="str">
        <f aca="false">IF(A118="","",N118-O118)</f>
        <v/>
      </c>
      <c r="Q118" s="9"/>
      <c r="R118" s="10" t="str">
        <f aca="true">IF(A118="","",IF(AND(Q118&lt;&gt;"",P118&gt;0,TODAY()&gt;Q118),TODAY()-Q118,0))</f>
        <v/>
      </c>
      <c r="S118" s="10" t="str">
        <f aca="false">IF(A118="","",IF(N118=0,"Chưa có tiền hàng",IF(P118&lt;0,"Thu thừa",IF(P118=0,"Đã thu đủ",IF(O118&gt;0,"Thu một phần","Chưa thu")))))</f>
        <v/>
      </c>
      <c r="T118" s="10" t="str">
        <f aca="false">IF(A118="","",IF(AND(F118="Đã giao",H118&lt;&gt;"Đã xuất"),"Đã giao - CHƯA XUẤT HĐ",IF(AND(H118="Đã xuất",F118="Chưa giao"),"Đã xuất HĐ - chưa giao",IF(F118="","Chưa cập nhật giao hàng",IF(R118&gt;0,"Quá hạn "&amp;R118&amp;" ngày - đòi tiền",IF(P118&gt;0,"Chờ thu tiền",IF(P118&lt;0,"Kiểm tra thu thừa",IF(AND(F118="Đã giao",H118="Đã xuất"),"Hoàn tất","Theo dõi"))))))))</f>
        <v/>
      </c>
      <c r="U118" s="8"/>
    </row>
    <row r="119" customFormat="false" ht="15" hidden="false" customHeight="false" outlineLevel="0" collapsed="false">
      <c r="A119" s="8"/>
      <c r="B119" s="9"/>
      <c r="C119" s="8"/>
      <c r="D119" s="10" t="str">
        <f aca="false">IF(C119="","",IFERROR(VLOOKUP(C119,KhachHang!$A$2:$B$200,2,FALSE())&amp;"",""))</f>
        <v/>
      </c>
      <c r="E119" s="8"/>
      <c r="F119" s="8"/>
      <c r="G119" s="9"/>
      <c r="H119" s="8"/>
      <c r="I119" s="8"/>
      <c r="J119" s="9"/>
      <c r="K119" s="11" t="str">
        <f aca="false">IF(A119="","",SUMIFS(ChiTiet!$I$2:$I$2000,ChiTiet!$A$2:$A$2000,A119))</f>
        <v/>
      </c>
      <c r="L119" s="12"/>
      <c r="M119" s="11" t="str">
        <f aca="false">IF(A119="","",ROUND(K119*IF(L119="",0.08,L119),0))</f>
        <v/>
      </c>
      <c r="N119" s="11" t="str">
        <f aca="false">IF(A119="","",K119+M119)</f>
        <v/>
      </c>
      <c r="O119" s="11" t="str">
        <f aca="false">IF(A119="","",SUMIFS(ThuTien!$D$2:$D$2000,ThuTien!$B$2:$B$2000,A119))</f>
        <v/>
      </c>
      <c r="P119" s="11" t="str">
        <f aca="false">IF(A119="","",N119-O119)</f>
        <v/>
      </c>
      <c r="Q119" s="9"/>
      <c r="R119" s="10" t="str">
        <f aca="true">IF(A119="","",IF(AND(Q119&lt;&gt;"",P119&gt;0,TODAY()&gt;Q119),TODAY()-Q119,0))</f>
        <v/>
      </c>
      <c r="S119" s="10" t="str">
        <f aca="false">IF(A119="","",IF(N119=0,"Chưa có tiền hàng",IF(P119&lt;0,"Thu thừa",IF(P119=0,"Đã thu đủ",IF(O119&gt;0,"Thu một phần","Chưa thu")))))</f>
        <v/>
      </c>
      <c r="T119" s="10" t="str">
        <f aca="false">IF(A119="","",IF(AND(F119="Đã giao",H119&lt;&gt;"Đã xuất"),"Đã giao - CHƯA XUẤT HĐ",IF(AND(H119="Đã xuất",F119="Chưa giao"),"Đã xuất HĐ - chưa giao",IF(F119="","Chưa cập nhật giao hàng",IF(R119&gt;0,"Quá hạn "&amp;R119&amp;" ngày - đòi tiền",IF(P119&gt;0,"Chờ thu tiền",IF(P119&lt;0,"Kiểm tra thu thừa",IF(AND(F119="Đã giao",H119="Đã xuất"),"Hoàn tất","Theo dõi"))))))))</f>
        <v/>
      </c>
      <c r="U119" s="8"/>
    </row>
    <row r="120" customFormat="false" ht="15" hidden="false" customHeight="false" outlineLevel="0" collapsed="false">
      <c r="A120" s="8"/>
      <c r="B120" s="9"/>
      <c r="C120" s="8"/>
      <c r="D120" s="10" t="str">
        <f aca="false">IF(C120="","",IFERROR(VLOOKUP(C120,KhachHang!$A$2:$B$200,2,FALSE())&amp;"",""))</f>
        <v/>
      </c>
      <c r="E120" s="8"/>
      <c r="F120" s="8"/>
      <c r="G120" s="9"/>
      <c r="H120" s="8"/>
      <c r="I120" s="8"/>
      <c r="J120" s="9"/>
      <c r="K120" s="11" t="str">
        <f aca="false">IF(A120="","",SUMIFS(ChiTiet!$I$2:$I$2000,ChiTiet!$A$2:$A$2000,A120))</f>
        <v/>
      </c>
      <c r="L120" s="12"/>
      <c r="M120" s="11" t="str">
        <f aca="false">IF(A120="","",ROUND(K120*IF(L120="",0.08,L120),0))</f>
        <v/>
      </c>
      <c r="N120" s="11" t="str">
        <f aca="false">IF(A120="","",K120+M120)</f>
        <v/>
      </c>
      <c r="O120" s="11" t="str">
        <f aca="false">IF(A120="","",SUMIFS(ThuTien!$D$2:$D$2000,ThuTien!$B$2:$B$2000,A120))</f>
        <v/>
      </c>
      <c r="P120" s="11" t="str">
        <f aca="false">IF(A120="","",N120-O120)</f>
        <v/>
      </c>
      <c r="Q120" s="9"/>
      <c r="R120" s="10" t="str">
        <f aca="true">IF(A120="","",IF(AND(Q120&lt;&gt;"",P120&gt;0,TODAY()&gt;Q120),TODAY()-Q120,0))</f>
        <v/>
      </c>
      <c r="S120" s="10" t="str">
        <f aca="false">IF(A120="","",IF(N120=0,"Chưa có tiền hàng",IF(P120&lt;0,"Thu thừa",IF(P120=0,"Đã thu đủ",IF(O120&gt;0,"Thu một phần","Chưa thu")))))</f>
        <v/>
      </c>
      <c r="T120" s="10" t="str">
        <f aca="false">IF(A120="","",IF(AND(F120="Đã giao",H120&lt;&gt;"Đã xuất"),"Đã giao - CHƯA XUẤT HĐ",IF(AND(H120="Đã xuất",F120="Chưa giao"),"Đã xuất HĐ - chưa giao",IF(F120="","Chưa cập nhật giao hàng",IF(R120&gt;0,"Quá hạn "&amp;R120&amp;" ngày - đòi tiền",IF(P120&gt;0,"Chờ thu tiền",IF(P120&lt;0,"Kiểm tra thu thừa",IF(AND(F120="Đã giao",H120="Đã xuất"),"Hoàn tất","Theo dõi"))))))))</f>
        <v/>
      </c>
      <c r="U120" s="8"/>
    </row>
    <row r="121" customFormat="false" ht="15" hidden="false" customHeight="false" outlineLevel="0" collapsed="false">
      <c r="A121" s="8"/>
      <c r="B121" s="9"/>
      <c r="C121" s="8"/>
      <c r="D121" s="10" t="str">
        <f aca="false">IF(C121="","",IFERROR(VLOOKUP(C121,KhachHang!$A$2:$B$200,2,FALSE())&amp;"",""))</f>
        <v/>
      </c>
      <c r="E121" s="8"/>
      <c r="F121" s="8"/>
      <c r="G121" s="9"/>
      <c r="H121" s="8"/>
      <c r="I121" s="8"/>
      <c r="J121" s="9"/>
      <c r="K121" s="11" t="str">
        <f aca="false">IF(A121="","",SUMIFS(ChiTiet!$I$2:$I$2000,ChiTiet!$A$2:$A$2000,A121))</f>
        <v/>
      </c>
      <c r="L121" s="12"/>
      <c r="M121" s="11" t="str">
        <f aca="false">IF(A121="","",ROUND(K121*IF(L121="",0.08,L121),0))</f>
        <v/>
      </c>
      <c r="N121" s="11" t="str">
        <f aca="false">IF(A121="","",K121+M121)</f>
        <v/>
      </c>
      <c r="O121" s="11" t="str">
        <f aca="false">IF(A121="","",SUMIFS(ThuTien!$D$2:$D$2000,ThuTien!$B$2:$B$2000,A121))</f>
        <v/>
      </c>
      <c r="P121" s="11" t="str">
        <f aca="false">IF(A121="","",N121-O121)</f>
        <v/>
      </c>
      <c r="Q121" s="9"/>
      <c r="R121" s="10" t="str">
        <f aca="true">IF(A121="","",IF(AND(Q121&lt;&gt;"",P121&gt;0,TODAY()&gt;Q121),TODAY()-Q121,0))</f>
        <v/>
      </c>
      <c r="S121" s="10" t="str">
        <f aca="false">IF(A121="","",IF(N121=0,"Chưa có tiền hàng",IF(P121&lt;0,"Thu thừa",IF(P121=0,"Đã thu đủ",IF(O121&gt;0,"Thu một phần","Chưa thu")))))</f>
        <v/>
      </c>
      <c r="T121" s="10" t="str">
        <f aca="false">IF(A121="","",IF(AND(F121="Đã giao",H121&lt;&gt;"Đã xuất"),"Đã giao - CHƯA XUẤT HĐ",IF(AND(H121="Đã xuất",F121="Chưa giao"),"Đã xuất HĐ - chưa giao",IF(F121="","Chưa cập nhật giao hàng",IF(R121&gt;0,"Quá hạn "&amp;R121&amp;" ngày - đòi tiền",IF(P121&gt;0,"Chờ thu tiền",IF(P121&lt;0,"Kiểm tra thu thừa",IF(AND(F121="Đã giao",H121="Đã xuất"),"Hoàn tất","Theo dõi"))))))))</f>
        <v/>
      </c>
      <c r="U121" s="8"/>
    </row>
    <row r="122" customFormat="false" ht="15" hidden="false" customHeight="false" outlineLevel="0" collapsed="false">
      <c r="A122" s="8"/>
      <c r="B122" s="9"/>
      <c r="C122" s="8"/>
      <c r="D122" s="10" t="str">
        <f aca="false">IF(C122="","",IFERROR(VLOOKUP(C122,KhachHang!$A$2:$B$200,2,FALSE())&amp;"",""))</f>
        <v/>
      </c>
      <c r="E122" s="8"/>
      <c r="F122" s="8"/>
      <c r="G122" s="9"/>
      <c r="H122" s="8"/>
      <c r="I122" s="8"/>
      <c r="J122" s="9"/>
      <c r="K122" s="11" t="str">
        <f aca="false">IF(A122="","",SUMIFS(ChiTiet!$I$2:$I$2000,ChiTiet!$A$2:$A$2000,A122))</f>
        <v/>
      </c>
      <c r="L122" s="12"/>
      <c r="M122" s="11" t="str">
        <f aca="false">IF(A122="","",ROUND(K122*IF(L122="",0.08,L122),0))</f>
        <v/>
      </c>
      <c r="N122" s="11" t="str">
        <f aca="false">IF(A122="","",K122+M122)</f>
        <v/>
      </c>
      <c r="O122" s="11" t="str">
        <f aca="false">IF(A122="","",SUMIFS(ThuTien!$D$2:$D$2000,ThuTien!$B$2:$B$2000,A122))</f>
        <v/>
      </c>
      <c r="P122" s="11" t="str">
        <f aca="false">IF(A122="","",N122-O122)</f>
        <v/>
      </c>
      <c r="Q122" s="9"/>
      <c r="R122" s="10" t="str">
        <f aca="true">IF(A122="","",IF(AND(Q122&lt;&gt;"",P122&gt;0,TODAY()&gt;Q122),TODAY()-Q122,0))</f>
        <v/>
      </c>
      <c r="S122" s="10" t="str">
        <f aca="false">IF(A122="","",IF(N122=0,"Chưa có tiền hàng",IF(P122&lt;0,"Thu thừa",IF(P122=0,"Đã thu đủ",IF(O122&gt;0,"Thu một phần","Chưa thu")))))</f>
        <v/>
      </c>
      <c r="T122" s="10" t="str">
        <f aca="false">IF(A122="","",IF(AND(F122="Đã giao",H122&lt;&gt;"Đã xuất"),"Đã giao - CHƯA XUẤT HĐ",IF(AND(H122="Đã xuất",F122="Chưa giao"),"Đã xuất HĐ - chưa giao",IF(F122="","Chưa cập nhật giao hàng",IF(R122&gt;0,"Quá hạn "&amp;R122&amp;" ngày - đòi tiền",IF(P122&gt;0,"Chờ thu tiền",IF(P122&lt;0,"Kiểm tra thu thừa",IF(AND(F122="Đã giao",H122="Đã xuất"),"Hoàn tất","Theo dõi"))))))))</f>
        <v/>
      </c>
      <c r="U122" s="8"/>
    </row>
    <row r="123" customFormat="false" ht="15" hidden="false" customHeight="false" outlineLevel="0" collapsed="false">
      <c r="A123" s="8"/>
      <c r="B123" s="9"/>
      <c r="C123" s="8"/>
      <c r="D123" s="10" t="str">
        <f aca="false">IF(C123="","",IFERROR(VLOOKUP(C123,KhachHang!$A$2:$B$200,2,FALSE())&amp;"",""))</f>
        <v/>
      </c>
      <c r="E123" s="8"/>
      <c r="F123" s="8"/>
      <c r="G123" s="9"/>
      <c r="H123" s="8"/>
      <c r="I123" s="8"/>
      <c r="J123" s="9"/>
      <c r="K123" s="11" t="str">
        <f aca="false">IF(A123="","",SUMIFS(ChiTiet!$I$2:$I$2000,ChiTiet!$A$2:$A$2000,A123))</f>
        <v/>
      </c>
      <c r="L123" s="12"/>
      <c r="M123" s="11" t="str">
        <f aca="false">IF(A123="","",ROUND(K123*IF(L123="",0.08,L123),0))</f>
        <v/>
      </c>
      <c r="N123" s="11" t="str">
        <f aca="false">IF(A123="","",K123+M123)</f>
        <v/>
      </c>
      <c r="O123" s="11" t="str">
        <f aca="false">IF(A123="","",SUMIFS(ThuTien!$D$2:$D$2000,ThuTien!$B$2:$B$2000,A123))</f>
        <v/>
      </c>
      <c r="P123" s="11" t="str">
        <f aca="false">IF(A123="","",N123-O123)</f>
        <v/>
      </c>
      <c r="Q123" s="9"/>
      <c r="R123" s="10" t="str">
        <f aca="true">IF(A123="","",IF(AND(Q123&lt;&gt;"",P123&gt;0,TODAY()&gt;Q123),TODAY()-Q123,0))</f>
        <v/>
      </c>
      <c r="S123" s="10" t="str">
        <f aca="false">IF(A123="","",IF(N123=0,"Chưa có tiền hàng",IF(P123&lt;0,"Thu thừa",IF(P123=0,"Đã thu đủ",IF(O123&gt;0,"Thu một phần","Chưa thu")))))</f>
        <v/>
      </c>
      <c r="T123" s="10" t="str">
        <f aca="false">IF(A123="","",IF(AND(F123="Đã giao",H123&lt;&gt;"Đã xuất"),"Đã giao - CHƯA XUẤT HĐ",IF(AND(H123="Đã xuất",F123="Chưa giao"),"Đã xuất HĐ - chưa giao",IF(F123="","Chưa cập nhật giao hàng",IF(R123&gt;0,"Quá hạn "&amp;R123&amp;" ngày - đòi tiền",IF(P123&gt;0,"Chờ thu tiền",IF(P123&lt;0,"Kiểm tra thu thừa",IF(AND(F123="Đã giao",H123="Đã xuất"),"Hoàn tất","Theo dõi"))))))))</f>
        <v/>
      </c>
      <c r="U123" s="8"/>
    </row>
    <row r="124" customFormat="false" ht="15" hidden="false" customHeight="false" outlineLevel="0" collapsed="false">
      <c r="A124" s="8"/>
      <c r="B124" s="9"/>
      <c r="C124" s="8"/>
      <c r="D124" s="10" t="str">
        <f aca="false">IF(C124="","",IFERROR(VLOOKUP(C124,KhachHang!$A$2:$B$200,2,FALSE())&amp;"",""))</f>
        <v/>
      </c>
      <c r="E124" s="8"/>
      <c r="F124" s="8"/>
      <c r="G124" s="9"/>
      <c r="H124" s="8"/>
      <c r="I124" s="8"/>
      <c r="J124" s="9"/>
      <c r="K124" s="11" t="str">
        <f aca="false">IF(A124="","",SUMIFS(ChiTiet!$I$2:$I$2000,ChiTiet!$A$2:$A$2000,A124))</f>
        <v/>
      </c>
      <c r="L124" s="12"/>
      <c r="M124" s="11" t="str">
        <f aca="false">IF(A124="","",ROUND(K124*IF(L124="",0.08,L124),0))</f>
        <v/>
      </c>
      <c r="N124" s="11" t="str">
        <f aca="false">IF(A124="","",K124+M124)</f>
        <v/>
      </c>
      <c r="O124" s="11" t="str">
        <f aca="false">IF(A124="","",SUMIFS(ThuTien!$D$2:$D$2000,ThuTien!$B$2:$B$2000,A124))</f>
        <v/>
      </c>
      <c r="P124" s="11" t="str">
        <f aca="false">IF(A124="","",N124-O124)</f>
        <v/>
      </c>
      <c r="Q124" s="9"/>
      <c r="R124" s="10" t="str">
        <f aca="true">IF(A124="","",IF(AND(Q124&lt;&gt;"",P124&gt;0,TODAY()&gt;Q124),TODAY()-Q124,0))</f>
        <v/>
      </c>
      <c r="S124" s="10" t="str">
        <f aca="false">IF(A124="","",IF(N124=0,"Chưa có tiền hàng",IF(P124&lt;0,"Thu thừa",IF(P124=0,"Đã thu đủ",IF(O124&gt;0,"Thu một phần","Chưa thu")))))</f>
        <v/>
      </c>
      <c r="T124" s="10" t="str">
        <f aca="false">IF(A124="","",IF(AND(F124="Đã giao",H124&lt;&gt;"Đã xuất"),"Đã giao - CHƯA XUẤT HĐ",IF(AND(H124="Đã xuất",F124="Chưa giao"),"Đã xuất HĐ - chưa giao",IF(F124="","Chưa cập nhật giao hàng",IF(R124&gt;0,"Quá hạn "&amp;R124&amp;" ngày - đòi tiền",IF(P124&gt;0,"Chờ thu tiền",IF(P124&lt;0,"Kiểm tra thu thừa",IF(AND(F124="Đã giao",H124="Đã xuất"),"Hoàn tất","Theo dõi"))))))))</f>
        <v/>
      </c>
      <c r="U124" s="8"/>
    </row>
    <row r="125" customFormat="false" ht="15" hidden="false" customHeight="false" outlineLevel="0" collapsed="false">
      <c r="A125" s="8"/>
      <c r="B125" s="9"/>
      <c r="C125" s="8"/>
      <c r="D125" s="10" t="str">
        <f aca="false">IF(C125="","",IFERROR(VLOOKUP(C125,KhachHang!$A$2:$B$200,2,FALSE())&amp;"",""))</f>
        <v/>
      </c>
      <c r="E125" s="8"/>
      <c r="F125" s="8"/>
      <c r="G125" s="9"/>
      <c r="H125" s="8"/>
      <c r="I125" s="8"/>
      <c r="J125" s="9"/>
      <c r="K125" s="11" t="str">
        <f aca="false">IF(A125="","",SUMIFS(ChiTiet!$I$2:$I$2000,ChiTiet!$A$2:$A$2000,A125))</f>
        <v/>
      </c>
      <c r="L125" s="12"/>
      <c r="M125" s="11" t="str">
        <f aca="false">IF(A125="","",ROUND(K125*IF(L125="",0.08,L125),0))</f>
        <v/>
      </c>
      <c r="N125" s="11" t="str">
        <f aca="false">IF(A125="","",K125+M125)</f>
        <v/>
      </c>
      <c r="O125" s="11" t="str">
        <f aca="false">IF(A125="","",SUMIFS(ThuTien!$D$2:$D$2000,ThuTien!$B$2:$B$2000,A125))</f>
        <v/>
      </c>
      <c r="P125" s="11" t="str">
        <f aca="false">IF(A125="","",N125-O125)</f>
        <v/>
      </c>
      <c r="Q125" s="9"/>
      <c r="R125" s="10" t="str">
        <f aca="true">IF(A125="","",IF(AND(Q125&lt;&gt;"",P125&gt;0,TODAY()&gt;Q125),TODAY()-Q125,0))</f>
        <v/>
      </c>
      <c r="S125" s="10" t="str">
        <f aca="false">IF(A125="","",IF(N125=0,"Chưa có tiền hàng",IF(P125&lt;0,"Thu thừa",IF(P125=0,"Đã thu đủ",IF(O125&gt;0,"Thu một phần","Chưa thu")))))</f>
        <v/>
      </c>
      <c r="T125" s="10" t="str">
        <f aca="false">IF(A125="","",IF(AND(F125="Đã giao",H125&lt;&gt;"Đã xuất"),"Đã giao - CHƯA XUẤT HĐ",IF(AND(H125="Đã xuất",F125="Chưa giao"),"Đã xuất HĐ - chưa giao",IF(F125="","Chưa cập nhật giao hàng",IF(R125&gt;0,"Quá hạn "&amp;R125&amp;" ngày - đòi tiền",IF(P125&gt;0,"Chờ thu tiền",IF(P125&lt;0,"Kiểm tra thu thừa",IF(AND(F125="Đã giao",H125="Đã xuất"),"Hoàn tất","Theo dõi"))))))))</f>
        <v/>
      </c>
      <c r="U125" s="8"/>
    </row>
    <row r="126" customFormat="false" ht="15" hidden="false" customHeight="false" outlineLevel="0" collapsed="false">
      <c r="A126" s="8"/>
      <c r="B126" s="9"/>
      <c r="C126" s="8"/>
      <c r="D126" s="10" t="str">
        <f aca="false">IF(C126="","",IFERROR(VLOOKUP(C126,KhachHang!$A$2:$B$200,2,FALSE())&amp;"",""))</f>
        <v/>
      </c>
      <c r="E126" s="8"/>
      <c r="F126" s="8"/>
      <c r="G126" s="9"/>
      <c r="H126" s="8"/>
      <c r="I126" s="8"/>
      <c r="J126" s="9"/>
      <c r="K126" s="11" t="str">
        <f aca="false">IF(A126="","",SUMIFS(ChiTiet!$I$2:$I$2000,ChiTiet!$A$2:$A$2000,A126))</f>
        <v/>
      </c>
      <c r="L126" s="12"/>
      <c r="M126" s="11" t="str">
        <f aca="false">IF(A126="","",ROUND(K126*IF(L126="",0.08,L126),0))</f>
        <v/>
      </c>
      <c r="N126" s="11" t="str">
        <f aca="false">IF(A126="","",K126+M126)</f>
        <v/>
      </c>
      <c r="O126" s="11" t="str">
        <f aca="false">IF(A126="","",SUMIFS(ThuTien!$D$2:$D$2000,ThuTien!$B$2:$B$2000,A126))</f>
        <v/>
      </c>
      <c r="P126" s="11" t="str">
        <f aca="false">IF(A126="","",N126-O126)</f>
        <v/>
      </c>
      <c r="Q126" s="9"/>
      <c r="R126" s="10" t="str">
        <f aca="true">IF(A126="","",IF(AND(Q126&lt;&gt;"",P126&gt;0,TODAY()&gt;Q126),TODAY()-Q126,0))</f>
        <v/>
      </c>
      <c r="S126" s="10" t="str">
        <f aca="false">IF(A126="","",IF(N126=0,"Chưa có tiền hàng",IF(P126&lt;0,"Thu thừa",IF(P126=0,"Đã thu đủ",IF(O126&gt;0,"Thu một phần","Chưa thu")))))</f>
        <v/>
      </c>
      <c r="T126" s="10" t="str">
        <f aca="false">IF(A126="","",IF(AND(F126="Đã giao",H126&lt;&gt;"Đã xuất"),"Đã giao - CHƯA XUẤT HĐ",IF(AND(H126="Đã xuất",F126="Chưa giao"),"Đã xuất HĐ - chưa giao",IF(F126="","Chưa cập nhật giao hàng",IF(R126&gt;0,"Quá hạn "&amp;R126&amp;" ngày - đòi tiền",IF(P126&gt;0,"Chờ thu tiền",IF(P126&lt;0,"Kiểm tra thu thừa",IF(AND(F126="Đã giao",H126="Đã xuất"),"Hoàn tất","Theo dõi"))))))))</f>
        <v/>
      </c>
      <c r="U126" s="8"/>
    </row>
    <row r="127" customFormat="false" ht="15" hidden="false" customHeight="false" outlineLevel="0" collapsed="false">
      <c r="A127" s="8"/>
      <c r="B127" s="9"/>
      <c r="C127" s="8"/>
      <c r="D127" s="10" t="str">
        <f aca="false">IF(C127="","",IFERROR(VLOOKUP(C127,KhachHang!$A$2:$B$200,2,FALSE())&amp;"",""))</f>
        <v/>
      </c>
      <c r="E127" s="8"/>
      <c r="F127" s="8"/>
      <c r="G127" s="9"/>
      <c r="H127" s="8"/>
      <c r="I127" s="8"/>
      <c r="J127" s="9"/>
      <c r="K127" s="11" t="str">
        <f aca="false">IF(A127="","",SUMIFS(ChiTiet!$I$2:$I$2000,ChiTiet!$A$2:$A$2000,A127))</f>
        <v/>
      </c>
      <c r="L127" s="12"/>
      <c r="M127" s="11" t="str">
        <f aca="false">IF(A127="","",ROUND(K127*IF(L127="",0.08,L127),0))</f>
        <v/>
      </c>
      <c r="N127" s="11" t="str">
        <f aca="false">IF(A127="","",K127+M127)</f>
        <v/>
      </c>
      <c r="O127" s="11" t="str">
        <f aca="false">IF(A127="","",SUMIFS(ThuTien!$D$2:$D$2000,ThuTien!$B$2:$B$2000,A127))</f>
        <v/>
      </c>
      <c r="P127" s="11" t="str">
        <f aca="false">IF(A127="","",N127-O127)</f>
        <v/>
      </c>
      <c r="Q127" s="9"/>
      <c r="R127" s="10" t="str">
        <f aca="true">IF(A127="","",IF(AND(Q127&lt;&gt;"",P127&gt;0,TODAY()&gt;Q127),TODAY()-Q127,0))</f>
        <v/>
      </c>
      <c r="S127" s="10" t="str">
        <f aca="false">IF(A127="","",IF(N127=0,"Chưa có tiền hàng",IF(P127&lt;0,"Thu thừa",IF(P127=0,"Đã thu đủ",IF(O127&gt;0,"Thu một phần","Chưa thu")))))</f>
        <v/>
      </c>
      <c r="T127" s="10" t="str">
        <f aca="false">IF(A127="","",IF(AND(F127="Đã giao",H127&lt;&gt;"Đã xuất"),"Đã giao - CHƯA XUẤT HĐ",IF(AND(H127="Đã xuất",F127="Chưa giao"),"Đã xuất HĐ - chưa giao",IF(F127="","Chưa cập nhật giao hàng",IF(R127&gt;0,"Quá hạn "&amp;R127&amp;" ngày - đòi tiền",IF(P127&gt;0,"Chờ thu tiền",IF(P127&lt;0,"Kiểm tra thu thừa",IF(AND(F127="Đã giao",H127="Đã xuất"),"Hoàn tất","Theo dõi"))))))))</f>
        <v/>
      </c>
      <c r="U127" s="8"/>
    </row>
    <row r="128" customFormat="false" ht="15" hidden="false" customHeight="false" outlineLevel="0" collapsed="false">
      <c r="A128" s="8"/>
      <c r="B128" s="9"/>
      <c r="C128" s="8"/>
      <c r="D128" s="10" t="str">
        <f aca="false">IF(C128="","",IFERROR(VLOOKUP(C128,KhachHang!$A$2:$B$200,2,FALSE())&amp;"",""))</f>
        <v/>
      </c>
      <c r="E128" s="8"/>
      <c r="F128" s="8"/>
      <c r="G128" s="9"/>
      <c r="H128" s="8"/>
      <c r="I128" s="8"/>
      <c r="J128" s="9"/>
      <c r="K128" s="11" t="str">
        <f aca="false">IF(A128="","",SUMIFS(ChiTiet!$I$2:$I$2000,ChiTiet!$A$2:$A$2000,A128))</f>
        <v/>
      </c>
      <c r="L128" s="12"/>
      <c r="M128" s="11" t="str">
        <f aca="false">IF(A128="","",ROUND(K128*IF(L128="",0.08,L128),0))</f>
        <v/>
      </c>
      <c r="N128" s="11" t="str">
        <f aca="false">IF(A128="","",K128+M128)</f>
        <v/>
      </c>
      <c r="O128" s="11" t="str">
        <f aca="false">IF(A128="","",SUMIFS(ThuTien!$D$2:$D$2000,ThuTien!$B$2:$B$2000,A128))</f>
        <v/>
      </c>
      <c r="P128" s="11" t="str">
        <f aca="false">IF(A128="","",N128-O128)</f>
        <v/>
      </c>
      <c r="Q128" s="9"/>
      <c r="R128" s="10" t="str">
        <f aca="true">IF(A128="","",IF(AND(Q128&lt;&gt;"",P128&gt;0,TODAY()&gt;Q128),TODAY()-Q128,0))</f>
        <v/>
      </c>
      <c r="S128" s="10" t="str">
        <f aca="false">IF(A128="","",IF(N128=0,"Chưa có tiền hàng",IF(P128&lt;0,"Thu thừa",IF(P128=0,"Đã thu đủ",IF(O128&gt;0,"Thu một phần","Chưa thu")))))</f>
        <v/>
      </c>
      <c r="T128" s="10" t="str">
        <f aca="false">IF(A128="","",IF(AND(F128="Đã giao",H128&lt;&gt;"Đã xuất"),"Đã giao - CHƯA XUẤT HĐ",IF(AND(H128="Đã xuất",F128="Chưa giao"),"Đã xuất HĐ - chưa giao",IF(F128="","Chưa cập nhật giao hàng",IF(R128&gt;0,"Quá hạn "&amp;R128&amp;" ngày - đòi tiền",IF(P128&gt;0,"Chờ thu tiền",IF(P128&lt;0,"Kiểm tra thu thừa",IF(AND(F128="Đã giao",H128="Đã xuất"),"Hoàn tất","Theo dõi"))))))))</f>
        <v/>
      </c>
      <c r="U128" s="8"/>
    </row>
    <row r="129" customFormat="false" ht="15" hidden="false" customHeight="false" outlineLevel="0" collapsed="false">
      <c r="A129" s="8"/>
      <c r="B129" s="9"/>
      <c r="C129" s="8"/>
      <c r="D129" s="10" t="str">
        <f aca="false">IF(C129="","",IFERROR(VLOOKUP(C129,KhachHang!$A$2:$B$200,2,FALSE())&amp;"",""))</f>
        <v/>
      </c>
      <c r="E129" s="8"/>
      <c r="F129" s="8"/>
      <c r="G129" s="9"/>
      <c r="H129" s="8"/>
      <c r="I129" s="8"/>
      <c r="J129" s="9"/>
      <c r="K129" s="11" t="str">
        <f aca="false">IF(A129="","",SUMIFS(ChiTiet!$I$2:$I$2000,ChiTiet!$A$2:$A$2000,A129))</f>
        <v/>
      </c>
      <c r="L129" s="12"/>
      <c r="M129" s="11" t="str">
        <f aca="false">IF(A129="","",ROUND(K129*IF(L129="",0.08,L129),0))</f>
        <v/>
      </c>
      <c r="N129" s="11" t="str">
        <f aca="false">IF(A129="","",K129+M129)</f>
        <v/>
      </c>
      <c r="O129" s="11" t="str">
        <f aca="false">IF(A129="","",SUMIFS(ThuTien!$D$2:$D$2000,ThuTien!$B$2:$B$2000,A129))</f>
        <v/>
      </c>
      <c r="P129" s="11" t="str">
        <f aca="false">IF(A129="","",N129-O129)</f>
        <v/>
      </c>
      <c r="Q129" s="9"/>
      <c r="R129" s="10" t="str">
        <f aca="true">IF(A129="","",IF(AND(Q129&lt;&gt;"",P129&gt;0,TODAY()&gt;Q129),TODAY()-Q129,0))</f>
        <v/>
      </c>
      <c r="S129" s="10" t="str">
        <f aca="false">IF(A129="","",IF(N129=0,"Chưa có tiền hàng",IF(P129&lt;0,"Thu thừa",IF(P129=0,"Đã thu đủ",IF(O129&gt;0,"Thu một phần","Chưa thu")))))</f>
        <v/>
      </c>
      <c r="T129" s="10" t="str">
        <f aca="false">IF(A129="","",IF(AND(F129="Đã giao",H129&lt;&gt;"Đã xuất"),"Đã giao - CHƯA XUẤT HĐ",IF(AND(H129="Đã xuất",F129="Chưa giao"),"Đã xuất HĐ - chưa giao",IF(F129="","Chưa cập nhật giao hàng",IF(R129&gt;0,"Quá hạn "&amp;R129&amp;" ngày - đòi tiền",IF(P129&gt;0,"Chờ thu tiền",IF(P129&lt;0,"Kiểm tra thu thừa",IF(AND(F129="Đã giao",H129="Đã xuất"),"Hoàn tất","Theo dõi"))))))))</f>
        <v/>
      </c>
      <c r="U129" s="8"/>
    </row>
    <row r="130" customFormat="false" ht="15" hidden="false" customHeight="false" outlineLevel="0" collapsed="false">
      <c r="A130" s="8"/>
      <c r="B130" s="9"/>
      <c r="C130" s="8"/>
      <c r="D130" s="10" t="str">
        <f aca="false">IF(C130="","",IFERROR(VLOOKUP(C130,KhachHang!$A$2:$B$200,2,FALSE())&amp;"",""))</f>
        <v/>
      </c>
      <c r="E130" s="8"/>
      <c r="F130" s="8"/>
      <c r="G130" s="9"/>
      <c r="H130" s="8"/>
      <c r="I130" s="8"/>
      <c r="J130" s="9"/>
      <c r="K130" s="11" t="str">
        <f aca="false">IF(A130="","",SUMIFS(ChiTiet!$I$2:$I$2000,ChiTiet!$A$2:$A$2000,A130))</f>
        <v/>
      </c>
      <c r="L130" s="12"/>
      <c r="M130" s="11" t="str">
        <f aca="false">IF(A130="","",ROUND(K130*IF(L130="",0.08,L130),0))</f>
        <v/>
      </c>
      <c r="N130" s="11" t="str">
        <f aca="false">IF(A130="","",K130+M130)</f>
        <v/>
      </c>
      <c r="O130" s="11" t="str">
        <f aca="false">IF(A130="","",SUMIFS(ThuTien!$D$2:$D$2000,ThuTien!$B$2:$B$2000,A130))</f>
        <v/>
      </c>
      <c r="P130" s="11" t="str">
        <f aca="false">IF(A130="","",N130-O130)</f>
        <v/>
      </c>
      <c r="Q130" s="9"/>
      <c r="R130" s="10" t="str">
        <f aca="true">IF(A130="","",IF(AND(Q130&lt;&gt;"",P130&gt;0,TODAY()&gt;Q130),TODAY()-Q130,0))</f>
        <v/>
      </c>
      <c r="S130" s="10" t="str">
        <f aca="false">IF(A130="","",IF(N130=0,"Chưa có tiền hàng",IF(P130&lt;0,"Thu thừa",IF(P130=0,"Đã thu đủ",IF(O130&gt;0,"Thu một phần","Chưa thu")))))</f>
        <v/>
      </c>
      <c r="T130" s="10" t="str">
        <f aca="false">IF(A130="","",IF(AND(F130="Đã giao",H130&lt;&gt;"Đã xuất"),"Đã giao - CHƯA XUẤT HĐ",IF(AND(H130="Đã xuất",F130="Chưa giao"),"Đã xuất HĐ - chưa giao",IF(F130="","Chưa cập nhật giao hàng",IF(R130&gt;0,"Quá hạn "&amp;R130&amp;" ngày - đòi tiền",IF(P130&gt;0,"Chờ thu tiền",IF(P130&lt;0,"Kiểm tra thu thừa",IF(AND(F130="Đã giao",H130="Đã xuất"),"Hoàn tất","Theo dõi"))))))))</f>
        <v/>
      </c>
      <c r="U130" s="8"/>
    </row>
    <row r="131" customFormat="false" ht="15" hidden="false" customHeight="false" outlineLevel="0" collapsed="false">
      <c r="A131" s="8"/>
      <c r="B131" s="9"/>
      <c r="C131" s="8"/>
      <c r="D131" s="10" t="str">
        <f aca="false">IF(C131="","",IFERROR(VLOOKUP(C131,KhachHang!$A$2:$B$200,2,FALSE())&amp;"",""))</f>
        <v/>
      </c>
      <c r="E131" s="8"/>
      <c r="F131" s="8"/>
      <c r="G131" s="9"/>
      <c r="H131" s="8"/>
      <c r="I131" s="8"/>
      <c r="J131" s="9"/>
      <c r="K131" s="11" t="str">
        <f aca="false">IF(A131="","",SUMIFS(ChiTiet!$I$2:$I$2000,ChiTiet!$A$2:$A$2000,A131))</f>
        <v/>
      </c>
      <c r="L131" s="12"/>
      <c r="M131" s="11" t="str">
        <f aca="false">IF(A131="","",ROUND(K131*IF(L131="",0.08,L131),0))</f>
        <v/>
      </c>
      <c r="N131" s="11" t="str">
        <f aca="false">IF(A131="","",K131+M131)</f>
        <v/>
      </c>
      <c r="O131" s="11" t="str">
        <f aca="false">IF(A131="","",SUMIFS(ThuTien!$D$2:$D$2000,ThuTien!$B$2:$B$2000,A131))</f>
        <v/>
      </c>
      <c r="P131" s="11" t="str">
        <f aca="false">IF(A131="","",N131-O131)</f>
        <v/>
      </c>
      <c r="Q131" s="9"/>
      <c r="R131" s="10" t="str">
        <f aca="true">IF(A131="","",IF(AND(Q131&lt;&gt;"",P131&gt;0,TODAY()&gt;Q131),TODAY()-Q131,0))</f>
        <v/>
      </c>
      <c r="S131" s="10" t="str">
        <f aca="false">IF(A131="","",IF(N131=0,"Chưa có tiền hàng",IF(P131&lt;0,"Thu thừa",IF(P131=0,"Đã thu đủ",IF(O131&gt;0,"Thu một phần","Chưa thu")))))</f>
        <v/>
      </c>
      <c r="T131" s="10" t="str">
        <f aca="false">IF(A131="","",IF(AND(F131="Đã giao",H131&lt;&gt;"Đã xuất"),"Đã giao - CHƯA XUẤT HĐ",IF(AND(H131="Đã xuất",F131="Chưa giao"),"Đã xuất HĐ - chưa giao",IF(F131="","Chưa cập nhật giao hàng",IF(R131&gt;0,"Quá hạn "&amp;R131&amp;" ngày - đòi tiền",IF(P131&gt;0,"Chờ thu tiền",IF(P131&lt;0,"Kiểm tra thu thừa",IF(AND(F131="Đã giao",H131="Đã xuất"),"Hoàn tất","Theo dõi"))))))))</f>
        <v/>
      </c>
      <c r="U131" s="8"/>
    </row>
    <row r="132" customFormat="false" ht="15" hidden="false" customHeight="false" outlineLevel="0" collapsed="false">
      <c r="A132" s="8"/>
      <c r="B132" s="9"/>
      <c r="C132" s="8"/>
      <c r="D132" s="10" t="str">
        <f aca="false">IF(C132="","",IFERROR(VLOOKUP(C132,KhachHang!$A$2:$B$200,2,FALSE())&amp;"",""))</f>
        <v/>
      </c>
      <c r="E132" s="8"/>
      <c r="F132" s="8"/>
      <c r="G132" s="9"/>
      <c r="H132" s="8"/>
      <c r="I132" s="8"/>
      <c r="J132" s="9"/>
      <c r="K132" s="11" t="str">
        <f aca="false">IF(A132="","",SUMIFS(ChiTiet!$I$2:$I$2000,ChiTiet!$A$2:$A$2000,A132))</f>
        <v/>
      </c>
      <c r="L132" s="12"/>
      <c r="M132" s="11" t="str">
        <f aca="false">IF(A132="","",ROUND(K132*IF(L132="",0.08,L132),0))</f>
        <v/>
      </c>
      <c r="N132" s="11" t="str">
        <f aca="false">IF(A132="","",K132+M132)</f>
        <v/>
      </c>
      <c r="O132" s="11" t="str">
        <f aca="false">IF(A132="","",SUMIFS(ThuTien!$D$2:$D$2000,ThuTien!$B$2:$B$2000,A132))</f>
        <v/>
      </c>
      <c r="P132" s="11" t="str">
        <f aca="false">IF(A132="","",N132-O132)</f>
        <v/>
      </c>
      <c r="Q132" s="9"/>
      <c r="R132" s="10" t="str">
        <f aca="true">IF(A132="","",IF(AND(Q132&lt;&gt;"",P132&gt;0,TODAY()&gt;Q132),TODAY()-Q132,0))</f>
        <v/>
      </c>
      <c r="S132" s="10" t="str">
        <f aca="false">IF(A132="","",IF(N132=0,"Chưa có tiền hàng",IF(P132&lt;0,"Thu thừa",IF(P132=0,"Đã thu đủ",IF(O132&gt;0,"Thu một phần","Chưa thu")))))</f>
        <v/>
      </c>
      <c r="T132" s="10" t="str">
        <f aca="false">IF(A132="","",IF(AND(F132="Đã giao",H132&lt;&gt;"Đã xuất"),"Đã giao - CHƯA XUẤT HĐ",IF(AND(H132="Đã xuất",F132="Chưa giao"),"Đã xuất HĐ - chưa giao",IF(F132="","Chưa cập nhật giao hàng",IF(R132&gt;0,"Quá hạn "&amp;R132&amp;" ngày - đòi tiền",IF(P132&gt;0,"Chờ thu tiền",IF(P132&lt;0,"Kiểm tra thu thừa",IF(AND(F132="Đã giao",H132="Đã xuất"),"Hoàn tất","Theo dõi"))))))))</f>
        <v/>
      </c>
      <c r="U132" s="8"/>
    </row>
    <row r="133" customFormat="false" ht="15" hidden="false" customHeight="false" outlineLevel="0" collapsed="false">
      <c r="A133" s="8"/>
      <c r="B133" s="9"/>
      <c r="C133" s="8"/>
      <c r="D133" s="10" t="str">
        <f aca="false">IF(C133="","",IFERROR(VLOOKUP(C133,KhachHang!$A$2:$B$200,2,FALSE())&amp;"",""))</f>
        <v/>
      </c>
      <c r="E133" s="8"/>
      <c r="F133" s="8"/>
      <c r="G133" s="9"/>
      <c r="H133" s="8"/>
      <c r="I133" s="8"/>
      <c r="J133" s="9"/>
      <c r="K133" s="11" t="str">
        <f aca="false">IF(A133="","",SUMIFS(ChiTiet!$I$2:$I$2000,ChiTiet!$A$2:$A$2000,A133))</f>
        <v/>
      </c>
      <c r="L133" s="12"/>
      <c r="M133" s="11" t="str">
        <f aca="false">IF(A133="","",ROUND(K133*IF(L133="",0.08,L133),0))</f>
        <v/>
      </c>
      <c r="N133" s="11" t="str">
        <f aca="false">IF(A133="","",K133+M133)</f>
        <v/>
      </c>
      <c r="O133" s="11" t="str">
        <f aca="false">IF(A133="","",SUMIFS(ThuTien!$D$2:$D$2000,ThuTien!$B$2:$B$2000,A133))</f>
        <v/>
      </c>
      <c r="P133" s="11" t="str">
        <f aca="false">IF(A133="","",N133-O133)</f>
        <v/>
      </c>
      <c r="Q133" s="9"/>
      <c r="R133" s="10" t="str">
        <f aca="true">IF(A133="","",IF(AND(Q133&lt;&gt;"",P133&gt;0,TODAY()&gt;Q133),TODAY()-Q133,0))</f>
        <v/>
      </c>
      <c r="S133" s="10" t="str">
        <f aca="false">IF(A133="","",IF(N133=0,"Chưa có tiền hàng",IF(P133&lt;0,"Thu thừa",IF(P133=0,"Đã thu đủ",IF(O133&gt;0,"Thu một phần","Chưa thu")))))</f>
        <v/>
      </c>
      <c r="T133" s="10" t="str">
        <f aca="false">IF(A133="","",IF(AND(F133="Đã giao",H133&lt;&gt;"Đã xuất"),"Đã giao - CHƯA XUẤT HĐ",IF(AND(H133="Đã xuất",F133="Chưa giao"),"Đã xuất HĐ - chưa giao",IF(F133="","Chưa cập nhật giao hàng",IF(R133&gt;0,"Quá hạn "&amp;R133&amp;" ngày - đòi tiền",IF(P133&gt;0,"Chờ thu tiền",IF(P133&lt;0,"Kiểm tra thu thừa",IF(AND(F133="Đã giao",H133="Đã xuất"),"Hoàn tất","Theo dõi"))))))))</f>
        <v/>
      </c>
      <c r="U133" s="8"/>
    </row>
    <row r="134" customFormat="false" ht="15" hidden="false" customHeight="false" outlineLevel="0" collapsed="false">
      <c r="A134" s="8"/>
      <c r="B134" s="9"/>
      <c r="C134" s="8"/>
      <c r="D134" s="10" t="str">
        <f aca="false">IF(C134="","",IFERROR(VLOOKUP(C134,KhachHang!$A$2:$B$200,2,FALSE())&amp;"",""))</f>
        <v/>
      </c>
      <c r="E134" s="8"/>
      <c r="F134" s="8"/>
      <c r="G134" s="9"/>
      <c r="H134" s="8"/>
      <c r="I134" s="8"/>
      <c r="J134" s="9"/>
      <c r="K134" s="11" t="str">
        <f aca="false">IF(A134="","",SUMIFS(ChiTiet!$I$2:$I$2000,ChiTiet!$A$2:$A$2000,A134))</f>
        <v/>
      </c>
      <c r="L134" s="12"/>
      <c r="M134" s="11" t="str">
        <f aca="false">IF(A134="","",ROUND(K134*IF(L134="",0.08,L134),0))</f>
        <v/>
      </c>
      <c r="N134" s="11" t="str">
        <f aca="false">IF(A134="","",K134+M134)</f>
        <v/>
      </c>
      <c r="O134" s="11" t="str">
        <f aca="false">IF(A134="","",SUMIFS(ThuTien!$D$2:$D$2000,ThuTien!$B$2:$B$2000,A134))</f>
        <v/>
      </c>
      <c r="P134" s="11" t="str">
        <f aca="false">IF(A134="","",N134-O134)</f>
        <v/>
      </c>
      <c r="Q134" s="9"/>
      <c r="R134" s="10" t="str">
        <f aca="true">IF(A134="","",IF(AND(Q134&lt;&gt;"",P134&gt;0,TODAY()&gt;Q134),TODAY()-Q134,0))</f>
        <v/>
      </c>
      <c r="S134" s="10" t="str">
        <f aca="false">IF(A134="","",IF(N134=0,"Chưa có tiền hàng",IF(P134&lt;0,"Thu thừa",IF(P134=0,"Đã thu đủ",IF(O134&gt;0,"Thu một phần","Chưa thu")))))</f>
        <v/>
      </c>
      <c r="T134" s="10" t="str">
        <f aca="false">IF(A134="","",IF(AND(F134="Đã giao",H134&lt;&gt;"Đã xuất"),"Đã giao - CHƯA XUẤT HĐ",IF(AND(H134="Đã xuất",F134="Chưa giao"),"Đã xuất HĐ - chưa giao",IF(F134="","Chưa cập nhật giao hàng",IF(R134&gt;0,"Quá hạn "&amp;R134&amp;" ngày - đòi tiền",IF(P134&gt;0,"Chờ thu tiền",IF(P134&lt;0,"Kiểm tra thu thừa",IF(AND(F134="Đã giao",H134="Đã xuất"),"Hoàn tất","Theo dõi"))))))))</f>
        <v/>
      </c>
      <c r="U134" s="8"/>
    </row>
    <row r="135" customFormat="false" ht="15" hidden="false" customHeight="false" outlineLevel="0" collapsed="false">
      <c r="A135" s="8"/>
      <c r="B135" s="9"/>
      <c r="C135" s="8"/>
      <c r="D135" s="10" t="str">
        <f aca="false">IF(C135="","",IFERROR(VLOOKUP(C135,KhachHang!$A$2:$B$200,2,FALSE())&amp;"",""))</f>
        <v/>
      </c>
      <c r="E135" s="8"/>
      <c r="F135" s="8"/>
      <c r="G135" s="9"/>
      <c r="H135" s="8"/>
      <c r="I135" s="8"/>
      <c r="J135" s="9"/>
      <c r="K135" s="11" t="str">
        <f aca="false">IF(A135="","",SUMIFS(ChiTiet!$I$2:$I$2000,ChiTiet!$A$2:$A$2000,A135))</f>
        <v/>
      </c>
      <c r="L135" s="12"/>
      <c r="M135" s="11" t="str">
        <f aca="false">IF(A135="","",ROUND(K135*IF(L135="",0.08,L135),0))</f>
        <v/>
      </c>
      <c r="N135" s="11" t="str">
        <f aca="false">IF(A135="","",K135+M135)</f>
        <v/>
      </c>
      <c r="O135" s="11" t="str">
        <f aca="false">IF(A135="","",SUMIFS(ThuTien!$D$2:$D$2000,ThuTien!$B$2:$B$2000,A135))</f>
        <v/>
      </c>
      <c r="P135" s="11" t="str">
        <f aca="false">IF(A135="","",N135-O135)</f>
        <v/>
      </c>
      <c r="Q135" s="9"/>
      <c r="R135" s="10" t="str">
        <f aca="true">IF(A135="","",IF(AND(Q135&lt;&gt;"",P135&gt;0,TODAY()&gt;Q135),TODAY()-Q135,0))</f>
        <v/>
      </c>
      <c r="S135" s="10" t="str">
        <f aca="false">IF(A135="","",IF(N135=0,"Chưa có tiền hàng",IF(P135&lt;0,"Thu thừa",IF(P135=0,"Đã thu đủ",IF(O135&gt;0,"Thu một phần","Chưa thu")))))</f>
        <v/>
      </c>
      <c r="T135" s="10" t="str">
        <f aca="false">IF(A135="","",IF(AND(F135="Đã giao",H135&lt;&gt;"Đã xuất"),"Đã giao - CHƯA XUẤT HĐ",IF(AND(H135="Đã xuất",F135="Chưa giao"),"Đã xuất HĐ - chưa giao",IF(F135="","Chưa cập nhật giao hàng",IF(R135&gt;0,"Quá hạn "&amp;R135&amp;" ngày - đòi tiền",IF(P135&gt;0,"Chờ thu tiền",IF(P135&lt;0,"Kiểm tra thu thừa",IF(AND(F135="Đã giao",H135="Đã xuất"),"Hoàn tất","Theo dõi"))))))))</f>
        <v/>
      </c>
      <c r="U135" s="8"/>
    </row>
    <row r="136" customFormat="false" ht="15" hidden="false" customHeight="false" outlineLevel="0" collapsed="false">
      <c r="A136" s="8"/>
      <c r="B136" s="9"/>
      <c r="C136" s="8"/>
      <c r="D136" s="10" t="str">
        <f aca="false">IF(C136="","",IFERROR(VLOOKUP(C136,KhachHang!$A$2:$B$200,2,FALSE())&amp;"",""))</f>
        <v/>
      </c>
      <c r="E136" s="8"/>
      <c r="F136" s="8"/>
      <c r="G136" s="9"/>
      <c r="H136" s="8"/>
      <c r="I136" s="8"/>
      <c r="J136" s="9"/>
      <c r="K136" s="11" t="str">
        <f aca="false">IF(A136="","",SUMIFS(ChiTiet!$I$2:$I$2000,ChiTiet!$A$2:$A$2000,A136))</f>
        <v/>
      </c>
      <c r="L136" s="12"/>
      <c r="M136" s="11" t="str">
        <f aca="false">IF(A136="","",ROUND(K136*IF(L136="",0.08,L136),0))</f>
        <v/>
      </c>
      <c r="N136" s="11" t="str">
        <f aca="false">IF(A136="","",K136+M136)</f>
        <v/>
      </c>
      <c r="O136" s="11" t="str">
        <f aca="false">IF(A136="","",SUMIFS(ThuTien!$D$2:$D$2000,ThuTien!$B$2:$B$2000,A136))</f>
        <v/>
      </c>
      <c r="P136" s="11" t="str">
        <f aca="false">IF(A136="","",N136-O136)</f>
        <v/>
      </c>
      <c r="Q136" s="9"/>
      <c r="R136" s="10" t="str">
        <f aca="true">IF(A136="","",IF(AND(Q136&lt;&gt;"",P136&gt;0,TODAY()&gt;Q136),TODAY()-Q136,0))</f>
        <v/>
      </c>
      <c r="S136" s="10" t="str">
        <f aca="false">IF(A136="","",IF(N136=0,"Chưa có tiền hàng",IF(P136&lt;0,"Thu thừa",IF(P136=0,"Đã thu đủ",IF(O136&gt;0,"Thu một phần","Chưa thu")))))</f>
        <v/>
      </c>
      <c r="T136" s="10" t="str">
        <f aca="false">IF(A136="","",IF(AND(F136="Đã giao",H136&lt;&gt;"Đã xuất"),"Đã giao - CHƯA XUẤT HĐ",IF(AND(H136="Đã xuất",F136="Chưa giao"),"Đã xuất HĐ - chưa giao",IF(F136="","Chưa cập nhật giao hàng",IF(R136&gt;0,"Quá hạn "&amp;R136&amp;" ngày - đòi tiền",IF(P136&gt;0,"Chờ thu tiền",IF(P136&lt;0,"Kiểm tra thu thừa",IF(AND(F136="Đã giao",H136="Đã xuất"),"Hoàn tất","Theo dõi"))))))))</f>
        <v/>
      </c>
      <c r="U136" s="8"/>
    </row>
    <row r="137" customFormat="false" ht="15" hidden="false" customHeight="false" outlineLevel="0" collapsed="false">
      <c r="A137" s="8"/>
      <c r="B137" s="9"/>
      <c r="C137" s="8"/>
      <c r="D137" s="10" t="str">
        <f aca="false">IF(C137="","",IFERROR(VLOOKUP(C137,KhachHang!$A$2:$B$200,2,FALSE())&amp;"",""))</f>
        <v/>
      </c>
      <c r="E137" s="8"/>
      <c r="F137" s="8"/>
      <c r="G137" s="9"/>
      <c r="H137" s="8"/>
      <c r="I137" s="8"/>
      <c r="J137" s="9"/>
      <c r="K137" s="11" t="str">
        <f aca="false">IF(A137="","",SUMIFS(ChiTiet!$I$2:$I$2000,ChiTiet!$A$2:$A$2000,A137))</f>
        <v/>
      </c>
      <c r="L137" s="12"/>
      <c r="M137" s="11" t="str">
        <f aca="false">IF(A137="","",ROUND(K137*IF(L137="",0.08,L137),0))</f>
        <v/>
      </c>
      <c r="N137" s="11" t="str">
        <f aca="false">IF(A137="","",K137+M137)</f>
        <v/>
      </c>
      <c r="O137" s="11" t="str">
        <f aca="false">IF(A137="","",SUMIFS(ThuTien!$D$2:$D$2000,ThuTien!$B$2:$B$2000,A137))</f>
        <v/>
      </c>
      <c r="P137" s="11" t="str">
        <f aca="false">IF(A137="","",N137-O137)</f>
        <v/>
      </c>
      <c r="Q137" s="9"/>
      <c r="R137" s="10" t="str">
        <f aca="true">IF(A137="","",IF(AND(Q137&lt;&gt;"",P137&gt;0,TODAY()&gt;Q137),TODAY()-Q137,0))</f>
        <v/>
      </c>
      <c r="S137" s="10" t="str">
        <f aca="false">IF(A137="","",IF(N137=0,"Chưa có tiền hàng",IF(P137&lt;0,"Thu thừa",IF(P137=0,"Đã thu đủ",IF(O137&gt;0,"Thu một phần","Chưa thu")))))</f>
        <v/>
      </c>
      <c r="T137" s="10" t="str">
        <f aca="false">IF(A137="","",IF(AND(F137="Đã giao",H137&lt;&gt;"Đã xuất"),"Đã giao - CHƯA XUẤT HĐ",IF(AND(H137="Đã xuất",F137="Chưa giao"),"Đã xuất HĐ - chưa giao",IF(F137="","Chưa cập nhật giao hàng",IF(R137&gt;0,"Quá hạn "&amp;R137&amp;" ngày - đòi tiền",IF(P137&gt;0,"Chờ thu tiền",IF(P137&lt;0,"Kiểm tra thu thừa",IF(AND(F137="Đã giao",H137="Đã xuất"),"Hoàn tất","Theo dõi"))))))))</f>
        <v/>
      </c>
      <c r="U137" s="8"/>
    </row>
    <row r="138" customFormat="false" ht="15" hidden="false" customHeight="false" outlineLevel="0" collapsed="false">
      <c r="A138" s="8"/>
      <c r="B138" s="9"/>
      <c r="C138" s="8"/>
      <c r="D138" s="10" t="str">
        <f aca="false">IF(C138="","",IFERROR(VLOOKUP(C138,KhachHang!$A$2:$B$200,2,FALSE())&amp;"",""))</f>
        <v/>
      </c>
      <c r="E138" s="8"/>
      <c r="F138" s="8"/>
      <c r="G138" s="9"/>
      <c r="H138" s="8"/>
      <c r="I138" s="8"/>
      <c r="J138" s="9"/>
      <c r="K138" s="11" t="str">
        <f aca="false">IF(A138="","",SUMIFS(ChiTiet!$I$2:$I$2000,ChiTiet!$A$2:$A$2000,A138))</f>
        <v/>
      </c>
      <c r="L138" s="12"/>
      <c r="M138" s="11" t="str">
        <f aca="false">IF(A138="","",ROUND(K138*IF(L138="",0.08,L138),0))</f>
        <v/>
      </c>
      <c r="N138" s="11" t="str">
        <f aca="false">IF(A138="","",K138+M138)</f>
        <v/>
      </c>
      <c r="O138" s="11" t="str">
        <f aca="false">IF(A138="","",SUMIFS(ThuTien!$D$2:$D$2000,ThuTien!$B$2:$B$2000,A138))</f>
        <v/>
      </c>
      <c r="P138" s="11" t="str">
        <f aca="false">IF(A138="","",N138-O138)</f>
        <v/>
      </c>
      <c r="Q138" s="9"/>
      <c r="R138" s="10" t="str">
        <f aca="true">IF(A138="","",IF(AND(Q138&lt;&gt;"",P138&gt;0,TODAY()&gt;Q138),TODAY()-Q138,0))</f>
        <v/>
      </c>
      <c r="S138" s="10" t="str">
        <f aca="false">IF(A138="","",IF(N138=0,"Chưa có tiền hàng",IF(P138&lt;0,"Thu thừa",IF(P138=0,"Đã thu đủ",IF(O138&gt;0,"Thu một phần","Chưa thu")))))</f>
        <v/>
      </c>
      <c r="T138" s="10" t="str">
        <f aca="false">IF(A138="","",IF(AND(F138="Đã giao",H138&lt;&gt;"Đã xuất"),"Đã giao - CHƯA XUẤT HĐ",IF(AND(H138="Đã xuất",F138="Chưa giao"),"Đã xuất HĐ - chưa giao",IF(F138="","Chưa cập nhật giao hàng",IF(R138&gt;0,"Quá hạn "&amp;R138&amp;" ngày - đòi tiền",IF(P138&gt;0,"Chờ thu tiền",IF(P138&lt;0,"Kiểm tra thu thừa",IF(AND(F138="Đã giao",H138="Đã xuất"),"Hoàn tất","Theo dõi"))))))))</f>
        <v/>
      </c>
      <c r="U138" s="8"/>
    </row>
    <row r="139" customFormat="false" ht="15" hidden="false" customHeight="false" outlineLevel="0" collapsed="false">
      <c r="A139" s="8"/>
      <c r="B139" s="9"/>
      <c r="C139" s="8"/>
      <c r="D139" s="10" t="str">
        <f aca="false">IF(C139="","",IFERROR(VLOOKUP(C139,KhachHang!$A$2:$B$200,2,FALSE())&amp;"",""))</f>
        <v/>
      </c>
      <c r="E139" s="8"/>
      <c r="F139" s="8"/>
      <c r="G139" s="9"/>
      <c r="H139" s="8"/>
      <c r="I139" s="8"/>
      <c r="J139" s="9"/>
      <c r="K139" s="11" t="str">
        <f aca="false">IF(A139="","",SUMIFS(ChiTiet!$I$2:$I$2000,ChiTiet!$A$2:$A$2000,A139))</f>
        <v/>
      </c>
      <c r="L139" s="12"/>
      <c r="M139" s="11" t="str">
        <f aca="false">IF(A139="","",ROUND(K139*IF(L139="",0.08,L139),0))</f>
        <v/>
      </c>
      <c r="N139" s="11" t="str">
        <f aca="false">IF(A139="","",K139+M139)</f>
        <v/>
      </c>
      <c r="O139" s="11" t="str">
        <f aca="false">IF(A139="","",SUMIFS(ThuTien!$D$2:$D$2000,ThuTien!$B$2:$B$2000,A139))</f>
        <v/>
      </c>
      <c r="P139" s="11" t="str">
        <f aca="false">IF(A139="","",N139-O139)</f>
        <v/>
      </c>
      <c r="Q139" s="9"/>
      <c r="R139" s="10" t="str">
        <f aca="true">IF(A139="","",IF(AND(Q139&lt;&gt;"",P139&gt;0,TODAY()&gt;Q139),TODAY()-Q139,0))</f>
        <v/>
      </c>
      <c r="S139" s="10" t="str">
        <f aca="false">IF(A139="","",IF(N139=0,"Chưa có tiền hàng",IF(P139&lt;0,"Thu thừa",IF(P139=0,"Đã thu đủ",IF(O139&gt;0,"Thu một phần","Chưa thu")))))</f>
        <v/>
      </c>
      <c r="T139" s="10" t="str">
        <f aca="false">IF(A139="","",IF(AND(F139="Đã giao",H139&lt;&gt;"Đã xuất"),"Đã giao - CHƯA XUẤT HĐ",IF(AND(H139="Đã xuất",F139="Chưa giao"),"Đã xuất HĐ - chưa giao",IF(F139="","Chưa cập nhật giao hàng",IF(R139&gt;0,"Quá hạn "&amp;R139&amp;" ngày - đòi tiền",IF(P139&gt;0,"Chờ thu tiền",IF(P139&lt;0,"Kiểm tra thu thừa",IF(AND(F139="Đã giao",H139="Đã xuất"),"Hoàn tất","Theo dõi"))))))))</f>
        <v/>
      </c>
      <c r="U139" s="8"/>
    </row>
    <row r="140" customFormat="false" ht="15" hidden="false" customHeight="false" outlineLevel="0" collapsed="false">
      <c r="A140" s="8"/>
      <c r="B140" s="9"/>
      <c r="C140" s="8"/>
      <c r="D140" s="10" t="str">
        <f aca="false">IF(C140="","",IFERROR(VLOOKUP(C140,KhachHang!$A$2:$B$200,2,FALSE())&amp;"",""))</f>
        <v/>
      </c>
      <c r="E140" s="8"/>
      <c r="F140" s="8"/>
      <c r="G140" s="9"/>
      <c r="H140" s="8"/>
      <c r="I140" s="8"/>
      <c r="J140" s="9"/>
      <c r="K140" s="11" t="str">
        <f aca="false">IF(A140="","",SUMIFS(ChiTiet!$I$2:$I$2000,ChiTiet!$A$2:$A$2000,A140))</f>
        <v/>
      </c>
      <c r="L140" s="12"/>
      <c r="M140" s="11" t="str">
        <f aca="false">IF(A140="","",ROUND(K140*IF(L140="",0.08,L140),0))</f>
        <v/>
      </c>
      <c r="N140" s="11" t="str">
        <f aca="false">IF(A140="","",K140+M140)</f>
        <v/>
      </c>
      <c r="O140" s="11" t="str">
        <f aca="false">IF(A140="","",SUMIFS(ThuTien!$D$2:$D$2000,ThuTien!$B$2:$B$2000,A140))</f>
        <v/>
      </c>
      <c r="P140" s="11" t="str">
        <f aca="false">IF(A140="","",N140-O140)</f>
        <v/>
      </c>
      <c r="Q140" s="9"/>
      <c r="R140" s="10" t="str">
        <f aca="true">IF(A140="","",IF(AND(Q140&lt;&gt;"",P140&gt;0,TODAY()&gt;Q140),TODAY()-Q140,0))</f>
        <v/>
      </c>
      <c r="S140" s="10" t="str">
        <f aca="false">IF(A140="","",IF(N140=0,"Chưa có tiền hàng",IF(P140&lt;0,"Thu thừa",IF(P140=0,"Đã thu đủ",IF(O140&gt;0,"Thu một phần","Chưa thu")))))</f>
        <v/>
      </c>
      <c r="T140" s="10" t="str">
        <f aca="false">IF(A140="","",IF(AND(F140="Đã giao",H140&lt;&gt;"Đã xuất"),"Đã giao - CHƯA XUẤT HĐ",IF(AND(H140="Đã xuất",F140="Chưa giao"),"Đã xuất HĐ - chưa giao",IF(F140="","Chưa cập nhật giao hàng",IF(R140&gt;0,"Quá hạn "&amp;R140&amp;" ngày - đòi tiền",IF(P140&gt;0,"Chờ thu tiền",IF(P140&lt;0,"Kiểm tra thu thừa",IF(AND(F140="Đã giao",H140="Đã xuất"),"Hoàn tất","Theo dõi"))))))))</f>
        <v/>
      </c>
      <c r="U140" s="8"/>
    </row>
    <row r="141" customFormat="false" ht="15" hidden="false" customHeight="false" outlineLevel="0" collapsed="false">
      <c r="A141" s="8"/>
      <c r="B141" s="9"/>
      <c r="C141" s="8"/>
      <c r="D141" s="10" t="str">
        <f aca="false">IF(C141="","",IFERROR(VLOOKUP(C141,KhachHang!$A$2:$B$200,2,FALSE())&amp;"",""))</f>
        <v/>
      </c>
      <c r="E141" s="8"/>
      <c r="F141" s="8"/>
      <c r="G141" s="9"/>
      <c r="H141" s="8"/>
      <c r="I141" s="8"/>
      <c r="J141" s="9"/>
      <c r="K141" s="11" t="str">
        <f aca="false">IF(A141="","",SUMIFS(ChiTiet!$I$2:$I$2000,ChiTiet!$A$2:$A$2000,A141))</f>
        <v/>
      </c>
      <c r="L141" s="12"/>
      <c r="M141" s="11" t="str">
        <f aca="false">IF(A141="","",ROUND(K141*IF(L141="",0.08,L141),0))</f>
        <v/>
      </c>
      <c r="N141" s="11" t="str">
        <f aca="false">IF(A141="","",K141+M141)</f>
        <v/>
      </c>
      <c r="O141" s="11" t="str">
        <f aca="false">IF(A141="","",SUMIFS(ThuTien!$D$2:$D$2000,ThuTien!$B$2:$B$2000,A141))</f>
        <v/>
      </c>
      <c r="P141" s="11" t="str">
        <f aca="false">IF(A141="","",N141-O141)</f>
        <v/>
      </c>
      <c r="Q141" s="9"/>
      <c r="R141" s="10" t="str">
        <f aca="true">IF(A141="","",IF(AND(Q141&lt;&gt;"",P141&gt;0,TODAY()&gt;Q141),TODAY()-Q141,0))</f>
        <v/>
      </c>
      <c r="S141" s="10" t="str">
        <f aca="false">IF(A141="","",IF(N141=0,"Chưa có tiền hàng",IF(P141&lt;0,"Thu thừa",IF(P141=0,"Đã thu đủ",IF(O141&gt;0,"Thu một phần","Chưa thu")))))</f>
        <v/>
      </c>
      <c r="T141" s="10" t="str">
        <f aca="false">IF(A141="","",IF(AND(F141="Đã giao",H141&lt;&gt;"Đã xuất"),"Đã giao - CHƯA XUẤT HĐ",IF(AND(H141="Đã xuất",F141="Chưa giao"),"Đã xuất HĐ - chưa giao",IF(F141="","Chưa cập nhật giao hàng",IF(R141&gt;0,"Quá hạn "&amp;R141&amp;" ngày - đòi tiền",IF(P141&gt;0,"Chờ thu tiền",IF(P141&lt;0,"Kiểm tra thu thừa",IF(AND(F141="Đã giao",H141="Đã xuất"),"Hoàn tất","Theo dõi"))))))))</f>
        <v/>
      </c>
      <c r="U141" s="8"/>
    </row>
    <row r="142" customFormat="false" ht="15" hidden="false" customHeight="false" outlineLevel="0" collapsed="false">
      <c r="A142" s="8"/>
      <c r="B142" s="9"/>
      <c r="C142" s="8"/>
      <c r="D142" s="10" t="str">
        <f aca="false">IF(C142="","",IFERROR(VLOOKUP(C142,KhachHang!$A$2:$B$200,2,FALSE())&amp;"",""))</f>
        <v/>
      </c>
      <c r="E142" s="8"/>
      <c r="F142" s="8"/>
      <c r="G142" s="9"/>
      <c r="H142" s="8"/>
      <c r="I142" s="8"/>
      <c r="J142" s="9"/>
      <c r="K142" s="11" t="str">
        <f aca="false">IF(A142="","",SUMIFS(ChiTiet!$I$2:$I$2000,ChiTiet!$A$2:$A$2000,A142))</f>
        <v/>
      </c>
      <c r="L142" s="12"/>
      <c r="M142" s="11" t="str">
        <f aca="false">IF(A142="","",ROUND(K142*IF(L142="",0.08,L142),0))</f>
        <v/>
      </c>
      <c r="N142" s="11" t="str">
        <f aca="false">IF(A142="","",K142+M142)</f>
        <v/>
      </c>
      <c r="O142" s="11" t="str">
        <f aca="false">IF(A142="","",SUMIFS(ThuTien!$D$2:$D$2000,ThuTien!$B$2:$B$2000,A142))</f>
        <v/>
      </c>
      <c r="P142" s="11" t="str">
        <f aca="false">IF(A142="","",N142-O142)</f>
        <v/>
      </c>
      <c r="Q142" s="9"/>
      <c r="R142" s="10" t="str">
        <f aca="true">IF(A142="","",IF(AND(Q142&lt;&gt;"",P142&gt;0,TODAY()&gt;Q142),TODAY()-Q142,0))</f>
        <v/>
      </c>
      <c r="S142" s="10" t="str">
        <f aca="false">IF(A142="","",IF(N142=0,"Chưa có tiền hàng",IF(P142&lt;0,"Thu thừa",IF(P142=0,"Đã thu đủ",IF(O142&gt;0,"Thu một phần","Chưa thu")))))</f>
        <v/>
      </c>
      <c r="T142" s="10" t="str">
        <f aca="false">IF(A142="","",IF(AND(F142="Đã giao",H142&lt;&gt;"Đã xuất"),"Đã giao - CHƯA XUẤT HĐ",IF(AND(H142="Đã xuất",F142="Chưa giao"),"Đã xuất HĐ - chưa giao",IF(F142="","Chưa cập nhật giao hàng",IF(R142&gt;0,"Quá hạn "&amp;R142&amp;" ngày - đòi tiền",IF(P142&gt;0,"Chờ thu tiền",IF(P142&lt;0,"Kiểm tra thu thừa",IF(AND(F142="Đã giao",H142="Đã xuất"),"Hoàn tất","Theo dõi"))))))))</f>
        <v/>
      </c>
      <c r="U142" s="8"/>
    </row>
    <row r="143" customFormat="false" ht="15" hidden="false" customHeight="false" outlineLevel="0" collapsed="false">
      <c r="A143" s="8"/>
      <c r="B143" s="9"/>
      <c r="C143" s="8"/>
      <c r="D143" s="10" t="str">
        <f aca="false">IF(C143="","",IFERROR(VLOOKUP(C143,KhachHang!$A$2:$B$200,2,FALSE())&amp;"",""))</f>
        <v/>
      </c>
      <c r="E143" s="8"/>
      <c r="F143" s="8"/>
      <c r="G143" s="9"/>
      <c r="H143" s="8"/>
      <c r="I143" s="8"/>
      <c r="J143" s="9"/>
      <c r="K143" s="11" t="str">
        <f aca="false">IF(A143="","",SUMIFS(ChiTiet!$I$2:$I$2000,ChiTiet!$A$2:$A$2000,A143))</f>
        <v/>
      </c>
      <c r="L143" s="12"/>
      <c r="M143" s="11" t="str">
        <f aca="false">IF(A143="","",ROUND(K143*IF(L143="",0.08,L143),0))</f>
        <v/>
      </c>
      <c r="N143" s="11" t="str">
        <f aca="false">IF(A143="","",K143+M143)</f>
        <v/>
      </c>
      <c r="O143" s="11" t="str">
        <f aca="false">IF(A143="","",SUMIFS(ThuTien!$D$2:$D$2000,ThuTien!$B$2:$B$2000,A143))</f>
        <v/>
      </c>
      <c r="P143" s="11" t="str">
        <f aca="false">IF(A143="","",N143-O143)</f>
        <v/>
      </c>
      <c r="Q143" s="9"/>
      <c r="R143" s="10" t="str">
        <f aca="true">IF(A143="","",IF(AND(Q143&lt;&gt;"",P143&gt;0,TODAY()&gt;Q143),TODAY()-Q143,0))</f>
        <v/>
      </c>
      <c r="S143" s="10" t="str">
        <f aca="false">IF(A143="","",IF(N143=0,"Chưa có tiền hàng",IF(P143&lt;0,"Thu thừa",IF(P143=0,"Đã thu đủ",IF(O143&gt;0,"Thu một phần","Chưa thu")))))</f>
        <v/>
      </c>
      <c r="T143" s="10" t="str">
        <f aca="false">IF(A143="","",IF(AND(F143="Đã giao",H143&lt;&gt;"Đã xuất"),"Đã giao - CHƯA XUẤT HĐ",IF(AND(H143="Đã xuất",F143="Chưa giao"),"Đã xuất HĐ - chưa giao",IF(F143="","Chưa cập nhật giao hàng",IF(R143&gt;0,"Quá hạn "&amp;R143&amp;" ngày - đòi tiền",IF(P143&gt;0,"Chờ thu tiền",IF(P143&lt;0,"Kiểm tra thu thừa",IF(AND(F143="Đã giao",H143="Đã xuất"),"Hoàn tất","Theo dõi"))))))))</f>
        <v/>
      </c>
      <c r="U143" s="8"/>
    </row>
    <row r="144" customFormat="false" ht="15" hidden="false" customHeight="false" outlineLevel="0" collapsed="false">
      <c r="A144" s="8"/>
      <c r="B144" s="9"/>
      <c r="C144" s="8"/>
      <c r="D144" s="10" t="str">
        <f aca="false">IF(C144="","",IFERROR(VLOOKUP(C144,KhachHang!$A$2:$B$200,2,FALSE())&amp;"",""))</f>
        <v/>
      </c>
      <c r="E144" s="8"/>
      <c r="F144" s="8"/>
      <c r="G144" s="9"/>
      <c r="H144" s="8"/>
      <c r="I144" s="8"/>
      <c r="J144" s="9"/>
      <c r="K144" s="11" t="str">
        <f aca="false">IF(A144="","",SUMIFS(ChiTiet!$I$2:$I$2000,ChiTiet!$A$2:$A$2000,A144))</f>
        <v/>
      </c>
      <c r="L144" s="12"/>
      <c r="M144" s="11" t="str">
        <f aca="false">IF(A144="","",ROUND(K144*IF(L144="",0.08,L144),0))</f>
        <v/>
      </c>
      <c r="N144" s="11" t="str">
        <f aca="false">IF(A144="","",K144+M144)</f>
        <v/>
      </c>
      <c r="O144" s="11" t="str">
        <f aca="false">IF(A144="","",SUMIFS(ThuTien!$D$2:$D$2000,ThuTien!$B$2:$B$2000,A144))</f>
        <v/>
      </c>
      <c r="P144" s="11" t="str">
        <f aca="false">IF(A144="","",N144-O144)</f>
        <v/>
      </c>
      <c r="Q144" s="9"/>
      <c r="R144" s="10" t="str">
        <f aca="true">IF(A144="","",IF(AND(Q144&lt;&gt;"",P144&gt;0,TODAY()&gt;Q144),TODAY()-Q144,0))</f>
        <v/>
      </c>
      <c r="S144" s="10" t="str">
        <f aca="false">IF(A144="","",IF(N144=0,"Chưa có tiền hàng",IF(P144&lt;0,"Thu thừa",IF(P144=0,"Đã thu đủ",IF(O144&gt;0,"Thu một phần","Chưa thu")))))</f>
        <v/>
      </c>
      <c r="T144" s="10" t="str">
        <f aca="false">IF(A144="","",IF(AND(F144="Đã giao",H144&lt;&gt;"Đã xuất"),"Đã giao - CHƯA XUẤT HĐ",IF(AND(H144="Đã xuất",F144="Chưa giao"),"Đã xuất HĐ - chưa giao",IF(F144="","Chưa cập nhật giao hàng",IF(R144&gt;0,"Quá hạn "&amp;R144&amp;" ngày - đòi tiền",IF(P144&gt;0,"Chờ thu tiền",IF(P144&lt;0,"Kiểm tra thu thừa",IF(AND(F144="Đã giao",H144="Đã xuất"),"Hoàn tất","Theo dõi"))))))))</f>
        <v/>
      </c>
      <c r="U144" s="8"/>
    </row>
    <row r="145" customFormat="false" ht="15" hidden="false" customHeight="false" outlineLevel="0" collapsed="false">
      <c r="A145" s="8"/>
      <c r="B145" s="9"/>
      <c r="C145" s="8"/>
      <c r="D145" s="10" t="str">
        <f aca="false">IF(C145="","",IFERROR(VLOOKUP(C145,KhachHang!$A$2:$B$200,2,FALSE())&amp;"",""))</f>
        <v/>
      </c>
      <c r="E145" s="8"/>
      <c r="F145" s="8"/>
      <c r="G145" s="9"/>
      <c r="H145" s="8"/>
      <c r="I145" s="8"/>
      <c r="J145" s="9"/>
      <c r="K145" s="11" t="str">
        <f aca="false">IF(A145="","",SUMIFS(ChiTiet!$I$2:$I$2000,ChiTiet!$A$2:$A$2000,A145))</f>
        <v/>
      </c>
      <c r="L145" s="12"/>
      <c r="M145" s="11" t="str">
        <f aca="false">IF(A145="","",ROUND(K145*IF(L145="",0.08,L145),0))</f>
        <v/>
      </c>
      <c r="N145" s="11" t="str">
        <f aca="false">IF(A145="","",K145+M145)</f>
        <v/>
      </c>
      <c r="O145" s="11" t="str">
        <f aca="false">IF(A145="","",SUMIFS(ThuTien!$D$2:$D$2000,ThuTien!$B$2:$B$2000,A145))</f>
        <v/>
      </c>
      <c r="P145" s="11" t="str">
        <f aca="false">IF(A145="","",N145-O145)</f>
        <v/>
      </c>
      <c r="Q145" s="9"/>
      <c r="R145" s="10" t="str">
        <f aca="true">IF(A145="","",IF(AND(Q145&lt;&gt;"",P145&gt;0,TODAY()&gt;Q145),TODAY()-Q145,0))</f>
        <v/>
      </c>
      <c r="S145" s="10" t="str">
        <f aca="false">IF(A145="","",IF(N145=0,"Chưa có tiền hàng",IF(P145&lt;0,"Thu thừa",IF(P145=0,"Đã thu đủ",IF(O145&gt;0,"Thu một phần","Chưa thu")))))</f>
        <v/>
      </c>
      <c r="T145" s="10" t="str">
        <f aca="false">IF(A145="","",IF(AND(F145="Đã giao",H145&lt;&gt;"Đã xuất"),"Đã giao - CHƯA XUẤT HĐ",IF(AND(H145="Đã xuất",F145="Chưa giao"),"Đã xuất HĐ - chưa giao",IF(F145="","Chưa cập nhật giao hàng",IF(R145&gt;0,"Quá hạn "&amp;R145&amp;" ngày - đòi tiền",IF(P145&gt;0,"Chờ thu tiền",IF(P145&lt;0,"Kiểm tra thu thừa",IF(AND(F145="Đã giao",H145="Đã xuất"),"Hoàn tất","Theo dõi"))))))))</f>
        <v/>
      </c>
      <c r="U145" s="8"/>
    </row>
    <row r="146" customFormat="false" ht="15" hidden="false" customHeight="false" outlineLevel="0" collapsed="false">
      <c r="A146" s="8"/>
      <c r="B146" s="9"/>
      <c r="C146" s="8"/>
      <c r="D146" s="10" t="str">
        <f aca="false">IF(C146="","",IFERROR(VLOOKUP(C146,KhachHang!$A$2:$B$200,2,FALSE())&amp;"",""))</f>
        <v/>
      </c>
      <c r="E146" s="8"/>
      <c r="F146" s="8"/>
      <c r="G146" s="9"/>
      <c r="H146" s="8"/>
      <c r="I146" s="8"/>
      <c r="J146" s="9"/>
      <c r="K146" s="11" t="str">
        <f aca="false">IF(A146="","",SUMIFS(ChiTiet!$I$2:$I$2000,ChiTiet!$A$2:$A$2000,A146))</f>
        <v/>
      </c>
      <c r="L146" s="12"/>
      <c r="M146" s="11" t="str">
        <f aca="false">IF(A146="","",ROUND(K146*IF(L146="",0.08,L146),0))</f>
        <v/>
      </c>
      <c r="N146" s="11" t="str">
        <f aca="false">IF(A146="","",K146+M146)</f>
        <v/>
      </c>
      <c r="O146" s="11" t="str">
        <f aca="false">IF(A146="","",SUMIFS(ThuTien!$D$2:$D$2000,ThuTien!$B$2:$B$2000,A146))</f>
        <v/>
      </c>
      <c r="P146" s="11" t="str">
        <f aca="false">IF(A146="","",N146-O146)</f>
        <v/>
      </c>
      <c r="Q146" s="9"/>
      <c r="R146" s="10" t="str">
        <f aca="true">IF(A146="","",IF(AND(Q146&lt;&gt;"",P146&gt;0,TODAY()&gt;Q146),TODAY()-Q146,0))</f>
        <v/>
      </c>
      <c r="S146" s="10" t="str">
        <f aca="false">IF(A146="","",IF(N146=0,"Chưa có tiền hàng",IF(P146&lt;0,"Thu thừa",IF(P146=0,"Đã thu đủ",IF(O146&gt;0,"Thu một phần","Chưa thu")))))</f>
        <v/>
      </c>
      <c r="T146" s="10" t="str">
        <f aca="false">IF(A146="","",IF(AND(F146="Đã giao",H146&lt;&gt;"Đã xuất"),"Đã giao - CHƯA XUẤT HĐ",IF(AND(H146="Đã xuất",F146="Chưa giao"),"Đã xuất HĐ - chưa giao",IF(F146="","Chưa cập nhật giao hàng",IF(R146&gt;0,"Quá hạn "&amp;R146&amp;" ngày - đòi tiền",IF(P146&gt;0,"Chờ thu tiền",IF(P146&lt;0,"Kiểm tra thu thừa",IF(AND(F146="Đã giao",H146="Đã xuất"),"Hoàn tất","Theo dõi"))))))))</f>
        <v/>
      </c>
      <c r="U146" s="8"/>
    </row>
    <row r="147" customFormat="false" ht="15" hidden="false" customHeight="false" outlineLevel="0" collapsed="false">
      <c r="A147" s="8"/>
      <c r="B147" s="9"/>
      <c r="C147" s="8"/>
      <c r="D147" s="10" t="str">
        <f aca="false">IF(C147="","",IFERROR(VLOOKUP(C147,KhachHang!$A$2:$B$200,2,FALSE())&amp;"",""))</f>
        <v/>
      </c>
      <c r="E147" s="8"/>
      <c r="F147" s="8"/>
      <c r="G147" s="9"/>
      <c r="H147" s="8"/>
      <c r="I147" s="8"/>
      <c r="J147" s="9"/>
      <c r="K147" s="11" t="str">
        <f aca="false">IF(A147="","",SUMIFS(ChiTiet!$I$2:$I$2000,ChiTiet!$A$2:$A$2000,A147))</f>
        <v/>
      </c>
      <c r="L147" s="12"/>
      <c r="M147" s="11" t="str">
        <f aca="false">IF(A147="","",ROUND(K147*IF(L147="",0.08,L147),0))</f>
        <v/>
      </c>
      <c r="N147" s="11" t="str">
        <f aca="false">IF(A147="","",K147+M147)</f>
        <v/>
      </c>
      <c r="O147" s="11" t="str">
        <f aca="false">IF(A147="","",SUMIFS(ThuTien!$D$2:$D$2000,ThuTien!$B$2:$B$2000,A147))</f>
        <v/>
      </c>
      <c r="P147" s="11" t="str">
        <f aca="false">IF(A147="","",N147-O147)</f>
        <v/>
      </c>
      <c r="Q147" s="9"/>
      <c r="R147" s="10" t="str">
        <f aca="true">IF(A147="","",IF(AND(Q147&lt;&gt;"",P147&gt;0,TODAY()&gt;Q147),TODAY()-Q147,0))</f>
        <v/>
      </c>
      <c r="S147" s="10" t="str">
        <f aca="false">IF(A147="","",IF(N147=0,"Chưa có tiền hàng",IF(P147&lt;0,"Thu thừa",IF(P147=0,"Đã thu đủ",IF(O147&gt;0,"Thu một phần","Chưa thu")))))</f>
        <v/>
      </c>
      <c r="T147" s="10" t="str">
        <f aca="false">IF(A147="","",IF(AND(F147="Đã giao",H147&lt;&gt;"Đã xuất"),"Đã giao - CHƯA XUẤT HĐ",IF(AND(H147="Đã xuất",F147="Chưa giao"),"Đã xuất HĐ - chưa giao",IF(F147="","Chưa cập nhật giao hàng",IF(R147&gt;0,"Quá hạn "&amp;R147&amp;" ngày - đòi tiền",IF(P147&gt;0,"Chờ thu tiền",IF(P147&lt;0,"Kiểm tra thu thừa",IF(AND(F147="Đã giao",H147="Đã xuất"),"Hoàn tất","Theo dõi"))))))))</f>
        <v/>
      </c>
      <c r="U147" s="8"/>
    </row>
    <row r="148" customFormat="false" ht="15" hidden="false" customHeight="false" outlineLevel="0" collapsed="false">
      <c r="A148" s="8"/>
      <c r="B148" s="9"/>
      <c r="C148" s="8"/>
      <c r="D148" s="10" t="str">
        <f aca="false">IF(C148="","",IFERROR(VLOOKUP(C148,KhachHang!$A$2:$B$200,2,FALSE())&amp;"",""))</f>
        <v/>
      </c>
      <c r="E148" s="8"/>
      <c r="F148" s="8"/>
      <c r="G148" s="9"/>
      <c r="H148" s="8"/>
      <c r="I148" s="8"/>
      <c r="J148" s="9"/>
      <c r="K148" s="11" t="str">
        <f aca="false">IF(A148="","",SUMIFS(ChiTiet!$I$2:$I$2000,ChiTiet!$A$2:$A$2000,A148))</f>
        <v/>
      </c>
      <c r="L148" s="12"/>
      <c r="M148" s="11" t="str">
        <f aca="false">IF(A148="","",ROUND(K148*IF(L148="",0.08,L148),0))</f>
        <v/>
      </c>
      <c r="N148" s="11" t="str">
        <f aca="false">IF(A148="","",K148+M148)</f>
        <v/>
      </c>
      <c r="O148" s="11" t="str">
        <f aca="false">IF(A148="","",SUMIFS(ThuTien!$D$2:$D$2000,ThuTien!$B$2:$B$2000,A148))</f>
        <v/>
      </c>
      <c r="P148" s="11" t="str">
        <f aca="false">IF(A148="","",N148-O148)</f>
        <v/>
      </c>
      <c r="Q148" s="9"/>
      <c r="R148" s="10" t="str">
        <f aca="true">IF(A148="","",IF(AND(Q148&lt;&gt;"",P148&gt;0,TODAY()&gt;Q148),TODAY()-Q148,0))</f>
        <v/>
      </c>
      <c r="S148" s="10" t="str">
        <f aca="false">IF(A148="","",IF(N148=0,"Chưa có tiền hàng",IF(P148&lt;0,"Thu thừa",IF(P148=0,"Đã thu đủ",IF(O148&gt;0,"Thu một phần","Chưa thu")))))</f>
        <v/>
      </c>
      <c r="T148" s="10" t="str">
        <f aca="false">IF(A148="","",IF(AND(F148="Đã giao",H148&lt;&gt;"Đã xuất"),"Đã giao - CHƯA XUẤT HĐ",IF(AND(H148="Đã xuất",F148="Chưa giao"),"Đã xuất HĐ - chưa giao",IF(F148="","Chưa cập nhật giao hàng",IF(R148&gt;0,"Quá hạn "&amp;R148&amp;" ngày - đòi tiền",IF(P148&gt;0,"Chờ thu tiền",IF(P148&lt;0,"Kiểm tra thu thừa",IF(AND(F148="Đã giao",H148="Đã xuất"),"Hoàn tất","Theo dõi"))))))))</f>
        <v/>
      </c>
      <c r="U148" s="8"/>
    </row>
    <row r="149" customFormat="false" ht="15" hidden="false" customHeight="false" outlineLevel="0" collapsed="false">
      <c r="A149" s="8"/>
      <c r="B149" s="9"/>
      <c r="C149" s="8"/>
      <c r="D149" s="10" t="str">
        <f aca="false">IF(C149="","",IFERROR(VLOOKUP(C149,KhachHang!$A$2:$B$200,2,FALSE())&amp;"",""))</f>
        <v/>
      </c>
      <c r="E149" s="8"/>
      <c r="F149" s="8"/>
      <c r="G149" s="9"/>
      <c r="H149" s="8"/>
      <c r="I149" s="8"/>
      <c r="J149" s="9"/>
      <c r="K149" s="11" t="str">
        <f aca="false">IF(A149="","",SUMIFS(ChiTiet!$I$2:$I$2000,ChiTiet!$A$2:$A$2000,A149))</f>
        <v/>
      </c>
      <c r="L149" s="12"/>
      <c r="M149" s="11" t="str">
        <f aca="false">IF(A149="","",ROUND(K149*IF(L149="",0.08,L149),0))</f>
        <v/>
      </c>
      <c r="N149" s="11" t="str">
        <f aca="false">IF(A149="","",K149+M149)</f>
        <v/>
      </c>
      <c r="O149" s="11" t="str">
        <f aca="false">IF(A149="","",SUMIFS(ThuTien!$D$2:$D$2000,ThuTien!$B$2:$B$2000,A149))</f>
        <v/>
      </c>
      <c r="P149" s="11" t="str">
        <f aca="false">IF(A149="","",N149-O149)</f>
        <v/>
      </c>
      <c r="Q149" s="9"/>
      <c r="R149" s="10" t="str">
        <f aca="true">IF(A149="","",IF(AND(Q149&lt;&gt;"",P149&gt;0,TODAY()&gt;Q149),TODAY()-Q149,0))</f>
        <v/>
      </c>
      <c r="S149" s="10" t="str">
        <f aca="false">IF(A149="","",IF(N149=0,"Chưa có tiền hàng",IF(P149&lt;0,"Thu thừa",IF(P149=0,"Đã thu đủ",IF(O149&gt;0,"Thu một phần","Chưa thu")))))</f>
        <v/>
      </c>
      <c r="T149" s="10" t="str">
        <f aca="false">IF(A149="","",IF(AND(F149="Đã giao",H149&lt;&gt;"Đã xuất"),"Đã giao - CHƯA XUẤT HĐ",IF(AND(H149="Đã xuất",F149="Chưa giao"),"Đã xuất HĐ - chưa giao",IF(F149="","Chưa cập nhật giao hàng",IF(R149&gt;0,"Quá hạn "&amp;R149&amp;" ngày - đòi tiền",IF(P149&gt;0,"Chờ thu tiền",IF(P149&lt;0,"Kiểm tra thu thừa",IF(AND(F149="Đã giao",H149="Đã xuất"),"Hoàn tất","Theo dõi"))))))))</f>
        <v/>
      </c>
      <c r="U149" s="8"/>
    </row>
    <row r="150" customFormat="false" ht="15" hidden="false" customHeight="false" outlineLevel="0" collapsed="false">
      <c r="A150" s="8"/>
      <c r="B150" s="9"/>
      <c r="C150" s="8"/>
      <c r="D150" s="10" t="str">
        <f aca="false">IF(C150="","",IFERROR(VLOOKUP(C150,KhachHang!$A$2:$B$200,2,FALSE())&amp;"",""))</f>
        <v/>
      </c>
      <c r="E150" s="8"/>
      <c r="F150" s="8"/>
      <c r="G150" s="9"/>
      <c r="H150" s="8"/>
      <c r="I150" s="8"/>
      <c r="J150" s="9"/>
      <c r="K150" s="11" t="str">
        <f aca="false">IF(A150="","",SUMIFS(ChiTiet!$I$2:$I$2000,ChiTiet!$A$2:$A$2000,A150))</f>
        <v/>
      </c>
      <c r="L150" s="12"/>
      <c r="M150" s="11" t="str">
        <f aca="false">IF(A150="","",ROUND(K150*IF(L150="",0.08,L150),0))</f>
        <v/>
      </c>
      <c r="N150" s="11" t="str">
        <f aca="false">IF(A150="","",K150+M150)</f>
        <v/>
      </c>
      <c r="O150" s="11" t="str">
        <f aca="false">IF(A150="","",SUMIFS(ThuTien!$D$2:$D$2000,ThuTien!$B$2:$B$2000,A150))</f>
        <v/>
      </c>
      <c r="P150" s="11" t="str">
        <f aca="false">IF(A150="","",N150-O150)</f>
        <v/>
      </c>
      <c r="Q150" s="9"/>
      <c r="R150" s="10" t="str">
        <f aca="true">IF(A150="","",IF(AND(Q150&lt;&gt;"",P150&gt;0,TODAY()&gt;Q150),TODAY()-Q150,0))</f>
        <v/>
      </c>
      <c r="S150" s="10" t="str">
        <f aca="false">IF(A150="","",IF(N150=0,"Chưa có tiền hàng",IF(P150&lt;0,"Thu thừa",IF(P150=0,"Đã thu đủ",IF(O150&gt;0,"Thu một phần","Chưa thu")))))</f>
        <v/>
      </c>
      <c r="T150" s="10" t="str">
        <f aca="false">IF(A150="","",IF(AND(F150="Đã giao",H150&lt;&gt;"Đã xuất"),"Đã giao - CHƯA XUẤT HĐ",IF(AND(H150="Đã xuất",F150="Chưa giao"),"Đã xuất HĐ - chưa giao",IF(F150="","Chưa cập nhật giao hàng",IF(R150&gt;0,"Quá hạn "&amp;R150&amp;" ngày - đòi tiền",IF(P150&gt;0,"Chờ thu tiền",IF(P150&lt;0,"Kiểm tra thu thừa",IF(AND(F150="Đã giao",H150="Đã xuất"),"Hoàn tất","Theo dõi"))))))))</f>
        <v/>
      </c>
      <c r="U150" s="8"/>
    </row>
    <row r="151" customFormat="false" ht="15" hidden="false" customHeight="false" outlineLevel="0" collapsed="false">
      <c r="A151" s="8"/>
      <c r="B151" s="9"/>
      <c r="C151" s="8"/>
      <c r="D151" s="10" t="str">
        <f aca="false">IF(C151="","",IFERROR(VLOOKUP(C151,KhachHang!$A$2:$B$200,2,FALSE())&amp;"",""))</f>
        <v/>
      </c>
      <c r="E151" s="8"/>
      <c r="F151" s="8"/>
      <c r="G151" s="9"/>
      <c r="H151" s="8"/>
      <c r="I151" s="8"/>
      <c r="J151" s="9"/>
      <c r="K151" s="11" t="str">
        <f aca="false">IF(A151="","",SUMIFS(ChiTiet!$I$2:$I$2000,ChiTiet!$A$2:$A$2000,A151))</f>
        <v/>
      </c>
      <c r="L151" s="12"/>
      <c r="M151" s="11" t="str">
        <f aca="false">IF(A151="","",ROUND(K151*IF(L151="",0.08,L151),0))</f>
        <v/>
      </c>
      <c r="N151" s="11" t="str">
        <f aca="false">IF(A151="","",K151+M151)</f>
        <v/>
      </c>
      <c r="O151" s="11" t="str">
        <f aca="false">IF(A151="","",SUMIFS(ThuTien!$D$2:$D$2000,ThuTien!$B$2:$B$2000,A151))</f>
        <v/>
      </c>
      <c r="P151" s="11" t="str">
        <f aca="false">IF(A151="","",N151-O151)</f>
        <v/>
      </c>
      <c r="Q151" s="9"/>
      <c r="R151" s="10" t="str">
        <f aca="true">IF(A151="","",IF(AND(Q151&lt;&gt;"",P151&gt;0,TODAY()&gt;Q151),TODAY()-Q151,0))</f>
        <v/>
      </c>
      <c r="S151" s="10" t="str">
        <f aca="false">IF(A151="","",IF(N151=0,"Chưa có tiền hàng",IF(P151&lt;0,"Thu thừa",IF(P151=0,"Đã thu đủ",IF(O151&gt;0,"Thu một phần","Chưa thu")))))</f>
        <v/>
      </c>
      <c r="T151" s="10" t="str">
        <f aca="false">IF(A151="","",IF(AND(F151="Đã giao",H151&lt;&gt;"Đã xuất"),"Đã giao - CHƯA XUẤT HĐ",IF(AND(H151="Đã xuất",F151="Chưa giao"),"Đã xuất HĐ - chưa giao",IF(F151="","Chưa cập nhật giao hàng",IF(R151&gt;0,"Quá hạn "&amp;R151&amp;" ngày - đòi tiền",IF(P151&gt;0,"Chờ thu tiền",IF(P151&lt;0,"Kiểm tra thu thừa",IF(AND(F151="Đã giao",H151="Đã xuất"),"Hoàn tất","Theo dõi"))))))))</f>
        <v/>
      </c>
      <c r="U151" s="8"/>
    </row>
    <row r="152" customFormat="false" ht="15" hidden="false" customHeight="false" outlineLevel="0" collapsed="false">
      <c r="A152" s="8"/>
      <c r="B152" s="9"/>
      <c r="C152" s="8"/>
      <c r="D152" s="10" t="str">
        <f aca="false">IF(C152="","",IFERROR(VLOOKUP(C152,KhachHang!$A$2:$B$200,2,FALSE())&amp;"",""))</f>
        <v/>
      </c>
      <c r="E152" s="8"/>
      <c r="F152" s="8"/>
      <c r="G152" s="9"/>
      <c r="H152" s="8"/>
      <c r="I152" s="8"/>
      <c r="J152" s="9"/>
      <c r="K152" s="11" t="str">
        <f aca="false">IF(A152="","",SUMIFS(ChiTiet!$I$2:$I$2000,ChiTiet!$A$2:$A$2000,A152))</f>
        <v/>
      </c>
      <c r="L152" s="12"/>
      <c r="M152" s="11" t="str">
        <f aca="false">IF(A152="","",ROUND(K152*IF(L152="",0.08,L152),0))</f>
        <v/>
      </c>
      <c r="N152" s="11" t="str">
        <f aca="false">IF(A152="","",K152+M152)</f>
        <v/>
      </c>
      <c r="O152" s="11" t="str">
        <f aca="false">IF(A152="","",SUMIFS(ThuTien!$D$2:$D$2000,ThuTien!$B$2:$B$2000,A152))</f>
        <v/>
      </c>
      <c r="P152" s="11" t="str">
        <f aca="false">IF(A152="","",N152-O152)</f>
        <v/>
      </c>
      <c r="Q152" s="9"/>
      <c r="R152" s="10" t="str">
        <f aca="true">IF(A152="","",IF(AND(Q152&lt;&gt;"",P152&gt;0,TODAY()&gt;Q152),TODAY()-Q152,0))</f>
        <v/>
      </c>
      <c r="S152" s="10" t="str">
        <f aca="false">IF(A152="","",IF(N152=0,"Chưa có tiền hàng",IF(P152&lt;0,"Thu thừa",IF(P152=0,"Đã thu đủ",IF(O152&gt;0,"Thu một phần","Chưa thu")))))</f>
        <v/>
      </c>
      <c r="T152" s="10" t="str">
        <f aca="false">IF(A152="","",IF(AND(F152="Đã giao",H152&lt;&gt;"Đã xuất"),"Đã giao - CHƯA XUẤT HĐ",IF(AND(H152="Đã xuất",F152="Chưa giao"),"Đã xuất HĐ - chưa giao",IF(F152="","Chưa cập nhật giao hàng",IF(R152&gt;0,"Quá hạn "&amp;R152&amp;" ngày - đòi tiền",IF(P152&gt;0,"Chờ thu tiền",IF(P152&lt;0,"Kiểm tra thu thừa",IF(AND(F152="Đã giao",H152="Đã xuất"),"Hoàn tất","Theo dõi"))))))))</f>
        <v/>
      </c>
      <c r="U152" s="8"/>
    </row>
    <row r="153" customFormat="false" ht="15" hidden="false" customHeight="false" outlineLevel="0" collapsed="false">
      <c r="A153" s="8"/>
      <c r="B153" s="9"/>
      <c r="C153" s="8"/>
      <c r="D153" s="10" t="str">
        <f aca="false">IF(C153="","",IFERROR(VLOOKUP(C153,KhachHang!$A$2:$B$200,2,FALSE())&amp;"",""))</f>
        <v/>
      </c>
      <c r="E153" s="8"/>
      <c r="F153" s="8"/>
      <c r="G153" s="9"/>
      <c r="H153" s="8"/>
      <c r="I153" s="8"/>
      <c r="J153" s="9"/>
      <c r="K153" s="11" t="str">
        <f aca="false">IF(A153="","",SUMIFS(ChiTiet!$I$2:$I$2000,ChiTiet!$A$2:$A$2000,A153))</f>
        <v/>
      </c>
      <c r="L153" s="12"/>
      <c r="M153" s="11" t="str">
        <f aca="false">IF(A153="","",ROUND(K153*IF(L153="",0.08,L153),0))</f>
        <v/>
      </c>
      <c r="N153" s="11" t="str">
        <f aca="false">IF(A153="","",K153+M153)</f>
        <v/>
      </c>
      <c r="O153" s="11" t="str">
        <f aca="false">IF(A153="","",SUMIFS(ThuTien!$D$2:$D$2000,ThuTien!$B$2:$B$2000,A153))</f>
        <v/>
      </c>
      <c r="P153" s="11" t="str">
        <f aca="false">IF(A153="","",N153-O153)</f>
        <v/>
      </c>
      <c r="Q153" s="9"/>
      <c r="R153" s="10" t="str">
        <f aca="true">IF(A153="","",IF(AND(Q153&lt;&gt;"",P153&gt;0,TODAY()&gt;Q153),TODAY()-Q153,0))</f>
        <v/>
      </c>
      <c r="S153" s="10" t="str">
        <f aca="false">IF(A153="","",IF(N153=0,"Chưa có tiền hàng",IF(P153&lt;0,"Thu thừa",IF(P153=0,"Đã thu đủ",IF(O153&gt;0,"Thu một phần","Chưa thu")))))</f>
        <v/>
      </c>
      <c r="T153" s="10" t="str">
        <f aca="false">IF(A153="","",IF(AND(F153="Đã giao",H153&lt;&gt;"Đã xuất"),"Đã giao - CHƯA XUẤT HĐ",IF(AND(H153="Đã xuất",F153="Chưa giao"),"Đã xuất HĐ - chưa giao",IF(F153="","Chưa cập nhật giao hàng",IF(R153&gt;0,"Quá hạn "&amp;R153&amp;" ngày - đòi tiền",IF(P153&gt;0,"Chờ thu tiền",IF(P153&lt;0,"Kiểm tra thu thừa",IF(AND(F153="Đã giao",H153="Đã xuất"),"Hoàn tất","Theo dõi"))))))))</f>
        <v/>
      </c>
      <c r="U153" s="8"/>
    </row>
    <row r="154" customFormat="false" ht="15" hidden="false" customHeight="false" outlineLevel="0" collapsed="false">
      <c r="A154" s="8"/>
      <c r="B154" s="9"/>
      <c r="C154" s="8"/>
      <c r="D154" s="10" t="str">
        <f aca="false">IF(C154="","",IFERROR(VLOOKUP(C154,KhachHang!$A$2:$B$200,2,FALSE())&amp;"",""))</f>
        <v/>
      </c>
      <c r="E154" s="8"/>
      <c r="F154" s="8"/>
      <c r="G154" s="9"/>
      <c r="H154" s="8"/>
      <c r="I154" s="8"/>
      <c r="J154" s="9"/>
      <c r="K154" s="11" t="str">
        <f aca="false">IF(A154="","",SUMIFS(ChiTiet!$I$2:$I$2000,ChiTiet!$A$2:$A$2000,A154))</f>
        <v/>
      </c>
      <c r="L154" s="12"/>
      <c r="M154" s="11" t="str">
        <f aca="false">IF(A154="","",ROUND(K154*IF(L154="",0.08,L154),0))</f>
        <v/>
      </c>
      <c r="N154" s="11" t="str">
        <f aca="false">IF(A154="","",K154+M154)</f>
        <v/>
      </c>
      <c r="O154" s="11" t="str">
        <f aca="false">IF(A154="","",SUMIFS(ThuTien!$D$2:$D$2000,ThuTien!$B$2:$B$2000,A154))</f>
        <v/>
      </c>
      <c r="P154" s="11" t="str">
        <f aca="false">IF(A154="","",N154-O154)</f>
        <v/>
      </c>
      <c r="Q154" s="9"/>
      <c r="R154" s="10" t="str">
        <f aca="true">IF(A154="","",IF(AND(Q154&lt;&gt;"",P154&gt;0,TODAY()&gt;Q154),TODAY()-Q154,0))</f>
        <v/>
      </c>
      <c r="S154" s="10" t="str">
        <f aca="false">IF(A154="","",IF(N154=0,"Chưa có tiền hàng",IF(P154&lt;0,"Thu thừa",IF(P154=0,"Đã thu đủ",IF(O154&gt;0,"Thu một phần","Chưa thu")))))</f>
        <v/>
      </c>
      <c r="T154" s="10" t="str">
        <f aca="false">IF(A154="","",IF(AND(F154="Đã giao",H154&lt;&gt;"Đã xuất"),"Đã giao - CHƯA XUẤT HĐ",IF(AND(H154="Đã xuất",F154="Chưa giao"),"Đã xuất HĐ - chưa giao",IF(F154="","Chưa cập nhật giao hàng",IF(R154&gt;0,"Quá hạn "&amp;R154&amp;" ngày - đòi tiền",IF(P154&gt;0,"Chờ thu tiền",IF(P154&lt;0,"Kiểm tra thu thừa",IF(AND(F154="Đã giao",H154="Đã xuất"),"Hoàn tất","Theo dõi"))))))))</f>
        <v/>
      </c>
      <c r="U154" s="8"/>
    </row>
    <row r="155" customFormat="false" ht="15" hidden="false" customHeight="false" outlineLevel="0" collapsed="false">
      <c r="A155" s="8"/>
      <c r="B155" s="9"/>
      <c r="C155" s="8"/>
      <c r="D155" s="10" t="str">
        <f aca="false">IF(C155="","",IFERROR(VLOOKUP(C155,KhachHang!$A$2:$B$200,2,FALSE())&amp;"",""))</f>
        <v/>
      </c>
      <c r="E155" s="8"/>
      <c r="F155" s="8"/>
      <c r="G155" s="9"/>
      <c r="H155" s="8"/>
      <c r="I155" s="8"/>
      <c r="J155" s="9"/>
      <c r="K155" s="11" t="str">
        <f aca="false">IF(A155="","",SUMIFS(ChiTiet!$I$2:$I$2000,ChiTiet!$A$2:$A$2000,A155))</f>
        <v/>
      </c>
      <c r="L155" s="12"/>
      <c r="M155" s="11" t="str">
        <f aca="false">IF(A155="","",ROUND(K155*IF(L155="",0.08,L155),0))</f>
        <v/>
      </c>
      <c r="N155" s="11" t="str">
        <f aca="false">IF(A155="","",K155+M155)</f>
        <v/>
      </c>
      <c r="O155" s="11" t="str">
        <f aca="false">IF(A155="","",SUMIFS(ThuTien!$D$2:$D$2000,ThuTien!$B$2:$B$2000,A155))</f>
        <v/>
      </c>
      <c r="P155" s="11" t="str">
        <f aca="false">IF(A155="","",N155-O155)</f>
        <v/>
      </c>
      <c r="Q155" s="9"/>
      <c r="R155" s="10" t="str">
        <f aca="true">IF(A155="","",IF(AND(Q155&lt;&gt;"",P155&gt;0,TODAY()&gt;Q155),TODAY()-Q155,0))</f>
        <v/>
      </c>
      <c r="S155" s="10" t="str">
        <f aca="false">IF(A155="","",IF(N155=0,"Chưa có tiền hàng",IF(P155&lt;0,"Thu thừa",IF(P155=0,"Đã thu đủ",IF(O155&gt;0,"Thu một phần","Chưa thu")))))</f>
        <v/>
      </c>
      <c r="T155" s="10" t="str">
        <f aca="false">IF(A155="","",IF(AND(F155="Đã giao",H155&lt;&gt;"Đã xuất"),"Đã giao - CHƯA XUẤT HĐ",IF(AND(H155="Đã xuất",F155="Chưa giao"),"Đã xuất HĐ - chưa giao",IF(F155="","Chưa cập nhật giao hàng",IF(R155&gt;0,"Quá hạn "&amp;R155&amp;" ngày - đòi tiền",IF(P155&gt;0,"Chờ thu tiền",IF(P155&lt;0,"Kiểm tra thu thừa",IF(AND(F155="Đã giao",H155="Đã xuất"),"Hoàn tất","Theo dõi"))))))))</f>
        <v/>
      </c>
      <c r="U155" s="8"/>
    </row>
    <row r="156" customFormat="false" ht="15" hidden="false" customHeight="false" outlineLevel="0" collapsed="false">
      <c r="A156" s="8"/>
      <c r="B156" s="9"/>
      <c r="C156" s="8"/>
      <c r="D156" s="10" t="str">
        <f aca="false">IF(C156="","",IFERROR(VLOOKUP(C156,KhachHang!$A$2:$B$200,2,FALSE())&amp;"",""))</f>
        <v/>
      </c>
      <c r="E156" s="8"/>
      <c r="F156" s="8"/>
      <c r="G156" s="9"/>
      <c r="H156" s="8"/>
      <c r="I156" s="8"/>
      <c r="J156" s="9"/>
      <c r="K156" s="11" t="str">
        <f aca="false">IF(A156="","",SUMIFS(ChiTiet!$I$2:$I$2000,ChiTiet!$A$2:$A$2000,A156))</f>
        <v/>
      </c>
      <c r="L156" s="12"/>
      <c r="M156" s="11" t="str">
        <f aca="false">IF(A156="","",ROUND(K156*IF(L156="",0.08,L156),0))</f>
        <v/>
      </c>
      <c r="N156" s="11" t="str">
        <f aca="false">IF(A156="","",K156+M156)</f>
        <v/>
      </c>
      <c r="O156" s="11" t="str">
        <f aca="false">IF(A156="","",SUMIFS(ThuTien!$D$2:$D$2000,ThuTien!$B$2:$B$2000,A156))</f>
        <v/>
      </c>
      <c r="P156" s="11" t="str">
        <f aca="false">IF(A156="","",N156-O156)</f>
        <v/>
      </c>
      <c r="Q156" s="9"/>
      <c r="R156" s="10" t="str">
        <f aca="true">IF(A156="","",IF(AND(Q156&lt;&gt;"",P156&gt;0,TODAY()&gt;Q156),TODAY()-Q156,0))</f>
        <v/>
      </c>
      <c r="S156" s="10" t="str">
        <f aca="false">IF(A156="","",IF(N156=0,"Chưa có tiền hàng",IF(P156&lt;0,"Thu thừa",IF(P156=0,"Đã thu đủ",IF(O156&gt;0,"Thu một phần","Chưa thu")))))</f>
        <v/>
      </c>
      <c r="T156" s="10" t="str">
        <f aca="false">IF(A156="","",IF(AND(F156="Đã giao",H156&lt;&gt;"Đã xuất"),"Đã giao - CHƯA XUẤT HĐ",IF(AND(H156="Đã xuất",F156="Chưa giao"),"Đã xuất HĐ - chưa giao",IF(F156="","Chưa cập nhật giao hàng",IF(R156&gt;0,"Quá hạn "&amp;R156&amp;" ngày - đòi tiền",IF(P156&gt;0,"Chờ thu tiền",IF(P156&lt;0,"Kiểm tra thu thừa",IF(AND(F156="Đã giao",H156="Đã xuất"),"Hoàn tất","Theo dõi"))))))))</f>
        <v/>
      </c>
      <c r="U156" s="8"/>
    </row>
    <row r="157" customFormat="false" ht="15" hidden="false" customHeight="false" outlineLevel="0" collapsed="false">
      <c r="A157" s="8"/>
      <c r="B157" s="9"/>
      <c r="C157" s="8"/>
      <c r="D157" s="10" t="str">
        <f aca="false">IF(C157="","",IFERROR(VLOOKUP(C157,KhachHang!$A$2:$B$200,2,FALSE())&amp;"",""))</f>
        <v/>
      </c>
      <c r="E157" s="8"/>
      <c r="F157" s="8"/>
      <c r="G157" s="9"/>
      <c r="H157" s="8"/>
      <c r="I157" s="8"/>
      <c r="J157" s="9"/>
      <c r="K157" s="11" t="str">
        <f aca="false">IF(A157="","",SUMIFS(ChiTiet!$I$2:$I$2000,ChiTiet!$A$2:$A$2000,A157))</f>
        <v/>
      </c>
      <c r="L157" s="12"/>
      <c r="M157" s="11" t="str">
        <f aca="false">IF(A157="","",ROUND(K157*IF(L157="",0.08,L157),0))</f>
        <v/>
      </c>
      <c r="N157" s="11" t="str">
        <f aca="false">IF(A157="","",K157+M157)</f>
        <v/>
      </c>
      <c r="O157" s="11" t="str">
        <f aca="false">IF(A157="","",SUMIFS(ThuTien!$D$2:$D$2000,ThuTien!$B$2:$B$2000,A157))</f>
        <v/>
      </c>
      <c r="P157" s="11" t="str">
        <f aca="false">IF(A157="","",N157-O157)</f>
        <v/>
      </c>
      <c r="Q157" s="9"/>
      <c r="R157" s="10" t="str">
        <f aca="true">IF(A157="","",IF(AND(Q157&lt;&gt;"",P157&gt;0,TODAY()&gt;Q157),TODAY()-Q157,0))</f>
        <v/>
      </c>
      <c r="S157" s="10" t="str">
        <f aca="false">IF(A157="","",IF(N157=0,"Chưa có tiền hàng",IF(P157&lt;0,"Thu thừa",IF(P157=0,"Đã thu đủ",IF(O157&gt;0,"Thu một phần","Chưa thu")))))</f>
        <v/>
      </c>
      <c r="T157" s="10" t="str">
        <f aca="false">IF(A157="","",IF(AND(F157="Đã giao",H157&lt;&gt;"Đã xuất"),"Đã giao - CHƯA XUẤT HĐ",IF(AND(H157="Đã xuất",F157="Chưa giao"),"Đã xuất HĐ - chưa giao",IF(F157="","Chưa cập nhật giao hàng",IF(R157&gt;0,"Quá hạn "&amp;R157&amp;" ngày - đòi tiền",IF(P157&gt;0,"Chờ thu tiền",IF(P157&lt;0,"Kiểm tra thu thừa",IF(AND(F157="Đã giao",H157="Đã xuất"),"Hoàn tất","Theo dõi"))))))))</f>
        <v/>
      </c>
      <c r="U157" s="8"/>
    </row>
    <row r="158" customFormat="false" ht="15" hidden="false" customHeight="false" outlineLevel="0" collapsed="false">
      <c r="A158" s="8"/>
      <c r="B158" s="9"/>
      <c r="C158" s="8"/>
      <c r="D158" s="10" t="str">
        <f aca="false">IF(C158="","",IFERROR(VLOOKUP(C158,KhachHang!$A$2:$B$200,2,FALSE())&amp;"",""))</f>
        <v/>
      </c>
      <c r="E158" s="8"/>
      <c r="F158" s="8"/>
      <c r="G158" s="9"/>
      <c r="H158" s="8"/>
      <c r="I158" s="8"/>
      <c r="J158" s="9"/>
      <c r="K158" s="11" t="str">
        <f aca="false">IF(A158="","",SUMIFS(ChiTiet!$I$2:$I$2000,ChiTiet!$A$2:$A$2000,A158))</f>
        <v/>
      </c>
      <c r="L158" s="12"/>
      <c r="M158" s="11" t="str">
        <f aca="false">IF(A158="","",ROUND(K158*IF(L158="",0.08,L158),0))</f>
        <v/>
      </c>
      <c r="N158" s="11" t="str">
        <f aca="false">IF(A158="","",K158+M158)</f>
        <v/>
      </c>
      <c r="O158" s="11" t="str">
        <f aca="false">IF(A158="","",SUMIFS(ThuTien!$D$2:$D$2000,ThuTien!$B$2:$B$2000,A158))</f>
        <v/>
      </c>
      <c r="P158" s="11" t="str">
        <f aca="false">IF(A158="","",N158-O158)</f>
        <v/>
      </c>
      <c r="Q158" s="9"/>
      <c r="R158" s="10" t="str">
        <f aca="true">IF(A158="","",IF(AND(Q158&lt;&gt;"",P158&gt;0,TODAY()&gt;Q158),TODAY()-Q158,0))</f>
        <v/>
      </c>
      <c r="S158" s="10" t="str">
        <f aca="false">IF(A158="","",IF(N158=0,"Chưa có tiền hàng",IF(P158&lt;0,"Thu thừa",IF(P158=0,"Đã thu đủ",IF(O158&gt;0,"Thu một phần","Chưa thu")))))</f>
        <v/>
      </c>
      <c r="T158" s="10" t="str">
        <f aca="false">IF(A158="","",IF(AND(F158="Đã giao",H158&lt;&gt;"Đã xuất"),"Đã giao - CHƯA XUẤT HĐ",IF(AND(H158="Đã xuất",F158="Chưa giao"),"Đã xuất HĐ - chưa giao",IF(F158="","Chưa cập nhật giao hàng",IF(R158&gt;0,"Quá hạn "&amp;R158&amp;" ngày - đòi tiền",IF(P158&gt;0,"Chờ thu tiền",IF(P158&lt;0,"Kiểm tra thu thừa",IF(AND(F158="Đã giao",H158="Đã xuất"),"Hoàn tất","Theo dõi"))))))))</f>
        <v/>
      </c>
      <c r="U158" s="8"/>
    </row>
    <row r="159" customFormat="false" ht="15" hidden="false" customHeight="false" outlineLevel="0" collapsed="false">
      <c r="A159" s="8"/>
      <c r="B159" s="9"/>
      <c r="C159" s="8"/>
      <c r="D159" s="10" t="str">
        <f aca="false">IF(C159="","",IFERROR(VLOOKUP(C159,KhachHang!$A$2:$B$200,2,FALSE())&amp;"",""))</f>
        <v/>
      </c>
      <c r="E159" s="8"/>
      <c r="F159" s="8"/>
      <c r="G159" s="9"/>
      <c r="H159" s="8"/>
      <c r="I159" s="8"/>
      <c r="J159" s="9"/>
      <c r="K159" s="11" t="str">
        <f aca="false">IF(A159="","",SUMIFS(ChiTiet!$I$2:$I$2000,ChiTiet!$A$2:$A$2000,A159))</f>
        <v/>
      </c>
      <c r="L159" s="12"/>
      <c r="M159" s="11" t="str">
        <f aca="false">IF(A159="","",ROUND(K159*IF(L159="",0.08,L159),0))</f>
        <v/>
      </c>
      <c r="N159" s="11" t="str">
        <f aca="false">IF(A159="","",K159+M159)</f>
        <v/>
      </c>
      <c r="O159" s="11" t="str">
        <f aca="false">IF(A159="","",SUMIFS(ThuTien!$D$2:$D$2000,ThuTien!$B$2:$B$2000,A159))</f>
        <v/>
      </c>
      <c r="P159" s="11" t="str">
        <f aca="false">IF(A159="","",N159-O159)</f>
        <v/>
      </c>
      <c r="Q159" s="9"/>
      <c r="R159" s="10" t="str">
        <f aca="true">IF(A159="","",IF(AND(Q159&lt;&gt;"",P159&gt;0,TODAY()&gt;Q159),TODAY()-Q159,0))</f>
        <v/>
      </c>
      <c r="S159" s="10" t="str">
        <f aca="false">IF(A159="","",IF(N159=0,"Chưa có tiền hàng",IF(P159&lt;0,"Thu thừa",IF(P159=0,"Đã thu đủ",IF(O159&gt;0,"Thu một phần","Chưa thu")))))</f>
        <v/>
      </c>
      <c r="T159" s="10" t="str">
        <f aca="false">IF(A159="","",IF(AND(F159="Đã giao",H159&lt;&gt;"Đã xuất"),"Đã giao - CHƯA XUẤT HĐ",IF(AND(H159="Đã xuất",F159="Chưa giao"),"Đã xuất HĐ - chưa giao",IF(F159="","Chưa cập nhật giao hàng",IF(R159&gt;0,"Quá hạn "&amp;R159&amp;" ngày - đòi tiền",IF(P159&gt;0,"Chờ thu tiền",IF(P159&lt;0,"Kiểm tra thu thừa",IF(AND(F159="Đã giao",H159="Đã xuất"),"Hoàn tất","Theo dõi"))))))))</f>
        <v/>
      </c>
      <c r="U159" s="8"/>
    </row>
    <row r="160" customFormat="false" ht="15" hidden="false" customHeight="false" outlineLevel="0" collapsed="false">
      <c r="A160" s="8"/>
      <c r="B160" s="9"/>
      <c r="C160" s="8"/>
      <c r="D160" s="10" t="str">
        <f aca="false">IF(C160="","",IFERROR(VLOOKUP(C160,KhachHang!$A$2:$B$200,2,FALSE())&amp;"",""))</f>
        <v/>
      </c>
      <c r="E160" s="8"/>
      <c r="F160" s="8"/>
      <c r="G160" s="9"/>
      <c r="H160" s="8"/>
      <c r="I160" s="8"/>
      <c r="J160" s="9"/>
      <c r="K160" s="11" t="str">
        <f aca="false">IF(A160="","",SUMIFS(ChiTiet!$I$2:$I$2000,ChiTiet!$A$2:$A$2000,A160))</f>
        <v/>
      </c>
      <c r="L160" s="12"/>
      <c r="M160" s="11" t="str">
        <f aca="false">IF(A160="","",ROUND(K160*IF(L160="",0.08,L160),0))</f>
        <v/>
      </c>
      <c r="N160" s="11" t="str">
        <f aca="false">IF(A160="","",K160+M160)</f>
        <v/>
      </c>
      <c r="O160" s="11" t="str">
        <f aca="false">IF(A160="","",SUMIFS(ThuTien!$D$2:$D$2000,ThuTien!$B$2:$B$2000,A160))</f>
        <v/>
      </c>
      <c r="P160" s="11" t="str">
        <f aca="false">IF(A160="","",N160-O160)</f>
        <v/>
      </c>
      <c r="Q160" s="9"/>
      <c r="R160" s="10" t="str">
        <f aca="true">IF(A160="","",IF(AND(Q160&lt;&gt;"",P160&gt;0,TODAY()&gt;Q160),TODAY()-Q160,0))</f>
        <v/>
      </c>
      <c r="S160" s="10" t="str">
        <f aca="false">IF(A160="","",IF(N160=0,"Chưa có tiền hàng",IF(P160&lt;0,"Thu thừa",IF(P160=0,"Đã thu đủ",IF(O160&gt;0,"Thu một phần","Chưa thu")))))</f>
        <v/>
      </c>
      <c r="T160" s="10" t="str">
        <f aca="false">IF(A160="","",IF(AND(F160="Đã giao",H160&lt;&gt;"Đã xuất"),"Đã giao - CHƯA XUẤT HĐ",IF(AND(H160="Đã xuất",F160="Chưa giao"),"Đã xuất HĐ - chưa giao",IF(F160="","Chưa cập nhật giao hàng",IF(R160&gt;0,"Quá hạn "&amp;R160&amp;" ngày - đòi tiền",IF(P160&gt;0,"Chờ thu tiền",IF(P160&lt;0,"Kiểm tra thu thừa",IF(AND(F160="Đã giao",H160="Đã xuất"),"Hoàn tất","Theo dõi"))))))))</f>
        <v/>
      </c>
      <c r="U160" s="8"/>
    </row>
    <row r="161" customFormat="false" ht="15" hidden="false" customHeight="false" outlineLevel="0" collapsed="false">
      <c r="A161" s="8"/>
      <c r="B161" s="9"/>
      <c r="C161" s="8"/>
      <c r="D161" s="10" t="str">
        <f aca="false">IF(C161="","",IFERROR(VLOOKUP(C161,KhachHang!$A$2:$B$200,2,FALSE())&amp;"",""))</f>
        <v/>
      </c>
      <c r="E161" s="8"/>
      <c r="F161" s="8"/>
      <c r="G161" s="9"/>
      <c r="H161" s="8"/>
      <c r="I161" s="8"/>
      <c r="J161" s="9"/>
      <c r="K161" s="11" t="str">
        <f aca="false">IF(A161="","",SUMIFS(ChiTiet!$I$2:$I$2000,ChiTiet!$A$2:$A$2000,A161))</f>
        <v/>
      </c>
      <c r="L161" s="12"/>
      <c r="M161" s="11" t="str">
        <f aca="false">IF(A161="","",ROUND(K161*IF(L161="",0.08,L161),0))</f>
        <v/>
      </c>
      <c r="N161" s="11" t="str">
        <f aca="false">IF(A161="","",K161+M161)</f>
        <v/>
      </c>
      <c r="O161" s="11" t="str">
        <f aca="false">IF(A161="","",SUMIFS(ThuTien!$D$2:$D$2000,ThuTien!$B$2:$B$2000,A161))</f>
        <v/>
      </c>
      <c r="P161" s="11" t="str">
        <f aca="false">IF(A161="","",N161-O161)</f>
        <v/>
      </c>
      <c r="Q161" s="9"/>
      <c r="R161" s="10" t="str">
        <f aca="true">IF(A161="","",IF(AND(Q161&lt;&gt;"",P161&gt;0,TODAY()&gt;Q161),TODAY()-Q161,0))</f>
        <v/>
      </c>
      <c r="S161" s="10" t="str">
        <f aca="false">IF(A161="","",IF(N161=0,"Chưa có tiền hàng",IF(P161&lt;0,"Thu thừa",IF(P161=0,"Đã thu đủ",IF(O161&gt;0,"Thu một phần","Chưa thu")))))</f>
        <v/>
      </c>
      <c r="T161" s="10" t="str">
        <f aca="false">IF(A161="","",IF(AND(F161="Đã giao",H161&lt;&gt;"Đã xuất"),"Đã giao - CHƯA XUẤT HĐ",IF(AND(H161="Đã xuất",F161="Chưa giao"),"Đã xuất HĐ - chưa giao",IF(F161="","Chưa cập nhật giao hàng",IF(R161&gt;0,"Quá hạn "&amp;R161&amp;" ngày - đòi tiền",IF(P161&gt;0,"Chờ thu tiền",IF(P161&lt;0,"Kiểm tra thu thừa",IF(AND(F161="Đã giao",H161="Đã xuất"),"Hoàn tất","Theo dõi"))))))))</f>
        <v/>
      </c>
      <c r="U161" s="8"/>
    </row>
    <row r="162" customFormat="false" ht="15" hidden="false" customHeight="false" outlineLevel="0" collapsed="false">
      <c r="A162" s="8"/>
      <c r="B162" s="9"/>
      <c r="C162" s="8"/>
      <c r="D162" s="10" t="str">
        <f aca="false">IF(C162="","",IFERROR(VLOOKUP(C162,KhachHang!$A$2:$B$200,2,FALSE())&amp;"",""))</f>
        <v/>
      </c>
      <c r="E162" s="8"/>
      <c r="F162" s="8"/>
      <c r="G162" s="9"/>
      <c r="H162" s="8"/>
      <c r="I162" s="8"/>
      <c r="J162" s="9"/>
      <c r="K162" s="11" t="str">
        <f aca="false">IF(A162="","",SUMIFS(ChiTiet!$I$2:$I$2000,ChiTiet!$A$2:$A$2000,A162))</f>
        <v/>
      </c>
      <c r="L162" s="12"/>
      <c r="M162" s="11" t="str">
        <f aca="false">IF(A162="","",ROUND(K162*IF(L162="",0.08,L162),0))</f>
        <v/>
      </c>
      <c r="N162" s="11" t="str">
        <f aca="false">IF(A162="","",K162+M162)</f>
        <v/>
      </c>
      <c r="O162" s="11" t="str">
        <f aca="false">IF(A162="","",SUMIFS(ThuTien!$D$2:$D$2000,ThuTien!$B$2:$B$2000,A162))</f>
        <v/>
      </c>
      <c r="P162" s="11" t="str">
        <f aca="false">IF(A162="","",N162-O162)</f>
        <v/>
      </c>
      <c r="Q162" s="9"/>
      <c r="R162" s="10" t="str">
        <f aca="true">IF(A162="","",IF(AND(Q162&lt;&gt;"",P162&gt;0,TODAY()&gt;Q162),TODAY()-Q162,0))</f>
        <v/>
      </c>
      <c r="S162" s="10" t="str">
        <f aca="false">IF(A162="","",IF(N162=0,"Chưa có tiền hàng",IF(P162&lt;0,"Thu thừa",IF(P162=0,"Đã thu đủ",IF(O162&gt;0,"Thu một phần","Chưa thu")))))</f>
        <v/>
      </c>
      <c r="T162" s="10" t="str">
        <f aca="false">IF(A162="","",IF(AND(F162="Đã giao",H162&lt;&gt;"Đã xuất"),"Đã giao - CHƯA XUẤT HĐ",IF(AND(H162="Đã xuất",F162="Chưa giao"),"Đã xuất HĐ - chưa giao",IF(F162="","Chưa cập nhật giao hàng",IF(R162&gt;0,"Quá hạn "&amp;R162&amp;" ngày - đòi tiền",IF(P162&gt;0,"Chờ thu tiền",IF(P162&lt;0,"Kiểm tra thu thừa",IF(AND(F162="Đã giao",H162="Đã xuất"),"Hoàn tất","Theo dõi"))))))))</f>
        <v/>
      </c>
      <c r="U162" s="8"/>
    </row>
    <row r="163" customFormat="false" ht="15" hidden="false" customHeight="false" outlineLevel="0" collapsed="false">
      <c r="A163" s="8"/>
      <c r="B163" s="9"/>
      <c r="C163" s="8"/>
      <c r="D163" s="10" t="str">
        <f aca="false">IF(C163="","",IFERROR(VLOOKUP(C163,KhachHang!$A$2:$B$200,2,FALSE())&amp;"",""))</f>
        <v/>
      </c>
      <c r="E163" s="8"/>
      <c r="F163" s="8"/>
      <c r="G163" s="9"/>
      <c r="H163" s="8"/>
      <c r="I163" s="8"/>
      <c r="J163" s="9"/>
      <c r="K163" s="11" t="str">
        <f aca="false">IF(A163="","",SUMIFS(ChiTiet!$I$2:$I$2000,ChiTiet!$A$2:$A$2000,A163))</f>
        <v/>
      </c>
      <c r="L163" s="12"/>
      <c r="M163" s="11" t="str">
        <f aca="false">IF(A163="","",ROUND(K163*IF(L163="",0.08,L163),0))</f>
        <v/>
      </c>
      <c r="N163" s="11" t="str">
        <f aca="false">IF(A163="","",K163+M163)</f>
        <v/>
      </c>
      <c r="O163" s="11" t="str">
        <f aca="false">IF(A163="","",SUMIFS(ThuTien!$D$2:$D$2000,ThuTien!$B$2:$B$2000,A163))</f>
        <v/>
      </c>
      <c r="P163" s="11" t="str">
        <f aca="false">IF(A163="","",N163-O163)</f>
        <v/>
      </c>
      <c r="Q163" s="9"/>
      <c r="R163" s="10" t="str">
        <f aca="true">IF(A163="","",IF(AND(Q163&lt;&gt;"",P163&gt;0,TODAY()&gt;Q163),TODAY()-Q163,0))</f>
        <v/>
      </c>
      <c r="S163" s="10" t="str">
        <f aca="false">IF(A163="","",IF(N163=0,"Chưa có tiền hàng",IF(P163&lt;0,"Thu thừa",IF(P163=0,"Đã thu đủ",IF(O163&gt;0,"Thu một phần","Chưa thu")))))</f>
        <v/>
      </c>
      <c r="T163" s="10" t="str">
        <f aca="false">IF(A163="","",IF(AND(F163="Đã giao",H163&lt;&gt;"Đã xuất"),"Đã giao - CHƯA XUẤT HĐ",IF(AND(H163="Đã xuất",F163="Chưa giao"),"Đã xuất HĐ - chưa giao",IF(F163="","Chưa cập nhật giao hàng",IF(R163&gt;0,"Quá hạn "&amp;R163&amp;" ngày - đòi tiền",IF(P163&gt;0,"Chờ thu tiền",IF(P163&lt;0,"Kiểm tra thu thừa",IF(AND(F163="Đã giao",H163="Đã xuất"),"Hoàn tất","Theo dõi"))))))))</f>
        <v/>
      </c>
      <c r="U163" s="8"/>
    </row>
    <row r="164" customFormat="false" ht="15" hidden="false" customHeight="false" outlineLevel="0" collapsed="false">
      <c r="A164" s="8"/>
      <c r="B164" s="9"/>
      <c r="C164" s="8"/>
      <c r="D164" s="10" t="str">
        <f aca="false">IF(C164="","",IFERROR(VLOOKUP(C164,KhachHang!$A$2:$B$200,2,FALSE())&amp;"",""))</f>
        <v/>
      </c>
      <c r="E164" s="8"/>
      <c r="F164" s="8"/>
      <c r="G164" s="9"/>
      <c r="H164" s="8"/>
      <c r="I164" s="8"/>
      <c r="J164" s="9"/>
      <c r="K164" s="11" t="str">
        <f aca="false">IF(A164="","",SUMIFS(ChiTiet!$I$2:$I$2000,ChiTiet!$A$2:$A$2000,A164))</f>
        <v/>
      </c>
      <c r="L164" s="12"/>
      <c r="M164" s="11" t="str">
        <f aca="false">IF(A164="","",ROUND(K164*IF(L164="",0.08,L164),0))</f>
        <v/>
      </c>
      <c r="N164" s="11" t="str">
        <f aca="false">IF(A164="","",K164+M164)</f>
        <v/>
      </c>
      <c r="O164" s="11" t="str">
        <f aca="false">IF(A164="","",SUMIFS(ThuTien!$D$2:$D$2000,ThuTien!$B$2:$B$2000,A164))</f>
        <v/>
      </c>
      <c r="P164" s="11" t="str">
        <f aca="false">IF(A164="","",N164-O164)</f>
        <v/>
      </c>
      <c r="Q164" s="9"/>
      <c r="R164" s="10" t="str">
        <f aca="true">IF(A164="","",IF(AND(Q164&lt;&gt;"",P164&gt;0,TODAY()&gt;Q164),TODAY()-Q164,0))</f>
        <v/>
      </c>
      <c r="S164" s="10" t="str">
        <f aca="false">IF(A164="","",IF(N164=0,"Chưa có tiền hàng",IF(P164&lt;0,"Thu thừa",IF(P164=0,"Đã thu đủ",IF(O164&gt;0,"Thu một phần","Chưa thu")))))</f>
        <v/>
      </c>
      <c r="T164" s="10" t="str">
        <f aca="false">IF(A164="","",IF(AND(F164="Đã giao",H164&lt;&gt;"Đã xuất"),"Đã giao - CHƯA XUẤT HĐ",IF(AND(H164="Đã xuất",F164="Chưa giao"),"Đã xuất HĐ - chưa giao",IF(F164="","Chưa cập nhật giao hàng",IF(R164&gt;0,"Quá hạn "&amp;R164&amp;" ngày - đòi tiền",IF(P164&gt;0,"Chờ thu tiền",IF(P164&lt;0,"Kiểm tra thu thừa",IF(AND(F164="Đã giao",H164="Đã xuất"),"Hoàn tất","Theo dõi"))))))))</f>
        <v/>
      </c>
      <c r="U164" s="8"/>
    </row>
    <row r="165" customFormat="false" ht="15" hidden="false" customHeight="false" outlineLevel="0" collapsed="false">
      <c r="A165" s="8"/>
      <c r="B165" s="9"/>
      <c r="C165" s="8"/>
      <c r="D165" s="10" t="str">
        <f aca="false">IF(C165="","",IFERROR(VLOOKUP(C165,KhachHang!$A$2:$B$200,2,FALSE())&amp;"",""))</f>
        <v/>
      </c>
      <c r="E165" s="8"/>
      <c r="F165" s="8"/>
      <c r="G165" s="9"/>
      <c r="H165" s="8"/>
      <c r="I165" s="8"/>
      <c r="J165" s="9"/>
      <c r="K165" s="11" t="str">
        <f aca="false">IF(A165="","",SUMIFS(ChiTiet!$I$2:$I$2000,ChiTiet!$A$2:$A$2000,A165))</f>
        <v/>
      </c>
      <c r="L165" s="12"/>
      <c r="M165" s="11" t="str">
        <f aca="false">IF(A165="","",ROUND(K165*IF(L165="",0.08,L165),0))</f>
        <v/>
      </c>
      <c r="N165" s="11" t="str">
        <f aca="false">IF(A165="","",K165+M165)</f>
        <v/>
      </c>
      <c r="O165" s="11" t="str">
        <f aca="false">IF(A165="","",SUMIFS(ThuTien!$D$2:$D$2000,ThuTien!$B$2:$B$2000,A165))</f>
        <v/>
      </c>
      <c r="P165" s="11" t="str">
        <f aca="false">IF(A165="","",N165-O165)</f>
        <v/>
      </c>
      <c r="Q165" s="9"/>
      <c r="R165" s="10" t="str">
        <f aca="true">IF(A165="","",IF(AND(Q165&lt;&gt;"",P165&gt;0,TODAY()&gt;Q165),TODAY()-Q165,0))</f>
        <v/>
      </c>
      <c r="S165" s="10" t="str">
        <f aca="false">IF(A165="","",IF(N165=0,"Chưa có tiền hàng",IF(P165&lt;0,"Thu thừa",IF(P165=0,"Đã thu đủ",IF(O165&gt;0,"Thu một phần","Chưa thu")))))</f>
        <v/>
      </c>
      <c r="T165" s="10" t="str">
        <f aca="false">IF(A165="","",IF(AND(F165="Đã giao",H165&lt;&gt;"Đã xuất"),"Đã giao - CHƯA XUẤT HĐ",IF(AND(H165="Đã xuất",F165="Chưa giao"),"Đã xuất HĐ - chưa giao",IF(F165="","Chưa cập nhật giao hàng",IF(R165&gt;0,"Quá hạn "&amp;R165&amp;" ngày - đòi tiền",IF(P165&gt;0,"Chờ thu tiền",IF(P165&lt;0,"Kiểm tra thu thừa",IF(AND(F165="Đã giao",H165="Đã xuất"),"Hoàn tất","Theo dõi"))))))))</f>
        <v/>
      </c>
      <c r="U165" s="8"/>
    </row>
    <row r="166" customFormat="false" ht="15" hidden="false" customHeight="false" outlineLevel="0" collapsed="false">
      <c r="A166" s="8"/>
      <c r="B166" s="9"/>
      <c r="C166" s="8"/>
      <c r="D166" s="10" t="str">
        <f aca="false">IF(C166="","",IFERROR(VLOOKUP(C166,KhachHang!$A$2:$B$200,2,FALSE())&amp;"",""))</f>
        <v/>
      </c>
      <c r="E166" s="8"/>
      <c r="F166" s="8"/>
      <c r="G166" s="9"/>
      <c r="H166" s="8"/>
      <c r="I166" s="8"/>
      <c r="J166" s="9"/>
      <c r="K166" s="11" t="str">
        <f aca="false">IF(A166="","",SUMIFS(ChiTiet!$I$2:$I$2000,ChiTiet!$A$2:$A$2000,A166))</f>
        <v/>
      </c>
      <c r="L166" s="12"/>
      <c r="M166" s="11" t="str">
        <f aca="false">IF(A166="","",ROUND(K166*IF(L166="",0.08,L166),0))</f>
        <v/>
      </c>
      <c r="N166" s="11" t="str">
        <f aca="false">IF(A166="","",K166+M166)</f>
        <v/>
      </c>
      <c r="O166" s="11" t="str">
        <f aca="false">IF(A166="","",SUMIFS(ThuTien!$D$2:$D$2000,ThuTien!$B$2:$B$2000,A166))</f>
        <v/>
      </c>
      <c r="P166" s="11" t="str">
        <f aca="false">IF(A166="","",N166-O166)</f>
        <v/>
      </c>
      <c r="Q166" s="9"/>
      <c r="R166" s="10" t="str">
        <f aca="true">IF(A166="","",IF(AND(Q166&lt;&gt;"",P166&gt;0,TODAY()&gt;Q166),TODAY()-Q166,0))</f>
        <v/>
      </c>
      <c r="S166" s="10" t="str">
        <f aca="false">IF(A166="","",IF(N166=0,"Chưa có tiền hàng",IF(P166&lt;0,"Thu thừa",IF(P166=0,"Đã thu đủ",IF(O166&gt;0,"Thu một phần","Chưa thu")))))</f>
        <v/>
      </c>
      <c r="T166" s="10" t="str">
        <f aca="false">IF(A166="","",IF(AND(F166="Đã giao",H166&lt;&gt;"Đã xuất"),"Đã giao - CHƯA XUẤT HĐ",IF(AND(H166="Đã xuất",F166="Chưa giao"),"Đã xuất HĐ - chưa giao",IF(F166="","Chưa cập nhật giao hàng",IF(R166&gt;0,"Quá hạn "&amp;R166&amp;" ngày - đòi tiền",IF(P166&gt;0,"Chờ thu tiền",IF(P166&lt;0,"Kiểm tra thu thừa",IF(AND(F166="Đã giao",H166="Đã xuất"),"Hoàn tất","Theo dõi"))))))))</f>
        <v/>
      </c>
      <c r="U166" s="8"/>
    </row>
    <row r="167" customFormat="false" ht="15" hidden="false" customHeight="false" outlineLevel="0" collapsed="false">
      <c r="A167" s="8"/>
      <c r="B167" s="9"/>
      <c r="C167" s="8"/>
      <c r="D167" s="10" t="str">
        <f aca="false">IF(C167="","",IFERROR(VLOOKUP(C167,KhachHang!$A$2:$B$200,2,FALSE())&amp;"",""))</f>
        <v/>
      </c>
      <c r="E167" s="8"/>
      <c r="F167" s="8"/>
      <c r="G167" s="9"/>
      <c r="H167" s="8"/>
      <c r="I167" s="8"/>
      <c r="J167" s="9"/>
      <c r="K167" s="11" t="str">
        <f aca="false">IF(A167="","",SUMIFS(ChiTiet!$I$2:$I$2000,ChiTiet!$A$2:$A$2000,A167))</f>
        <v/>
      </c>
      <c r="L167" s="12"/>
      <c r="M167" s="11" t="str">
        <f aca="false">IF(A167="","",ROUND(K167*IF(L167="",0.08,L167),0))</f>
        <v/>
      </c>
      <c r="N167" s="11" t="str">
        <f aca="false">IF(A167="","",K167+M167)</f>
        <v/>
      </c>
      <c r="O167" s="11" t="str">
        <f aca="false">IF(A167="","",SUMIFS(ThuTien!$D$2:$D$2000,ThuTien!$B$2:$B$2000,A167))</f>
        <v/>
      </c>
      <c r="P167" s="11" t="str">
        <f aca="false">IF(A167="","",N167-O167)</f>
        <v/>
      </c>
      <c r="Q167" s="9"/>
      <c r="R167" s="10" t="str">
        <f aca="true">IF(A167="","",IF(AND(Q167&lt;&gt;"",P167&gt;0,TODAY()&gt;Q167),TODAY()-Q167,0))</f>
        <v/>
      </c>
      <c r="S167" s="10" t="str">
        <f aca="false">IF(A167="","",IF(N167=0,"Chưa có tiền hàng",IF(P167&lt;0,"Thu thừa",IF(P167=0,"Đã thu đủ",IF(O167&gt;0,"Thu một phần","Chưa thu")))))</f>
        <v/>
      </c>
      <c r="T167" s="10" t="str">
        <f aca="false">IF(A167="","",IF(AND(F167="Đã giao",H167&lt;&gt;"Đã xuất"),"Đã giao - CHƯA XUẤT HĐ",IF(AND(H167="Đã xuất",F167="Chưa giao"),"Đã xuất HĐ - chưa giao",IF(F167="","Chưa cập nhật giao hàng",IF(R167&gt;0,"Quá hạn "&amp;R167&amp;" ngày - đòi tiền",IF(P167&gt;0,"Chờ thu tiền",IF(P167&lt;0,"Kiểm tra thu thừa",IF(AND(F167="Đã giao",H167="Đã xuất"),"Hoàn tất","Theo dõi"))))))))</f>
        <v/>
      </c>
      <c r="U167" s="8"/>
    </row>
    <row r="168" customFormat="false" ht="15" hidden="false" customHeight="false" outlineLevel="0" collapsed="false">
      <c r="A168" s="8"/>
      <c r="B168" s="9"/>
      <c r="C168" s="8"/>
      <c r="D168" s="10" t="str">
        <f aca="false">IF(C168="","",IFERROR(VLOOKUP(C168,KhachHang!$A$2:$B$200,2,FALSE())&amp;"",""))</f>
        <v/>
      </c>
      <c r="E168" s="8"/>
      <c r="F168" s="8"/>
      <c r="G168" s="9"/>
      <c r="H168" s="8"/>
      <c r="I168" s="8"/>
      <c r="J168" s="9"/>
      <c r="K168" s="11" t="str">
        <f aca="false">IF(A168="","",SUMIFS(ChiTiet!$I$2:$I$2000,ChiTiet!$A$2:$A$2000,A168))</f>
        <v/>
      </c>
      <c r="L168" s="12"/>
      <c r="M168" s="11" t="str">
        <f aca="false">IF(A168="","",ROUND(K168*IF(L168="",0.08,L168),0))</f>
        <v/>
      </c>
      <c r="N168" s="11" t="str">
        <f aca="false">IF(A168="","",K168+M168)</f>
        <v/>
      </c>
      <c r="O168" s="11" t="str">
        <f aca="false">IF(A168="","",SUMIFS(ThuTien!$D$2:$D$2000,ThuTien!$B$2:$B$2000,A168))</f>
        <v/>
      </c>
      <c r="P168" s="11" t="str">
        <f aca="false">IF(A168="","",N168-O168)</f>
        <v/>
      </c>
      <c r="Q168" s="9"/>
      <c r="R168" s="10" t="str">
        <f aca="true">IF(A168="","",IF(AND(Q168&lt;&gt;"",P168&gt;0,TODAY()&gt;Q168),TODAY()-Q168,0))</f>
        <v/>
      </c>
      <c r="S168" s="10" t="str">
        <f aca="false">IF(A168="","",IF(N168=0,"Chưa có tiền hàng",IF(P168&lt;0,"Thu thừa",IF(P168=0,"Đã thu đủ",IF(O168&gt;0,"Thu một phần","Chưa thu")))))</f>
        <v/>
      </c>
      <c r="T168" s="10" t="str">
        <f aca="false">IF(A168="","",IF(AND(F168="Đã giao",H168&lt;&gt;"Đã xuất"),"Đã giao - CHƯA XUẤT HĐ",IF(AND(H168="Đã xuất",F168="Chưa giao"),"Đã xuất HĐ - chưa giao",IF(F168="","Chưa cập nhật giao hàng",IF(R168&gt;0,"Quá hạn "&amp;R168&amp;" ngày - đòi tiền",IF(P168&gt;0,"Chờ thu tiền",IF(P168&lt;0,"Kiểm tra thu thừa",IF(AND(F168="Đã giao",H168="Đã xuất"),"Hoàn tất","Theo dõi"))))))))</f>
        <v/>
      </c>
      <c r="U168" s="8"/>
    </row>
    <row r="169" customFormat="false" ht="15" hidden="false" customHeight="false" outlineLevel="0" collapsed="false">
      <c r="A169" s="8"/>
      <c r="B169" s="9"/>
      <c r="C169" s="8"/>
      <c r="D169" s="10" t="str">
        <f aca="false">IF(C169="","",IFERROR(VLOOKUP(C169,KhachHang!$A$2:$B$200,2,FALSE())&amp;"",""))</f>
        <v/>
      </c>
      <c r="E169" s="8"/>
      <c r="F169" s="8"/>
      <c r="G169" s="9"/>
      <c r="H169" s="8"/>
      <c r="I169" s="8"/>
      <c r="J169" s="9"/>
      <c r="K169" s="11" t="str">
        <f aca="false">IF(A169="","",SUMIFS(ChiTiet!$I$2:$I$2000,ChiTiet!$A$2:$A$2000,A169))</f>
        <v/>
      </c>
      <c r="L169" s="12"/>
      <c r="M169" s="11" t="str">
        <f aca="false">IF(A169="","",ROUND(K169*IF(L169="",0.08,L169),0))</f>
        <v/>
      </c>
      <c r="N169" s="11" t="str">
        <f aca="false">IF(A169="","",K169+M169)</f>
        <v/>
      </c>
      <c r="O169" s="11" t="str">
        <f aca="false">IF(A169="","",SUMIFS(ThuTien!$D$2:$D$2000,ThuTien!$B$2:$B$2000,A169))</f>
        <v/>
      </c>
      <c r="P169" s="11" t="str">
        <f aca="false">IF(A169="","",N169-O169)</f>
        <v/>
      </c>
      <c r="Q169" s="9"/>
      <c r="R169" s="10" t="str">
        <f aca="true">IF(A169="","",IF(AND(Q169&lt;&gt;"",P169&gt;0,TODAY()&gt;Q169),TODAY()-Q169,0))</f>
        <v/>
      </c>
      <c r="S169" s="10" t="str">
        <f aca="false">IF(A169="","",IF(N169=0,"Chưa có tiền hàng",IF(P169&lt;0,"Thu thừa",IF(P169=0,"Đã thu đủ",IF(O169&gt;0,"Thu một phần","Chưa thu")))))</f>
        <v/>
      </c>
      <c r="T169" s="10" t="str">
        <f aca="false">IF(A169="","",IF(AND(F169="Đã giao",H169&lt;&gt;"Đã xuất"),"Đã giao - CHƯA XUẤT HĐ",IF(AND(H169="Đã xuất",F169="Chưa giao"),"Đã xuất HĐ - chưa giao",IF(F169="","Chưa cập nhật giao hàng",IF(R169&gt;0,"Quá hạn "&amp;R169&amp;" ngày - đòi tiền",IF(P169&gt;0,"Chờ thu tiền",IF(P169&lt;0,"Kiểm tra thu thừa",IF(AND(F169="Đã giao",H169="Đã xuất"),"Hoàn tất","Theo dõi"))))))))</f>
        <v/>
      </c>
      <c r="U169" s="8"/>
    </row>
    <row r="170" customFormat="false" ht="15" hidden="false" customHeight="false" outlineLevel="0" collapsed="false">
      <c r="A170" s="8"/>
      <c r="B170" s="9"/>
      <c r="C170" s="8"/>
      <c r="D170" s="10" t="str">
        <f aca="false">IF(C170="","",IFERROR(VLOOKUP(C170,KhachHang!$A$2:$B$200,2,FALSE())&amp;"",""))</f>
        <v/>
      </c>
      <c r="E170" s="8"/>
      <c r="F170" s="8"/>
      <c r="G170" s="9"/>
      <c r="H170" s="8"/>
      <c r="I170" s="8"/>
      <c r="J170" s="9"/>
      <c r="K170" s="11" t="str">
        <f aca="false">IF(A170="","",SUMIFS(ChiTiet!$I$2:$I$2000,ChiTiet!$A$2:$A$2000,A170))</f>
        <v/>
      </c>
      <c r="L170" s="12"/>
      <c r="M170" s="11" t="str">
        <f aca="false">IF(A170="","",ROUND(K170*IF(L170="",0.08,L170),0))</f>
        <v/>
      </c>
      <c r="N170" s="11" t="str">
        <f aca="false">IF(A170="","",K170+M170)</f>
        <v/>
      </c>
      <c r="O170" s="11" t="str">
        <f aca="false">IF(A170="","",SUMIFS(ThuTien!$D$2:$D$2000,ThuTien!$B$2:$B$2000,A170))</f>
        <v/>
      </c>
      <c r="P170" s="11" t="str">
        <f aca="false">IF(A170="","",N170-O170)</f>
        <v/>
      </c>
      <c r="Q170" s="9"/>
      <c r="R170" s="10" t="str">
        <f aca="true">IF(A170="","",IF(AND(Q170&lt;&gt;"",P170&gt;0,TODAY()&gt;Q170),TODAY()-Q170,0))</f>
        <v/>
      </c>
      <c r="S170" s="10" t="str">
        <f aca="false">IF(A170="","",IF(N170=0,"Chưa có tiền hàng",IF(P170&lt;0,"Thu thừa",IF(P170=0,"Đã thu đủ",IF(O170&gt;0,"Thu một phần","Chưa thu")))))</f>
        <v/>
      </c>
      <c r="T170" s="10" t="str">
        <f aca="false">IF(A170="","",IF(AND(F170="Đã giao",H170&lt;&gt;"Đã xuất"),"Đã giao - CHƯA XUẤT HĐ",IF(AND(H170="Đã xuất",F170="Chưa giao"),"Đã xuất HĐ - chưa giao",IF(F170="","Chưa cập nhật giao hàng",IF(R170&gt;0,"Quá hạn "&amp;R170&amp;" ngày - đòi tiền",IF(P170&gt;0,"Chờ thu tiền",IF(P170&lt;0,"Kiểm tra thu thừa",IF(AND(F170="Đã giao",H170="Đã xuất"),"Hoàn tất","Theo dõi"))))))))</f>
        <v/>
      </c>
      <c r="U170" s="8"/>
    </row>
    <row r="171" customFormat="false" ht="15" hidden="false" customHeight="false" outlineLevel="0" collapsed="false">
      <c r="A171" s="8"/>
      <c r="B171" s="9"/>
      <c r="C171" s="8"/>
      <c r="D171" s="10" t="str">
        <f aca="false">IF(C171="","",IFERROR(VLOOKUP(C171,KhachHang!$A$2:$B$200,2,FALSE())&amp;"",""))</f>
        <v/>
      </c>
      <c r="E171" s="8"/>
      <c r="F171" s="8"/>
      <c r="G171" s="9"/>
      <c r="H171" s="8"/>
      <c r="I171" s="8"/>
      <c r="J171" s="9"/>
      <c r="K171" s="11" t="str">
        <f aca="false">IF(A171="","",SUMIFS(ChiTiet!$I$2:$I$2000,ChiTiet!$A$2:$A$2000,A171))</f>
        <v/>
      </c>
      <c r="L171" s="12"/>
      <c r="M171" s="11" t="str">
        <f aca="false">IF(A171="","",ROUND(K171*IF(L171="",0.08,L171),0))</f>
        <v/>
      </c>
      <c r="N171" s="11" t="str">
        <f aca="false">IF(A171="","",K171+M171)</f>
        <v/>
      </c>
      <c r="O171" s="11" t="str">
        <f aca="false">IF(A171="","",SUMIFS(ThuTien!$D$2:$D$2000,ThuTien!$B$2:$B$2000,A171))</f>
        <v/>
      </c>
      <c r="P171" s="11" t="str">
        <f aca="false">IF(A171="","",N171-O171)</f>
        <v/>
      </c>
      <c r="Q171" s="9"/>
      <c r="R171" s="10" t="str">
        <f aca="true">IF(A171="","",IF(AND(Q171&lt;&gt;"",P171&gt;0,TODAY()&gt;Q171),TODAY()-Q171,0))</f>
        <v/>
      </c>
      <c r="S171" s="10" t="str">
        <f aca="false">IF(A171="","",IF(N171=0,"Chưa có tiền hàng",IF(P171&lt;0,"Thu thừa",IF(P171=0,"Đã thu đủ",IF(O171&gt;0,"Thu một phần","Chưa thu")))))</f>
        <v/>
      </c>
      <c r="T171" s="10" t="str">
        <f aca="false">IF(A171="","",IF(AND(F171="Đã giao",H171&lt;&gt;"Đã xuất"),"Đã giao - CHƯA XUẤT HĐ",IF(AND(H171="Đã xuất",F171="Chưa giao"),"Đã xuất HĐ - chưa giao",IF(F171="","Chưa cập nhật giao hàng",IF(R171&gt;0,"Quá hạn "&amp;R171&amp;" ngày - đòi tiền",IF(P171&gt;0,"Chờ thu tiền",IF(P171&lt;0,"Kiểm tra thu thừa",IF(AND(F171="Đã giao",H171="Đã xuất"),"Hoàn tất","Theo dõi"))))))))</f>
        <v/>
      </c>
      <c r="U171" s="8"/>
    </row>
    <row r="172" customFormat="false" ht="15" hidden="false" customHeight="false" outlineLevel="0" collapsed="false">
      <c r="A172" s="8"/>
      <c r="B172" s="9"/>
      <c r="C172" s="8"/>
      <c r="D172" s="10" t="str">
        <f aca="false">IF(C172="","",IFERROR(VLOOKUP(C172,KhachHang!$A$2:$B$200,2,FALSE())&amp;"",""))</f>
        <v/>
      </c>
      <c r="E172" s="8"/>
      <c r="F172" s="8"/>
      <c r="G172" s="9"/>
      <c r="H172" s="8"/>
      <c r="I172" s="8"/>
      <c r="J172" s="9"/>
      <c r="K172" s="11" t="str">
        <f aca="false">IF(A172="","",SUMIFS(ChiTiet!$I$2:$I$2000,ChiTiet!$A$2:$A$2000,A172))</f>
        <v/>
      </c>
      <c r="L172" s="12"/>
      <c r="M172" s="11" t="str">
        <f aca="false">IF(A172="","",ROUND(K172*IF(L172="",0.08,L172),0))</f>
        <v/>
      </c>
      <c r="N172" s="11" t="str">
        <f aca="false">IF(A172="","",K172+M172)</f>
        <v/>
      </c>
      <c r="O172" s="11" t="str">
        <f aca="false">IF(A172="","",SUMIFS(ThuTien!$D$2:$D$2000,ThuTien!$B$2:$B$2000,A172))</f>
        <v/>
      </c>
      <c r="P172" s="11" t="str">
        <f aca="false">IF(A172="","",N172-O172)</f>
        <v/>
      </c>
      <c r="Q172" s="9"/>
      <c r="R172" s="10" t="str">
        <f aca="true">IF(A172="","",IF(AND(Q172&lt;&gt;"",P172&gt;0,TODAY()&gt;Q172),TODAY()-Q172,0))</f>
        <v/>
      </c>
      <c r="S172" s="10" t="str">
        <f aca="false">IF(A172="","",IF(N172=0,"Chưa có tiền hàng",IF(P172&lt;0,"Thu thừa",IF(P172=0,"Đã thu đủ",IF(O172&gt;0,"Thu một phần","Chưa thu")))))</f>
        <v/>
      </c>
      <c r="T172" s="10" t="str">
        <f aca="false">IF(A172="","",IF(AND(F172="Đã giao",H172&lt;&gt;"Đã xuất"),"Đã giao - CHƯA XUẤT HĐ",IF(AND(H172="Đã xuất",F172="Chưa giao"),"Đã xuất HĐ - chưa giao",IF(F172="","Chưa cập nhật giao hàng",IF(R172&gt;0,"Quá hạn "&amp;R172&amp;" ngày - đòi tiền",IF(P172&gt;0,"Chờ thu tiền",IF(P172&lt;0,"Kiểm tra thu thừa",IF(AND(F172="Đã giao",H172="Đã xuất"),"Hoàn tất","Theo dõi"))))))))</f>
        <v/>
      </c>
      <c r="U172" s="8"/>
    </row>
    <row r="173" customFormat="false" ht="15" hidden="false" customHeight="false" outlineLevel="0" collapsed="false">
      <c r="A173" s="8"/>
      <c r="B173" s="9"/>
      <c r="C173" s="8"/>
      <c r="D173" s="10" t="str">
        <f aca="false">IF(C173="","",IFERROR(VLOOKUP(C173,KhachHang!$A$2:$B$200,2,FALSE())&amp;"",""))</f>
        <v/>
      </c>
      <c r="E173" s="8"/>
      <c r="F173" s="8"/>
      <c r="G173" s="9"/>
      <c r="H173" s="8"/>
      <c r="I173" s="8"/>
      <c r="J173" s="9"/>
      <c r="K173" s="11" t="str">
        <f aca="false">IF(A173="","",SUMIFS(ChiTiet!$I$2:$I$2000,ChiTiet!$A$2:$A$2000,A173))</f>
        <v/>
      </c>
      <c r="L173" s="12"/>
      <c r="M173" s="11" t="str">
        <f aca="false">IF(A173="","",ROUND(K173*IF(L173="",0.08,L173),0))</f>
        <v/>
      </c>
      <c r="N173" s="11" t="str">
        <f aca="false">IF(A173="","",K173+M173)</f>
        <v/>
      </c>
      <c r="O173" s="11" t="str">
        <f aca="false">IF(A173="","",SUMIFS(ThuTien!$D$2:$D$2000,ThuTien!$B$2:$B$2000,A173))</f>
        <v/>
      </c>
      <c r="P173" s="11" t="str">
        <f aca="false">IF(A173="","",N173-O173)</f>
        <v/>
      </c>
      <c r="Q173" s="9"/>
      <c r="R173" s="10" t="str">
        <f aca="true">IF(A173="","",IF(AND(Q173&lt;&gt;"",P173&gt;0,TODAY()&gt;Q173),TODAY()-Q173,0))</f>
        <v/>
      </c>
      <c r="S173" s="10" t="str">
        <f aca="false">IF(A173="","",IF(N173=0,"Chưa có tiền hàng",IF(P173&lt;0,"Thu thừa",IF(P173=0,"Đã thu đủ",IF(O173&gt;0,"Thu một phần","Chưa thu")))))</f>
        <v/>
      </c>
      <c r="T173" s="10" t="str">
        <f aca="false">IF(A173="","",IF(AND(F173="Đã giao",H173&lt;&gt;"Đã xuất"),"Đã giao - CHƯA XUẤT HĐ",IF(AND(H173="Đã xuất",F173="Chưa giao"),"Đã xuất HĐ - chưa giao",IF(F173="","Chưa cập nhật giao hàng",IF(R173&gt;0,"Quá hạn "&amp;R173&amp;" ngày - đòi tiền",IF(P173&gt;0,"Chờ thu tiền",IF(P173&lt;0,"Kiểm tra thu thừa",IF(AND(F173="Đã giao",H173="Đã xuất"),"Hoàn tất","Theo dõi"))))))))</f>
        <v/>
      </c>
      <c r="U173" s="8"/>
    </row>
    <row r="174" customFormat="false" ht="15" hidden="false" customHeight="false" outlineLevel="0" collapsed="false">
      <c r="A174" s="8"/>
      <c r="B174" s="9"/>
      <c r="C174" s="8"/>
      <c r="D174" s="10" t="str">
        <f aca="false">IF(C174="","",IFERROR(VLOOKUP(C174,KhachHang!$A$2:$B$200,2,FALSE())&amp;"",""))</f>
        <v/>
      </c>
      <c r="E174" s="8"/>
      <c r="F174" s="8"/>
      <c r="G174" s="9"/>
      <c r="H174" s="8"/>
      <c r="I174" s="8"/>
      <c r="J174" s="9"/>
      <c r="K174" s="11" t="str">
        <f aca="false">IF(A174="","",SUMIFS(ChiTiet!$I$2:$I$2000,ChiTiet!$A$2:$A$2000,A174))</f>
        <v/>
      </c>
      <c r="L174" s="12"/>
      <c r="M174" s="11" t="str">
        <f aca="false">IF(A174="","",ROUND(K174*IF(L174="",0.08,L174),0))</f>
        <v/>
      </c>
      <c r="N174" s="11" t="str">
        <f aca="false">IF(A174="","",K174+M174)</f>
        <v/>
      </c>
      <c r="O174" s="11" t="str">
        <f aca="false">IF(A174="","",SUMIFS(ThuTien!$D$2:$D$2000,ThuTien!$B$2:$B$2000,A174))</f>
        <v/>
      </c>
      <c r="P174" s="11" t="str">
        <f aca="false">IF(A174="","",N174-O174)</f>
        <v/>
      </c>
      <c r="Q174" s="9"/>
      <c r="R174" s="10" t="str">
        <f aca="true">IF(A174="","",IF(AND(Q174&lt;&gt;"",P174&gt;0,TODAY()&gt;Q174),TODAY()-Q174,0))</f>
        <v/>
      </c>
      <c r="S174" s="10" t="str">
        <f aca="false">IF(A174="","",IF(N174=0,"Chưa có tiền hàng",IF(P174&lt;0,"Thu thừa",IF(P174=0,"Đã thu đủ",IF(O174&gt;0,"Thu một phần","Chưa thu")))))</f>
        <v/>
      </c>
      <c r="T174" s="10" t="str">
        <f aca="false">IF(A174="","",IF(AND(F174="Đã giao",H174&lt;&gt;"Đã xuất"),"Đã giao - CHƯA XUẤT HĐ",IF(AND(H174="Đã xuất",F174="Chưa giao"),"Đã xuất HĐ - chưa giao",IF(F174="","Chưa cập nhật giao hàng",IF(R174&gt;0,"Quá hạn "&amp;R174&amp;" ngày - đòi tiền",IF(P174&gt;0,"Chờ thu tiền",IF(P174&lt;0,"Kiểm tra thu thừa",IF(AND(F174="Đã giao",H174="Đã xuất"),"Hoàn tất","Theo dõi"))))))))</f>
        <v/>
      </c>
      <c r="U174" s="8"/>
    </row>
    <row r="175" customFormat="false" ht="15" hidden="false" customHeight="false" outlineLevel="0" collapsed="false">
      <c r="A175" s="8"/>
      <c r="B175" s="9"/>
      <c r="C175" s="8"/>
      <c r="D175" s="10" t="str">
        <f aca="false">IF(C175="","",IFERROR(VLOOKUP(C175,KhachHang!$A$2:$B$200,2,FALSE())&amp;"",""))</f>
        <v/>
      </c>
      <c r="E175" s="8"/>
      <c r="F175" s="8"/>
      <c r="G175" s="9"/>
      <c r="H175" s="8"/>
      <c r="I175" s="8"/>
      <c r="J175" s="9"/>
      <c r="K175" s="11" t="str">
        <f aca="false">IF(A175="","",SUMIFS(ChiTiet!$I$2:$I$2000,ChiTiet!$A$2:$A$2000,A175))</f>
        <v/>
      </c>
      <c r="L175" s="12"/>
      <c r="M175" s="11" t="str">
        <f aca="false">IF(A175="","",ROUND(K175*IF(L175="",0.08,L175),0))</f>
        <v/>
      </c>
      <c r="N175" s="11" t="str">
        <f aca="false">IF(A175="","",K175+M175)</f>
        <v/>
      </c>
      <c r="O175" s="11" t="str">
        <f aca="false">IF(A175="","",SUMIFS(ThuTien!$D$2:$D$2000,ThuTien!$B$2:$B$2000,A175))</f>
        <v/>
      </c>
      <c r="P175" s="11" t="str">
        <f aca="false">IF(A175="","",N175-O175)</f>
        <v/>
      </c>
      <c r="Q175" s="9"/>
      <c r="R175" s="10" t="str">
        <f aca="true">IF(A175="","",IF(AND(Q175&lt;&gt;"",P175&gt;0,TODAY()&gt;Q175),TODAY()-Q175,0))</f>
        <v/>
      </c>
      <c r="S175" s="10" t="str">
        <f aca="false">IF(A175="","",IF(N175=0,"Chưa có tiền hàng",IF(P175&lt;0,"Thu thừa",IF(P175=0,"Đã thu đủ",IF(O175&gt;0,"Thu một phần","Chưa thu")))))</f>
        <v/>
      </c>
      <c r="T175" s="10" t="str">
        <f aca="false">IF(A175="","",IF(AND(F175="Đã giao",H175&lt;&gt;"Đã xuất"),"Đã giao - CHƯA XUẤT HĐ",IF(AND(H175="Đã xuất",F175="Chưa giao"),"Đã xuất HĐ - chưa giao",IF(F175="","Chưa cập nhật giao hàng",IF(R175&gt;0,"Quá hạn "&amp;R175&amp;" ngày - đòi tiền",IF(P175&gt;0,"Chờ thu tiền",IF(P175&lt;0,"Kiểm tra thu thừa",IF(AND(F175="Đã giao",H175="Đã xuất"),"Hoàn tất","Theo dõi"))))))))</f>
        <v/>
      </c>
      <c r="U175" s="8"/>
    </row>
    <row r="176" customFormat="false" ht="15" hidden="false" customHeight="false" outlineLevel="0" collapsed="false">
      <c r="A176" s="8"/>
      <c r="B176" s="9"/>
      <c r="C176" s="8"/>
      <c r="D176" s="10" t="str">
        <f aca="false">IF(C176="","",IFERROR(VLOOKUP(C176,KhachHang!$A$2:$B$200,2,FALSE())&amp;"",""))</f>
        <v/>
      </c>
      <c r="E176" s="8"/>
      <c r="F176" s="8"/>
      <c r="G176" s="9"/>
      <c r="H176" s="8"/>
      <c r="I176" s="8"/>
      <c r="J176" s="9"/>
      <c r="K176" s="11" t="str">
        <f aca="false">IF(A176="","",SUMIFS(ChiTiet!$I$2:$I$2000,ChiTiet!$A$2:$A$2000,A176))</f>
        <v/>
      </c>
      <c r="L176" s="12"/>
      <c r="M176" s="11" t="str">
        <f aca="false">IF(A176="","",ROUND(K176*IF(L176="",0.08,L176),0))</f>
        <v/>
      </c>
      <c r="N176" s="11" t="str">
        <f aca="false">IF(A176="","",K176+M176)</f>
        <v/>
      </c>
      <c r="O176" s="11" t="str">
        <f aca="false">IF(A176="","",SUMIFS(ThuTien!$D$2:$D$2000,ThuTien!$B$2:$B$2000,A176))</f>
        <v/>
      </c>
      <c r="P176" s="11" t="str">
        <f aca="false">IF(A176="","",N176-O176)</f>
        <v/>
      </c>
      <c r="Q176" s="9"/>
      <c r="R176" s="10" t="str">
        <f aca="true">IF(A176="","",IF(AND(Q176&lt;&gt;"",P176&gt;0,TODAY()&gt;Q176),TODAY()-Q176,0))</f>
        <v/>
      </c>
      <c r="S176" s="10" t="str">
        <f aca="false">IF(A176="","",IF(N176=0,"Chưa có tiền hàng",IF(P176&lt;0,"Thu thừa",IF(P176=0,"Đã thu đủ",IF(O176&gt;0,"Thu một phần","Chưa thu")))))</f>
        <v/>
      </c>
      <c r="T176" s="10" t="str">
        <f aca="false">IF(A176="","",IF(AND(F176="Đã giao",H176&lt;&gt;"Đã xuất"),"Đã giao - CHƯA XUẤT HĐ",IF(AND(H176="Đã xuất",F176="Chưa giao"),"Đã xuất HĐ - chưa giao",IF(F176="","Chưa cập nhật giao hàng",IF(R176&gt;0,"Quá hạn "&amp;R176&amp;" ngày - đòi tiền",IF(P176&gt;0,"Chờ thu tiền",IF(P176&lt;0,"Kiểm tra thu thừa",IF(AND(F176="Đã giao",H176="Đã xuất"),"Hoàn tất","Theo dõi"))))))))</f>
        <v/>
      </c>
      <c r="U176" s="8"/>
    </row>
    <row r="177" customFormat="false" ht="15" hidden="false" customHeight="false" outlineLevel="0" collapsed="false">
      <c r="A177" s="8"/>
      <c r="B177" s="9"/>
      <c r="C177" s="8"/>
      <c r="D177" s="10" t="str">
        <f aca="false">IF(C177="","",IFERROR(VLOOKUP(C177,KhachHang!$A$2:$B$200,2,FALSE())&amp;"",""))</f>
        <v/>
      </c>
      <c r="E177" s="8"/>
      <c r="F177" s="8"/>
      <c r="G177" s="9"/>
      <c r="H177" s="8"/>
      <c r="I177" s="8"/>
      <c r="J177" s="9"/>
      <c r="K177" s="11" t="str">
        <f aca="false">IF(A177="","",SUMIFS(ChiTiet!$I$2:$I$2000,ChiTiet!$A$2:$A$2000,A177))</f>
        <v/>
      </c>
      <c r="L177" s="12"/>
      <c r="M177" s="11" t="str">
        <f aca="false">IF(A177="","",ROUND(K177*IF(L177="",0.08,L177),0))</f>
        <v/>
      </c>
      <c r="N177" s="11" t="str">
        <f aca="false">IF(A177="","",K177+M177)</f>
        <v/>
      </c>
      <c r="O177" s="11" t="str">
        <f aca="false">IF(A177="","",SUMIFS(ThuTien!$D$2:$D$2000,ThuTien!$B$2:$B$2000,A177))</f>
        <v/>
      </c>
      <c r="P177" s="11" t="str">
        <f aca="false">IF(A177="","",N177-O177)</f>
        <v/>
      </c>
      <c r="Q177" s="9"/>
      <c r="R177" s="10" t="str">
        <f aca="true">IF(A177="","",IF(AND(Q177&lt;&gt;"",P177&gt;0,TODAY()&gt;Q177),TODAY()-Q177,0))</f>
        <v/>
      </c>
      <c r="S177" s="10" t="str">
        <f aca="false">IF(A177="","",IF(N177=0,"Chưa có tiền hàng",IF(P177&lt;0,"Thu thừa",IF(P177=0,"Đã thu đủ",IF(O177&gt;0,"Thu một phần","Chưa thu")))))</f>
        <v/>
      </c>
      <c r="T177" s="10" t="str">
        <f aca="false">IF(A177="","",IF(AND(F177="Đã giao",H177&lt;&gt;"Đã xuất"),"Đã giao - CHƯA XUẤT HĐ",IF(AND(H177="Đã xuất",F177="Chưa giao"),"Đã xuất HĐ - chưa giao",IF(F177="","Chưa cập nhật giao hàng",IF(R177&gt;0,"Quá hạn "&amp;R177&amp;" ngày - đòi tiền",IF(P177&gt;0,"Chờ thu tiền",IF(P177&lt;0,"Kiểm tra thu thừa",IF(AND(F177="Đã giao",H177="Đã xuất"),"Hoàn tất","Theo dõi"))))))))</f>
        <v/>
      </c>
      <c r="U177" s="8"/>
    </row>
    <row r="178" customFormat="false" ht="15" hidden="false" customHeight="false" outlineLevel="0" collapsed="false">
      <c r="A178" s="8"/>
      <c r="B178" s="9"/>
      <c r="C178" s="8"/>
      <c r="D178" s="10" t="str">
        <f aca="false">IF(C178="","",IFERROR(VLOOKUP(C178,KhachHang!$A$2:$B$200,2,FALSE())&amp;"",""))</f>
        <v/>
      </c>
      <c r="E178" s="8"/>
      <c r="F178" s="8"/>
      <c r="G178" s="9"/>
      <c r="H178" s="8"/>
      <c r="I178" s="8"/>
      <c r="J178" s="9"/>
      <c r="K178" s="11" t="str">
        <f aca="false">IF(A178="","",SUMIFS(ChiTiet!$I$2:$I$2000,ChiTiet!$A$2:$A$2000,A178))</f>
        <v/>
      </c>
      <c r="L178" s="12"/>
      <c r="M178" s="11" t="str">
        <f aca="false">IF(A178="","",ROUND(K178*IF(L178="",0.08,L178),0))</f>
        <v/>
      </c>
      <c r="N178" s="11" t="str">
        <f aca="false">IF(A178="","",K178+M178)</f>
        <v/>
      </c>
      <c r="O178" s="11" t="str">
        <f aca="false">IF(A178="","",SUMIFS(ThuTien!$D$2:$D$2000,ThuTien!$B$2:$B$2000,A178))</f>
        <v/>
      </c>
      <c r="P178" s="11" t="str">
        <f aca="false">IF(A178="","",N178-O178)</f>
        <v/>
      </c>
      <c r="Q178" s="9"/>
      <c r="R178" s="10" t="str">
        <f aca="true">IF(A178="","",IF(AND(Q178&lt;&gt;"",P178&gt;0,TODAY()&gt;Q178),TODAY()-Q178,0))</f>
        <v/>
      </c>
      <c r="S178" s="10" t="str">
        <f aca="false">IF(A178="","",IF(N178=0,"Chưa có tiền hàng",IF(P178&lt;0,"Thu thừa",IF(P178=0,"Đã thu đủ",IF(O178&gt;0,"Thu một phần","Chưa thu")))))</f>
        <v/>
      </c>
      <c r="T178" s="10" t="str">
        <f aca="false">IF(A178="","",IF(AND(F178="Đã giao",H178&lt;&gt;"Đã xuất"),"Đã giao - CHƯA XUẤT HĐ",IF(AND(H178="Đã xuất",F178="Chưa giao"),"Đã xuất HĐ - chưa giao",IF(F178="","Chưa cập nhật giao hàng",IF(R178&gt;0,"Quá hạn "&amp;R178&amp;" ngày - đòi tiền",IF(P178&gt;0,"Chờ thu tiền",IF(P178&lt;0,"Kiểm tra thu thừa",IF(AND(F178="Đã giao",H178="Đã xuất"),"Hoàn tất","Theo dõi"))))))))</f>
        <v/>
      </c>
      <c r="U178" s="8"/>
    </row>
    <row r="179" customFormat="false" ht="15" hidden="false" customHeight="false" outlineLevel="0" collapsed="false">
      <c r="A179" s="8"/>
      <c r="B179" s="9"/>
      <c r="C179" s="8"/>
      <c r="D179" s="10" t="str">
        <f aca="false">IF(C179="","",IFERROR(VLOOKUP(C179,KhachHang!$A$2:$B$200,2,FALSE())&amp;"",""))</f>
        <v/>
      </c>
      <c r="E179" s="8"/>
      <c r="F179" s="8"/>
      <c r="G179" s="9"/>
      <c r="H179" s="8"/>
      <c r="I179" s="8"/>
      <c r="J179" s="9"/>
      <c r="K179" s="11" t="str">
        <f aca="false">IF(A179="","",SUMIFS(ChiTiet!$I$2:$I$2000,ChiTiet!$A$2:$A$2000,A179))</f>
        <v/>
      </c>
      <c r="L179" s="12"/>
      <c r="M179" s="11" t="str">
        <f aca="false">IF(A179="","",ROUND(K179*IF(L179="",0.08,L179),0))</f>
        <v/>
      </c>
      <c r="N179" s="11" t="str">
        <f aca="false">IF(A179="","",K179+M179)</f>
        <v/>
      </c>
      <c r="O179" s="11" t="str">
        <f aca="false">IF(A179="","",SUMIFS(ThuTien!$D$2:$D$2000,ThuTien!$B$2:$B$2000,A179))</f>
        <v/>
      </c>
      <c r="P179" s="11" t="str">
        <f aca="false">IF(A179="","",N179-O179)</f>
        <v/>
      </c>
      <c r="Q179" s="9"/>
      <c r="R179" s="10" t="str">
        <f aca="true">IF(A179="","",IF(AND(Q179&lt;&gt;"",P179&gt;0,TODAY()&gt;Q179),TODAY()-Q179,0))</f>
        <v/>
      </c>
      <c r="S179" s="10" t="str">
        <f aca="false">IF(A179="","",IF(N179=0,"Chưa có tiền hàng",IF(P179&lt;0,"Thu thừa",IF(P179=0,"Đã thu đủ",IF(O179&gt;0,"Thu một phần","Chưa thu")))))</f>
        <v/>
      </c>
      <c r="T179" s="10" t="str">
        <f aca="false">IF(A179="","",IF(AND(F179="Đã giao",H179&lt;&gt;"Đã xuất"),"Đã giao - CHƯA XUẤT HĐ",IF(AND(H179="Đã xuất",F179="Chưa giao"),"Đã xuất HĐ - chưa giao",IF(F179="","Chưa cập nhật giao hàng",IF(R179&gt;0,"Quá hạn "&amp;R179&amp;" ngày - đòi tiền",IF(P179&gt;0,"Chờ thu tiền",IF(P179&lt;0,"Kiểm tra thu thừa",IF(AND(F179="Đã giao",H179="Đã xuất"),"Hoàn tất","Theo dõi"))))))))</f>
        <v/>
      </c>
      <c r="U179" s="8"/>
    </row>
    <row r="180" customFormat="false" ht="15" hidden="false" customHeight="false" outlineLevel="0" collapsed="false">
      <c r="A180" s="8"/>
      <c r="B180" s="9"/>
      <c r="C180" s="8"/>
      <c r="D180" s="10" t="str">
        <f aca="false">IF(C180="","",IFERROR(VLOOKUP(C180,KhachHang!$A$2:$B$200,2,FALSE())&amp;"",""))</f>
        <v/>
      </c>
      <c r="E180" s="8"/>
      <c r="F180" s="8"/>
      <c r="G180" s="9"/>
      <c r="H180" s="8"/>
      <c r="I180" s="8"/>
      <c r="J180" s="9"/>
      <c r="K180" s="11" t="str">
        <f aca="false">IF(A180="","",SUMIFS(ChiTiet!$I$2:$I$2000,ChiTiet!$A$2:$A$2000,A180))</f>
        <v/>
      </c>
      <c r="L180" s="12"/>
      <c r="M180" s="11" t="str">
        <f aca="false">IF(A180="","",ROUND(K180*IF(L180="",0.08,L180),0))</f>
        <v/>
      </c>
      <c r="N180" s="11" t="str">
        <f aca="false">IF(A180="","",K180+M180)</f>
        <v/>
      </c>
      <c r="O180" s="11" t="str">
        <f aca="false">IF(A180="","",SUMIFS(ThuTien!$D$2:$D$2000,ThuTien!$B$2:$B$2000,A180))</f>
        <v/>
      </c>
      <c r="P180" s="11" t="str">
        <f aca="false">IF(A180="","",N180-O180)</f>
        <v/>
      </c>
      <c r="Q180" s="9"/>
      <c r="R180" s="10" t="str">
        <f aca="true">IF(A180="","",IF(AND(Q180&lt;&gt;"",P180&gt;0,TODAY()&gt;Q180),TODAY()-Q180,0))</f>
        <v/>
      </c>
      <c r="S180" s="10" t="str">
        <f aca="false">IF(A180="","",IF(N180=0,"Chưa có tiền hàng",IF(P180&lt;0,"Thu thừa",IF(P180=0,"Đã thu đủ",IF(O180&gt;0,"Thu một phần","Chưa thu")))))</f>
        <v/>
      </c>
      <c r="T180" s="10" t="str">
        <f aca="false">IF(A180="","",IF(AND(F180="Đã giao",H180&lt;&gt;"Đã xuất"),"Đã giao - CHƯA XUẤT HĐ",IF(AND(H180="Đã xuất",F180="Chưa giao"),"Đã xuất HĐ - chưa giao",IF(F180="","Chưa cập nhật giao hàng",IF(R180&gt;0,"Quá hạn "&amp;R180&amp;" ngày - đòi tiền",IF(P180&gt;0,"Chờ thu tiền",IF(P180&lt;0,"Kiểm tra thu thừa",IF(AND(F180="Đã giao",H180="Đã xuất"),"Hoàn tất","Theo dõi"))))))))</f>
        <v/>
      </c>
      <c r="U180" s="8"/>
    </row>
    <row r="181" customFormat="false" ht="15" hidden="false" customHeight="false" outlineLevel="0" collapsed="false">
      <c r="A181" s="8"/>
      <c r="B181" s="9"/>
      <c r="C181" s="8"/>
      <c r="D181" s="10" t="str">
        <f aca="false">IF(C181="","",IFERROR(VLOOKUP(C181,KhachHang!$A$2:$B$200,2,FALSE())&amp;"",""))</f>
        <v/>
      </c>
      <c r="E181" s="8"/>
      <c r="F181" s="8"/>
      <c r="G181" s="9"/>
      <c r="H181" s="8"/>
      <c r="I181" s="8"/>
      <c r="J181" s="9"/>
      <c r="K181" s="11" t="str">
        <f aca="false">IF(A181="","",SUMIFS(ChiTiet!$I$2:$I$2000,ChiTiet!$A$2:$A$2000,A181))</f>
        <v/>
      </c>
      <c r="L181" s="12"/>
      <c r="M181" s="11" t="str">
        <f aca="false">IF(A181="","",ROUND(K181*IF(L181="",0.08,L181),0))</f>
        <v/>
      </c>
      <c r="N181" s="11" t="str">
        <f aca="false">IF(A181="","",K181+M181)</f>
        <v/>
      </c>
      <c r="O181" s="11" t="str">
        <f aca="false">IF(A181="","",SUMIFS(ThuTien!$D$2:$D$2000,ThuTien!$B$2:$B$2000,A181))</f>
        <v/>
      </c>
      <c r="P181" s="11" t="str">
        <f aca="false">IF(A181="","",N181-O181)</f>
        <v/>
      </c>
      <c r="Q181" s="9"/>
      <c r="R181" s="10" t="str">
        <f aca="true">IF(A181="","",IF(AND(Q181&lt;&gt;"",P181&gt;0,TODAY()&gt;Q181),TODAY()-Q181,0))</f>
        <v/>
      </c>
      <c r="S181" s="10" t="str">
        <f aca="false">IF(A181="","",IF(N181=0,"Chưa có tiền hàng",IF(P181&lt;0,"Thu thừa",IF(P181=0,"Đã thu đủ",IF(O181&gt;0,"Thu một phần","Chưa thu")))))</f>
        <v/>
      </c>
      <c r="T181" s="10" t="str">
        <f aca="false">IF(A181="","",IF(AND(F181="Đã giao",H181&lt;&gt;"Đã xuất"),"Đã giao - CHƯA XUẤT HĐ",IF(AND(H181="Đã xuất",F181="Chưa giao"),"Đã xuất HĐ - chưa giao",IF(F181="","Chưa cập nhật giao hàng",IF(R181&gt;0,"Quá hạn "&amp;R181&amp;" ngày - đòi tiền",IF(P181&gt;0,"Chờ thu tiền",IF(P181&lt;0,"Kiểm tra thu thừa",IF(AND(F181="Đã giao",H181="Đã xuất"),"Hoàn tất","Theo dõi"))))))))</f>
        <v/>
      </c>
      <c r="U181" s="8"/>
    </row>
    <row r="182" customFormat="false" ht="15" hidden="false" customHeight="false" outlineLevel="0" collapsed="false">
      <c r="A182" s="8"/>
      <c r="B182" s="9"/>
      <c r="C182" s="8"/>
      <c r="D182" s="10" t="str">
        <f aca="false">IF(C182="","",IFERROR(VLOOKUP(C182,KhachHang!$A$2:$B$200,2,FALSE())&amp;"",""))</f>
        <v/>
      </c>
      <c r="E182" s="8"/>
      <c r="F182" s="8"/>
      <c r="G182" s="9"/>
      <c r="H182" s="8"/>
      <c r="I182" s="8"/>
      <c r="J182" s="9"/>
      <c r="K182" s="11" t="str">
        <f aca="false">IF(A182="","",SUMIFS(ChiTiet!$I$2:$I$2000,ChiTiet!$A$2:$A$2000,A182))</f>
        <v/>
      </c>
      <c r="L182" s="12"/>
      <c r="M182" s="11" t="str">
        <f aca="false">IF(A182="","",ROUND(K182*IF(L182="",0.08,L182),0))</f>
        <v/>
      </c>
      <c r="N182" s="11" t="str">
        <f aca="false">IF(A182="","",K182+M182)</f>
        <v/>
      </c>
      <c r="O182" s="11" t="str">
        <f aca="false">IF(A182="","",SUMIFS(ThuTien!$D$2:$D$2000,ThuTien!$B$2:$B$2000,A182))</f>
        <v/>
      </c>
      <c r="P182" s="11" t="str">
        <f aca="false">IF(A182="","",N182-O182)</f>
        <v/>
      </c>
      <c r="Q182" s="9"/>
      <c r="R182" s="10" t="str">
        <f aca="true">IF(A182="","",IF(AND(Q182&lt;&gt;"",P182&gt;0,TODAY()&gt;Q182),TODAY()-Q182,0))</f>
        <v/>
      </c>
      <c r="S182" s="10" t="str">
        <f aca="false">IF(A182="","",IF(N182=0,"Chưa có tiền hàng",IF(P182&lt;0,"Thu thừa",IF(P182=0,"Đã thu đủ",IF(O182&gt;0,"Thu một phần","Chưa thu")))))</f>
        <v/>
      </c>
      <c r="T182" s="10" t="str">
        <f aca="false">IF(A182="","",IF(AND(F182="Đã giao",H182&lt;&gt;"Đã xuất"),"Đã giao - CHƯA XUẤT HĐ",IF(AND(H182="Đã xuất",F182="Chưa giao"),"Đã xuất HĐ - chưa giao",IF(F182="","Chưa cập nhật giao hàng",IF(R182&gt;0,"Quá hạn "&amp;R182&amp;" ngày - đòi tiền",IF(P182&gt;0,"Chờ thu tiền",IF(P182&lt;0,"Kiểm tra thu thừa",IF(AND(F182="Đã giao",H182="Đã xuất"),"Hoàn tất","Theo dõi"))))))))</f>
        <v/>
      </c>
      <c r="U182" s="8"/>
    </row>
    <row r="183" customFormat="false" ht="15" hidden="false" customHeight="false" outlineLevel="0" collapsed="false">
      <c r="A183" s="8"/>
      <c r="B183" s="9"/>
      <c r="C183" s="8"/>
      <c r="D183" s="10" t="str">
        <f aca="false">IF(C183="","",IFERROR(VLOOKUP(C183,KhachHang!$A$2:$B$200,2,FALSE())&amp;"",""))</f>
        <v/>
      </c>
      <c r="E183" s="8"/>
      <c r="F183" s="8"/>
      <c r="G183" s="9"/>
      <c r="H183" s="8"/>
      <c r="I183" s="8"/>
      <c r="J183" s="9"/>
      <c r="K183" s="11" t="str">
        <f aca="false">IF(A183="","",SUMIFS(ChiTiet!$I$2:$I$2000,ChiTiet!$A$2:$A$2000,A183))</f>
        <v/>
      </c>
      <c r="L183" s="12"/>
      <c r="M183" s="11" t="str">
        <f aca="false">IF(A183="","",ROUND(K183*IF(L183="",0.08,L183),0))</f>
        <v/>
      </c>
      <c r="N183" s="11" t="str">
        <f aca="false">IF(A183="","",K183+M183)</f>
        <v/>
      </c>
      <c r="O183" s="11" t="str">
        <f aca="false">IF(A183="","",SUMIFS(ThuTien!$D$2:$D$2000,ThuTien!$B$2:$B$2000,A183))</f>
        <v/>
      </c>
      <c r="P183" s="11" t="str">
        <f aca="false">IF(A183="","",N183-O183)</f>
        <v/>
      </c>
      <c r="Q183" s="9"/>
      <c r="R183" s="10" t="str">
        <f aca="true">IF(A183="","",IF(AND(Q183&lt;&gt;"",P183&gt;0,TODAY()&gt;Q183),TODAY()-Q183,0))</f>
        <v/>
      </c>
      <c r="S183" s="10" t="str">
        <f aca="false">IF(A183="","",IF(N183=0,"Chưa có tiền hàng",IF(P183&lt;0,"Thu thừa",IF(P183=0,"Đã thu đủ",IF(O183&gt;0,"Thu một phần","Chưa thu")))))</f>
        <v/>
      </c>
      <c r="T183" s="10" t="str">
        <f aca="false">IF(A183="","",IF(AND(F183="Đã giao",H183&lt;&gt;"Đã xuất"),"Đã giao - CHƯA XUẤT HĐ",IF(AND(H183="Đã xuất",F183="Chưa giao"),"Đã xuất HĐ - chưa giao",IF(F183="","Chưa cập nhật giao hàng",IF(R183&gt;0,"Quá hạn "&amp;R183&amp;" ngày - đòi tiền",IF(P183&gt;0,"Chờ thu tiền",IF(P183&lt;0,"Kiểm tra thu thừa",IF(AND(F183="Đã giao",H183="Đã xuất"),"Hoàn tất","Theo dõi"))))))))</f>
        <v/>
      </c>
      <c r="U183" s="8"/>
    </row>
    <row r="184" customFormat="false" ht="15" hidden="false" customHeight="false" outlineLevel="0" collapsed="false">
      <c r="A184" s="8"/>
      <c r="B184" s="9"/>
      <c r="C184" s="8"/>
      <c r="D184" s="10" t="str">
        <f aca="false">IF(C184="","",IFERROR(VLOOKUP(C184,KhachHang!$A$2:$B$200,2,FALSE())&amp;"",""))</f>
        <v/>
      </c>
      <c r="E184" s="8"/>
      <c r="F184" s="8"/>
      <c r="G184" s="9"/>
      <c r="H184" s="8"/>
      <c r="I184" s="8"/>
      <c r="J184" s="9"/>
      <c r="K184" s="11" t="str">
        <f aca="false">IF(A184="","",SUMIFS(ChiTiet!$I$2:$I$2000,ChiTiet!$A$2:$A$2000,A184))</f>
        <v/>
      </c>
      <c r="L184" s="12"/>
      <c r="M184" s="11" t="str">
        <f aca="false">IF(A184="","",ROUND(K184*IF(L184="",0.08,L184),0))</f>
        <v/>
      </c>
      <c r="N184" s="11" t="str">
        <f aca="false">IF(A184="","",K184+M184)</f>
        <v/>
      </c>
      <c r="O184" s="11" t="str">
        <f aca="false">IF(A184="","",SUMIFS(ThuTien!$D$2:$D$2000,ThuTien!$B$2:$B$2000,A184))</f>
        <v/>
      </c>
      <c r="P184" s="11" t="str">
        <f aca="false">IF(A184="","",N184-O184)</f>
        <v/>
      </c>
      <c r="Q184" s="9"/>
      <c r="R184" s="10" t="str">
        <f aca="true">IF(A184="","",IF(AND(Q184&lt;&gt;"",P184&gt;0,TODAY()&gt;Q184),TODAY()-Q184,0))</f>
        <v/>
      </c>
      <c r="S184" s="10" t="str">
        <f aca="false">IF(A184="","",IF(N184=0,"Chưa có tiền hàng",IF(P184&lt;0,"Thu thừa",IF(P184=0,"Đã thu đủ",IF(O184&gt;0,"Thu một phần","Chưa thu")))))</f>
        <v/>
      </c>
      <c r="T184" s="10" t="str">
        <f aca="false">IF(A184="","",IF(AND(F184="Đã giao",H184&lt;&gt;"Đã xuất"),"Đã giao - CHƯA XUẤT HĐ",IF(AND(H184="Đã xuất",F184="Chưa giao"),"Đã xuất HĐ - chưa giao",IF(F184="","Chưa cập nhật giao hàng",IF(R184&gt;0,"Quá hạn "&amp;R184&amp;" ngày - đòi tiền",IF(P184&gt;0,"Chờ thu tiền",IF(P184&lt;0,"Kiểm tra thu thừa",IF(AND(F184="Đã giao",H184="Đã xuất"),"Hoàn tất","Theo dõi"))))))))</f>
        <v/>
      </c>
      <c r="U184" s="8"/>
    </row>
    <row r="185" customFormat="false" ht="15" hidden="false" customHeight="false" outlineLevel="0" collapsed="false">
      <c r="A185" s="8"/>
      <c r="B185" s="9"/>
      <c r="C185" s="8"/>
      <c r="D185" s="10" t="str">
        <f aca="false">IF(C185="","",IFERROR(VLOOKUP(C185,KhachHang!$A$2:$B$200,2,FALSE())&amp;"",""))</f>
        <v/>
      </c>
      <c r="E185" s="8"/>
      <c r="F185" s="8"/>
      <c r="G185" s="9"/>
      <c r="H185" s="8"/>
      <c r="I185" s="8"/>
      <c r="J185" s="9"/>
      <c r="K185" s="11" t="str">
        <f aca="false">IF(A185="","",SUMIFS(ChiTiet!$I$2:$I$2000,ChiTiet!$A$2:$A$2000,A185))</f>
        <v/>
      </c>
      <c r="L185" s="12"/>
      <c r="M185" s="11" t="str">
        <f aca="false">IF(A185="","",ROUND(K185*IF(L185="",0.08,L185),0))</f>
        <v/>
      </c>
      <c r="N185" s="11" t="str">
        <f aca="false">IF(A185="","",K185+M185)</f>
        <v/>
      </c>
      <c r="O185" s="11" t="str">
        <f aca="false">IF(A185="","",SUMIFS(ThuTien!$D$2:$D$2000,ThuTien!$B$2:$B$2000,A185))</f>
        <v/>
      </c>
      <c r="P185" s="11" t="str">
        <f aca="false">IF(A185="","",N185-O185)</f>
        <v/>
      </c>
      <c r="Q185" s="9"/>
      <c r="R185" s="10" t="str">
        <f aca="true">IF(A185="","",IF(AND(Q185&lt;&gt;"",P185&gt;0,TODAY()&gt;Q185),TODAY()-Q185,0))</f>
        <v/>
      </c>
      <c r="S185" s="10" t="str">
        <f aca="false">IF(A185="","",IF(N185=0,"Chưa có tiền hàng",IF(P185&lt;0,"Thu thừa",IF(P185=0,"Đã thu đủ",IF(O185&gt;0,"Thu một phần","Chưa thu")))))</f>
        <v/>
      </c>
      <c r="T185" s="10" t="str">
        <f aca="false">IF(A185="","",IF(AND(F185="Đã giao",H185&lt;&gt;"Đã xuất"),"Đã giao - CHƯA XUẤT HĐ",IF(AND(H185="Đã xuất",F185="Chưa giao"),"Đã xuất HĐ - chưa giao",IF(F185="","Chưa cập nhật giao hàng",IF(R185&gt;0,"Quá hạn "&amp;R185&amp;" ngày - đòi tiền",IF(P185&gt;0,"Chờ thu tiền",IF(P185&lt;0,"Kiểm tra thu thừa",IF(AND(F185="Đã giao",H185="Đã xuất"),"Hoàn tất","Theo dõi"))))))))</f>
        <v/>
      </c>
      <c r="U185" s="8"/>
    </row>
    <row r="186" customFormat="false" ht="15" hidden="false" customHeight="false" outlineLevel="0" collapsed="false">
      <c r="A186" s="8"/>
      <c r="B186" s="9"/>
      <c r="C186" s="8"/>
      <c r="D186" s="10" t="str">
        <f aca="false">IF(C186="","",IFERROR(VLOOKUP(C186,KhachHang!$A$2:$B$200,2,FALSE())&amp;"",""))</f>
        <v/>
      </c>
      <c r="E186" s="8"/>
      <c r="F186" s="8"/>
      <c r="G186" s="9"/>
      <c r="H186" s="8"/>
      <c r="I186" s="8"/>
      <c r="J186" s="9"/>
      <c r="K186" s="11" t="str">
        <f aca="false">IF(A186="","",SUMIFS(ChiTiet!$I$2:$I$2000,ChiTiet!$A$2:$A$2000,A186))</f>
        <v/>
      </c>
      <c r="L186" s="12"/>
      <c r="M186" s="11" t="str">
        <f aca="false">IF(A186="","",ROUND(K186*IF(L186="",0.08,L186),0))</f>
        <v/>
      </c>
      <c r="N186" s="11" t="str">
        <f aca="false">IF(A186="","",K186+M186)</f>
        <v/>
      </c>
      <c r="O186" s="11" t="str">
        <f aca="false">IF(A186="","",SUMIFS(ThuTien!$D$2:$D$2000,ThuTien!$B$2:$B$2000,A186))</f>
        <v/>
      </c>
      <c r="P186" s="11" t="str">
        <f aca="false">IF(A186="","",N186-O186)</f>
        <v/>
      </c>
      <c r="Q186" s="9"/>
      <c r="R186" s="10" t="str">
        <f aca="true">IF(A186="","",IF(AND(Q186&lt;&gt;"",P186&gt;0,TODAY()&gt;Q186),TODAY()-Q186,0))</f>
        <v/>
      </c>
      <c r="S186" s="10" t="str">
        <f aca="false">IF(A186="","",IF(N186=0,"Chưa có tiền hàng",IF(P186&lt;0,"Thu thừa",IF(P186=0,"Đã thu đủ",IF(O186&gt;0,"Thu một phần","Chưa thu")))))</f>
        <v/>
      </c>
      <c r="T186" s="10" t="str">
        <f aca="false">IF(A186="","",IF(AND(F186="Đã giao",H186&lt;&gt;"Đã xuất"),"Đã giao - CHƯA XUẤT HĐ",IF(AND(H186="Đã xuất",F186="Chưa giao"),"Đã xuất HĐ - chưa giao",IF(F186="","Chưa cập nhật giao hàng",IF(R186&gt;0,"Quá hạn "&amp;R186&amp;" ngày - đòi tiền",IF(P186&gt;0,"Chờ thu tiền",IF(P186&lt;0,"Kiểm tra thu thừa",IF(AND(F186="Đã giao",H186="Đã xuất"),"Hoàn tất","Theo dõi"))))))))</f>
        <v/>
      </c>
      <c r="U186" s="8"/>
    </row>
    <row r="187" customFormat="false" ht="15" hidden="false" customHeight="false" outlineLevel="0" collapsed="false">
      <c r="A187" s="8"/>
      <c r="B187" s="9"/>
      <c r="C187" s="8"/>
      <c r="D187" s="10" t="str">
        <f aca="false">IF(C187="","",IFERROR(VLOOKUP(C187,KhachHang!$A$2:$B$200,2,FALSE())&amp;"",""))</f>
        <v/>
      </c>
      <c r="E187" s="8"/>
      <c r="F187" s="8"/>
      <c r="G187" s="9"/>
      <c r="H187" s="8"/>
      <c r="I187" s="8"/>
      <c r="J187" s="9"/>
      <c r="K187" s="11" t="str">
        <f aca="false">IF(A187="","",SUMIFS(ChiTiet!$I$2:$I$2000,ChiTiet!$A$2:$A$2000,A187))</f>
        <v/>
      </c>
      <c r="L187" s="12"/>
      <c r="M187" s="11" t="str">
        <f aca="false">IF(A187="","",ROUND(K187*IF(L187="",0.08,L187),0))</f>
        <v/>
      </c>
      <c r="N187" s="11" t="str">
        <f aca="false">IF(A187="","",K187+M187)</f>
        <v/>
      </c>
      <c r="O187" s="11" t="str">
        <f aca="false">IF(A187="","",SUMIFS(ThuTien!$D$2:$D$2000,ThuTien!$B$2:$B$2000,A187))</f>
        <v/>
      </c>
      <c r="P187" s="11" t="str">
        <f aca="false">IF(A187="","",N187-O187)</f>
        <v/>
      </c>
      <c r="Q187" s="9"/>
      <c r="R187" s="10" t="str">
        <f aca="true">IF(A187="","",IF(AND(Q187&lt;&gt;"",P187&gt;0,TODAY()&gt;Q187),TODAY()-Q187,0))</f>
        <v/>
      </c>
      <c r="S187" s="10" t="str">
        <f aca="false">IF(A187="","",IF(N187=0,"Chưa có tiền hàng",IF(P187&lt;0,"Thu thừa",IF(P187=0,"Đã thu đủ",IF(O187&gt;0,"Thu một phần","Chưa thu")))))</f>
        <v/>
      </c>
      <c r="T187" s="10" t="str">
        <f aca="false">IF(A187="","",IF(AND(F187="Đã giao",H187&lt;&gt;"Đã xuất"),"Đã giao - CHƯA XUẤT HĐ",IF(AND(H187="Đã xuất",F187="Chưa giao"),"Đã xuất HĐ - chưa giao",IF(F187="","Chưa cập nhật giao hàng",IF(R187&gt;0,"Quá hạn "&amp;R187&amp;" ngày - đòi tiền",IF(P187&gt;0,"Chờ thu tiền",IF(P187&lt;0,"Kiểm tra thu thừa",IF(AND(F187="Đã giao",H187="Đã xuất"),"Hoàn tất","Theo dõi"))))))))</f>
        <v/>
      </c>
      <c r="U187" s="8"/>
    </row>
    <row r="188" customFormat="false" ht="15" hidden="false" customHeight="false" outlineLevel="0" collapsed="false">
      <c r="A188" s="8"/>
      <c r="B188" s="9"/>
      <c r="C188" s="8"/>
      <c r="D188" s="10" t="str">
        <f aca="false">IF(C188="","",IFERROR(VLOOKUP(C188,KhachHang!$A$2:$B$200,2,FALSE())&amp;"",""))</f>
        <v/>
      </c>
      <c r="E188" s="8"/>
      <c r="F188" s="8"/>
      <c r="G188" s="9"/>
      <c r="H188" s="8"/>
      <c r="I188" s="8"/>
      <c r="J188" s="9"/>
      <c r="K188" s="11" t="str">
        <f aca="false">IF(A188="","",SUMIFS(ChiTiet!$I$2:$I$2000,ChiTiet!$A$2:$A$2000,A188))</f>
        <v/>
      </c>
      <c r="L188" s="12"/>
      <c r="M188" s="11" t="str">
        <f aca="false">IF(A188="","",ROUND(K188*IF(L188="",0.08,L188),0))</f>
        <v/>
      </c>
      <c r="N188" s="11" t="str">
        <f aca="false">IF(A188="","",K188+M188)</f>
        <v/>
      </c>
      <c r="O188" s="11" t="str">
        <f aca="false">IF(A188="","",SUMIFS(ThuTien!$D$2:$D$2000,ThuTien!$B$2:$B$2000,A188))</f>
        <v/>
      </c>
      <c r="P188" s="11" t="str">
        <f aca="false">IF(A188="","",N188-O188)</f>
        <v/>
      </c>
      <c r="Q188" s="9"/>
      <c r="R188" s="10" t="str">
        <f aca="true">IF(A188="","",IF(AND(Q188&lt;&gt;"",P188&gt;0,TODAY()&gt;Q188),TODAY()-Q188,0))</f>
        <v/>
      </c>
      <c r="S188" s="10" t="str">
        <f aca="false">IF(A188="","",IF(N188=0,"Chưa có tiền hàng",IF(P188&lt;0,"Thu thừa",IF(P188=0,"Đã thu đủ",IF(O188&gt;0,"Thu một phần","Chưa thu")))))</f>
        <v/>
      </c>
      <c r="T188" s="10" t="str">
        <f aca="false">IF(A188="","",IF(AND(F188="Đã giao",H188&lt;&gt;"Đã xuất"),"Đã giao - CHƯA XUẤT HĐ",IF(AND(H188="Đã xuất",F188="Chưa giao"),"Đã xuất HĐ - chưa giao",IF(F188="","Chưa cập nhật giao hàng",IF(R188&gt;0,"Quá hạn "&amp;R188&amp;" ngày - đòi tiền",IF(P188&gt;0,"Chờ thu tiền",IF(P188&lt;0,"Kiểm tra thu thừa",IF(AND(F188="Đã giao",H188="Đã xuất"),"Hoàn tất","Theo dõi"))))))))</f>
        <v/>
      </c>
      <c r="U188" s="8"/>
    </row>
    <row r="189" customFormat="false" ht="15" hidden="false" customHeight="false" outlineLevel="0" collapsed="false">
      <c r="A189" s="8"/>
      <c r="B189" s="9"/>
      <c r="C189" s="8"/>
      <c r="D189" s="10" t="str">
        <f aca="false">IF(C189="","",IFERROR(VLOOKUP(C189,KhachHang!$A$2:$B$200,2,FALSE())&amp;"",""))</f>
        <v/>
      </c>
      <c r="E189" s="8"/>
      <c r="F189" s="8"/>
      <c r="G189" s="9"/>
      <c r="H189" s="8"/>
      <c r="I189" s="8"/>
      <c r="J189" s="9"/>
      <c r="K189" s="11" t="str">
        <f aca="false">IF(A189="","",SUMIFS(ChiTiet!$I$2:$I$2000,ChiTiet!$A$2:$A$2000,A189))</f>
        <v/>
      </c>
      <c r="L189" s="12"/>
      <c r="M189" s="11" t="str">
        <f aca="false">IF(A189="","",ROUND(K189*IF(L189="",0.08,L189),0))</f>
        <v/>
      </c>
      <c r="N189" s="11" t="str">
        <f aca="false">IF(A189="","",K189+M189)</f>
        <v/>
      </c>
      <c r="O189" s="11" t="str">
        <f aca="false">IF(A189="","",SUMIFS(ThuTien!$D$2:$D$2000,ThuTien!$B$2:$B$2000,A189))</f>
        <v/>
      </c>
      <c r="P189" s="11" t="str">
        <f aca="false">IF(A189="","",N189-O189)</f>
        <v/>
      </c>
      <c r="Q189" s="9"/>
      <c r="R189" s="10" t="str">
        <f aca="true">IF(A189="","",IF(AND(Q189&lt;&gt;"",P189&gt;0,TODAY()&gt;Q189),TODAY()-Q189,0))</f>
        <v/>
      </c>
      <c r="S189" s="10" t="str">
        <f aca="false">IF(A189="","",IF(N189=0,"Chưa có tiền hàng",IF(P189&lt;0,"Thu thừa",IF(P189=0,"Đã thu đủ",IF(O189&gt;0,"Thu một phần","Chưa thu")))))</f>
        <v/>
      </c>
      <c r="T189" s="10" t="str">
        <f aca="false">IF(A189="","",IF(AND(F189="Đã giao",H189&lt;&gt;"Đã xuất"),"Đã giao - CHƯA XUẤT HĐ",IF(AND(H189="Đã xuất",F189="Chưa giao"),"Đã xuất HĐ - chưa giao",IF(F189="","Chưa cập nhật giao hàng",IF(R189&gt;0,"Quá hạn "&amp;R189&amp;" ngày - đòi tiền",IF(P189&gt;0,"Chờ thu tiền",IF(P189&lt;0,"Kiểm tra thu thừa",IF(AND(F189="Đã giao",H189="Đã xuất"),"Hoàn tất","Theo dõi"))))))))</f>
        <v/>
      </c>
      <c r="U189" s="8"/>
    </row>
    <row r="190" customFormat="false" ht="15" hidden="false" customHeight="false" outlineLevel="0" collapsed="false">
      <c r="A190" s="8"/>
      <c r="B190" s="9"/>
      <c r="C190" s="8"/>
      <c r="D190" s="10" t="str">
        <f aca="false">IF(C190="","",IFERROR(VLOOKUP(C190,KhachHang!$A$2:$B$200,2,FALSE())&amp;"",""))</f>
        <v/>
      </c>
      <c r="E190" s="8"/>
      <c r="F190" s="8"/>
      <c r="G190" s="9"/>
      <c r="H190" s="8"/>
      <c r="I190" s="8"/>
      <c r="J190" s="9"/>
      <c r="K190" s="11" t="str">
        <f aca="false">IF(A190="","",SUMIFS(ChiTiet!$I$2:$I$2000,ChiTiet!$A$2:$A$2000,A190))</f>
        <v/>
      </c>
      <c r="L190" s="12"/>
      <c r="M190" s="11" t="str">
        <f aca="false">IF(A190="","",ROUND(K190*IF(L190="",0.08,L190),0))</f>
        <v/>
      </c>
      <c r="N190" s="11" t="str">
        <f aca="false">IF(A190="","",K190+M190)</f>
        <v/>
      </c>
      <c r="O190" s="11" t="str">
        <f aca="false">IF(A190="","",SUMIFS(ThuTien!$D$2:$D$2000,ThuTien!$B$2:$B$2000,A190))</f>
        <v/>
      </c>
      <c r="P190" s="11" t="str">
        <f aca="false">IF(A190="","",N190-O190)</f>
        <v/>
      </c>
      <c r="Q190" s="9"/>
      <c r="R190" s="10" t="str">
        <f aca="true">IF(A190="","",IF(AND(Q190&lt;&gt;"",P190&gt;0,TODAY()&gt;Q190),TODAY()-Q190,0))</f>
        <v/>
      </c>
      <c r="S190" s="10" t="str">
        <f aca="false">IF(A190="","",IF(N190=0,"Chưa có tiền hàng",IF(P190&lt;0,"Thu thừa",IF(P190=0,"Đã thu đủ",IF(O190&gt;0,"Thu một phần","Chưa thu")))))</f>
        <v/>
      </c>
      <c r="T190" s="10" t="str">
        <f aca="false">IF(A190="","",IF(AND(F190="Đã giao",H190&lt;&gt;"Đã xuất"),"Đã giao - CHƯA XUẤT HĐ",IF(AND(H190="Đã xuất",F190="Chưa giao"),"Đã xuất HĐ - chưa giao",IF(F190="","Chưa cập nhật giao hàng",IF(R190&gt;0,"Quá hạn "&amp;R190&amp;" ngày - đòi tiền",IF(P190&gt;0,"Chờ thu tiền",IF(P190&lt;0,"Kiểm tra thu thừa",IF(AND(F190="Đã giao",H190="Đã xuất"),"Hoàn tất","Theo dõi"))))))))</f>
        <v/>
      </c>
      <c r="U190" s="8"/>
    </row>
    <row r="191" customFormat="false" ht="15" hidden="false" customHeight="false" outlineLevel="0" collapsed="false">
      <c r="A191" s="8"/>
      <c r="B191" s="9"/>
      <c r="C191" s="8"/>
      <c r="D191" s="10" t="str">
        <f aca="false">IF(C191="","",IFERROR(VLOOKUP(C191,KhachHang!$A$2:$B$200,2,FALSE())&amp;"",""))</f>
        <v/>
      </c>
      <c r="E191" s="8"/>
      <c r="F191" s="8"/>
      <c r="G191" s="9"/>
      <c r="H191" s="8"/>
      <c r="I191" s="8"/>
      <c r="J191" s="9"/>
      <c r="K191" s="11" t="str">
        <f aca="false">IF(A191="","",SUMIFS(ChiTiet!$I$2:$I$2000,ChiTiet!$A$2:$A$2000,A191))</f>
        <v/>
      </c>
      <c r="L191" s="12"/>
      <c r="M191" s="11" t="str">
        <f aca="false">IF(A191="","",ROUND(K191*IF(L191="",0.08,L191),0))</f>
        <v/>
      </c>
      <c r="N191" s="11" t="str">
        <f aca="false">IF(A191="","",K191+M191)</f>
        <v/>
      </c>
      <c r="O191" s="11" t="str">
        <f aca="false">IF(A191="","",SUMIFS(ThuTien!$D$2:$D$2000,ThuTien!$B$2:$B$2000,A191))</f>
        <v/>
      </c>
      <c r="P191" s="11" t="str">
        <f aca="false">IF(A191="","",N191-O191)</f>
        <v/>
      </c>
      <c r="Q191" s="9"/>
      <c r="R191" s="10" t="str">
        <f aca="true">IF(A191="","",IF(AND(Q191&lt;&gt;"",P191&gt;0,TODAY()&gt;Q191),TODAY()-Q191,0))</f>
        <v/>
      </c>
      <c r="S191" s="10" t="str">
        <f aca="false">IF(A191="","",IF(N191=0,"Chưa có tiền hàng",IF(P191&lt;0,"Thu thừa",IF(P191=0,"Đã thu đủ",IF(O191&gt;0,"Thu một phần","Chưa thu")))))</f>
        <v/>
      </c>
      <c r="T191" s="10" t="str">
        <f aca="false">IF(A191="","",IF(AND(F191="Đã giao",H191&lt;&gt;"Đã xuất"),"Đã giao - CHƯA XUẤT HĐ",IF(AND(H191="Đã xuất",F191="Chưa giao"),"Đã xuất HĐ - chưa giao",IF(F191="","Chưa cập nhật giao hàng",IF(R191&gt;0,"Quá hạn "&amp;R191&amp;" ngày - đòi tiền",IF(P191&gt;0,"Chờ thu tiền",IF(P191&lt;0,"Kiểm tra thu thừa",IF(AND(F191="Đã giao",H191="Đã xuất"),"Hoàn tất","Theo dõi"))))))))</f>
        <v/>
      </c>
      <c r="U191" s="8"/>
    </row>
    <row r="192" customFormat="false" ht="15" hidden="false" customHeight="false" outlineLevel="0" collapsed="false">
      <c r="A192" s="8"/>
      <c r="B192" s="9"/>
      <c r="C192" s="8"/>
      <c r="D192" s="10" t="str">
        <f aca="false">IF(C192="","",IFERROR(VLOOKUP(C192,KhachHang!$A$2:$B$200,2,FALSE())&amp;"",""))</f>
        <v/>
      </c>
      <c r="E192" s="8"/>
      <c r="F192" s="8"/>
      <c r="G192" s="9"/>
      <c r="H192" s="8"/>
      <c r="I192" s="8"/>
      <c r="J192" s="9"/>
      <c r="K192" s="11" t="str">
        <f aca="false">IF(A192="","",SUMIFS(ChiTiet!$I$2:$I$2000,ChiTiet!$A$2:$A$2000,A192))</f>
        <v/>
      </c>
      <c r="L192" s="12"/>
      <c r="M192" s="11" t="str">
        <f aca="false">IF(A192="","",ROUND(K192*IF(L192="",0.08,L192),0))</f>
        <v/>
      </c>
      <c r="N192" s="11" t="str">
        <f aca="false">IF(A192="","",K192+M192)</f>
        <v/>
      </c>
      <c r="O192" s="11" t="str">
        <f aca="false">IF(A192="","",SUMIFS(ThuTien!$D$2:$D$2000,ThuTien!$B$2:$B$2000,A192))</f>
        <v/>
      </c>
      <c r="P192" s="11" t="str">
        <f aca="false">IF(A192="","",N192-O192)</f>
        <v/>
      </c>
      <c r="Q192" s="9"/>
      <c r="R192" s="10" t="str">
        <f aca="true">IF(A192="","",IF(AND(Q192&lt;&gt;"",P192&gt;0,TODAY()&gt;Q192),TODAY()-Q192,0))</f>
        <v/>
      </c>
      <c r="S192" s="10" t="str">
        <f aca="false">IF(A192="","",IF(N192=0,"Chưa có tiền hàng",IF(P192&lt;0,"Thu thừa",IF(P192=0,"Đã thu đủ",IF(O192&gt;0,"Thu một phần","Chưa thu")))))</f>
        <v/>
      </c>
      <c r="T192" s="10" t="str">
        <f aca="false">IF(A192="","",IF(AND(F192="Đã giao",H192&lt;&gt;"Đã xuất"),"Đã giao - CHƯA XUẤT HĐ",IF(AND(H192="Đã xuất",F192="Chưa giao"),"Đã xuất HĐ - chưa giao",IF(F192="","Chưa cập nhật giao hàng",IF(R192&gt;0,"Quá hạn "&amp;R192&amp;" ngày - đòi tiền",IF(P192&gt;0,"Chờ thu tiền",IF(P192&lt;0,"Kiểm tra thu thừa",IF(AND(F192="Đã giao",H192="Đã xuất"),"Hoàn tất","Theo dõi"))))))))</f>
        <v/>
      </c>
      <c r="U192" s="8"/>
    </row>
    <row r="193" customFormat="false" ht="15" hidden="false" customHeight="false" outlineLevel="0" collapsed="false">
      <c r="A193" s="8"/>
      <c r="B193" s="9"/>
      <c r="C193" s="8"/>
      <c r="D193" s="10" t="str">
        <f aca="false">IF(C193="","",IFERROR(VLOOKUP(C193,KhachHang!$A$2:$B$200,2,FALSE())&amp;"",""))</f>
        <v/>
      </c>
      <c r="E193" s="8"/>
      <c r="F193" s="8"/>
      <c r="G193" s="9"/>
      <c r="H193" s="8"/>
      <c r="I193" s="8"/>
      <c r="J193" s="9"/>
      <c r="K193" s="11" t="str">
        <f aca="false">IF(A193="","",SUMIFS(ChiTiet!$I$2:$I$2000,ChiTiet!$A$2:$A$2000,A193))</f>
        <v/>
      </c>
      <c r="L193" s="12"/>
      <c r="M193" s="11" t="str">
        <f aca="false">IF(A193="","",ROUND(K193*IF(L193="",0.08,L193),0))</f>
        <v/>
      </c>
      <c r="N193" s="11" t="str">
        <f aca="false">IF(A193="","",K193+M193)</f>
        <v/>
      </c>
      <c r="O193" s="11" t="str">
        <f aca="false">IF(A193="","",SUMIFS(ThuTien!$D$2:$D$2000,ThuTien!$B$2:$B$2000,A193))</f>
        <v/>
      </c>
      <c r="P193" s="11" t="str">
        <f aca="false">IF(A193="","",N193-O193)</f>
        <v/>
      </c>
      <c r="Q193" s="9"/>
      <c r="R193" s="10" t="str">
        <f aca="true">IF(A193="","",IF(AND(Q193&lt;&gt;"",P193&gt;0,TODAY()&gt;Q193),TODAY()-Q193,0))</f>
        <v/>
      </c>
      <c r="S193" s="10" t="str">
        <f aca="false">IF(A193="","",IF(N193=0,"Chưa có tiền hàng",IF(P193&lt;0,"Thu thừa",IF(P193=0,"Đã thu đủ",IF(O193&gt;0,"Thu một phần","Chưa thu")))))</f>
        <v/>
      </c>
      <c r="T193" s="10" t="str">
        <f aca="false">IF(A193="","",IF(AND(F193="Đã giao",H193&lt;&gt;"Đã xuất"),"Đã giao - CHƯA XUẤT HĐ",IF(AND(H193="Đã xuất",F193="Chưa giao"),"Đã xuất HĐ - chưa giao",IF(F193="","Chưa cập nhật giao hàng",IF(R193&gt;0,"Quá hạn "&amp;R193&amp;" ngày - đòi tiền",IF(P193&gt;0,"Chờ thu tiền",IF(P193&lt;0,"Kiểm tra thu thừa",IF(AND(F193="Đã giao",H193="Đã xuất"),"Hoàn tất","Theo dõi"))))))))</f>
        <v/>
      </c>
      <c r="U193" s="8"/>
    </row>
    <row r="194" customFormat="false" ht="15" hidden="false" customHeight="false" outlineLevel="0" collapsed="false">
      <c r="A194" s="8"/>
      <c r="B194" s="9"/>
      <c r="C194" s="8"/>
      <c r="D194" s="10" t="str">
        <f aca="false">IF(C194="","",IFERROR(VLOOKUP(C194,KhachHang!$A$2:$B$200,2,FALSE())&amp;"",""))</f>
        <v/>
      </c>
      <c r="E194" s="8"/>
      <c r="F194" s="8"/>
      <c r="G194" s="9"/>
      <c r="H194" s="8"/>
      <c r="I194" s="8"/>
      <c r="J194" s="9"/>
      <c r="K194" s="11" t="str">
        <f aca="false">IF(A194="","",SUMIFS(ChiTiet!$I$2:$I$2000,ChiTiet!$A$2:$A$2000,A194))</f>
        <v/>
      </c>
      <c r="L194" s="12"/>
      <c r="M194" s="11" t="str">
        <f aca="false">IF(A194="","",ROUND(K194*IF(L194="",0.08,L194),0))</f>
        <v/>
      </c>
      <c r="N194" s="11" t="str">
        <f aca="false">IF(A194="","",K194+M194)</f>
        <v/>
      </c>
      <c r="O194" s="11" t="str">
        <f aca="false">IF(A194="","",SUMIFS(ThuTien!$D$2:$D$2000,ThuTien!$B$2:$B$2000,A194))</f>
        <v/>
      </c>
      <c r="P194" s="11" t="str">
        <f aca="false">IF(A194="","",N194-O194)</f>
        <v/>
      </c>
      <c r="Q194" s="9"/>
      <c r="R194" s="10" t="str">
        <f aca="true">IF(A194="","",IF(AND(Q194&lt;&gt;"",P194&gt;0,TODAY()&gt;Q194),TODAY()-Q194,0))</f>
        <v/>
      </c>
      <c r="S194" s="10" t="str">
        <f aca="false">IF(A194="","",IF(N194=0,"Chưa có tiền hàng",IF(P194&lt;0,"Thu thừa",IF(P194=0,"Đã thu đủ",IF(O194&gt;0,"Thu một phần","Chưa thu")))))</f>
        <v/>
      </c>
      <c r="T194" s="10" t="str">
        <f aca="false">IF(A194="","",IF(AND(F194="Đã giao",H194&lt;&gt;"Đã xuất"),"Đã giao - CHƯA XUẤT HĐ",IF(AND(H194="Đã xuất",F194="Chưa giao"),"Đã xuất HĐ - chưa giao",IF(F194="","Chưa cập nhật giao hàng",IF(R194&gt;0,"Quá hạn "&amp;R194&amp;" ngày - đòi tiền",IF(P194&gt;0,"Chờ thu tiền",IF(P194&lt;0,"Kiểm tra thu thừa",IF(AND(F194="Đã giao",H194="Đã xuất"),"Hoàn tất","Theo dõi"))))))))</f>
        <v/>
      </c>
      <c r="U194" s="8"/>
    </row>
    <row r="195" customFormat="false" ht="15" hidden="false" customHeight="false" outlineLevel="0" collapsed="false">
      <c r="A195" s="8"/>
      <c r="B195" s="9"/>
      <c r="C195" s="8"/>
      <c r="D195" s="10" t="str">
        <f aca="false">IF(C195="","",IFERROR(VLOOKUP(C195,KhachHang!$A$2:$B$200,2,FALSE())&amp;"",""))</f>
        <v/>
      </c>
      <c r="E195" s="8"/>
      <c r="F195" s="8"/>
      <c r="G195" s="9"/>
      <c r="H195" s="8"/>
      <c r="I195" s="8"/>
      <c r="J195" s="9"/>
      <c r="K195" s="11" t="str">
        <f aca="false">IF(A195="","",SUMIFS(ChiTiet!$I$2:$I$2000,ChiTiet!$A$2:$A$2000,A195))</f>
        <v/>
      </c>
      <c r="L195" s="12"/>
      <c r="M195" s="11" t="str">
        <f aca="false">IF(A195="","",ROUND(K195*IF(L195="",0.08,L195),0))</f>
        <v/>
      </c>
      <c r="N195" s="11" t="str">
        <f aca="false">IF(A195="","",K195+M195)</f>
        <v/>
      </c>
      <c r="O195" s="11" t="str">
        <f aca="false">IF(A195="","",SUMIFS(ThuTien!$D$2:$D$2000,ThuTien!$B$2:$B$2000,A195))</f>
        <v/>
      </c>
      <c r="P195" s="11" t="str">
        <f aca="false">IF(A195="","",N195-O195)</f>
        <v/>
      </c>
      <c r="Q195" s="9"/>
      <c r="R195" s="10" t="str">
        <f aca="true">IF(A195="","",IF(AND(Q195&lt;&gt;"",P195&gt;0,TODAY()&gt;Q195),TODAY()-Q195,0))</f>
        <v/>
      </c>
      <c r="S195" s="10" t="str">
        <f aca="false">IF(A195="","",IF(N195=0,"Chưa có tiền hàng",IF(P195&lt;0,"Thu thừa",IF(P195=0,"Đã thu đủ",IF(O195&gt;0,"Thu một phần","Chưa thu")))))</f>
        <v/>
      </c>
      <c r="T195" s="10" t="str">
        <f aca="false">IF(A195="","",IF(AND(F195="Đã giao",H195&lt;&gt;"Đã xuất"),"Đã giao - CHƯA XUẤT HĐ",IF(AND(H195="Đã xuất",F195="Chưa giao"),"Đã xuất HĐ - chưa giao",IF(F195="","Chưa cập nhật giao hàng",IF(R195&gt;0,"Quá hạn "&amp;R195&amp;" ngày - đòi tiền",IF(P195&gt;0,"Chờ thu tiền",IF(P195&lt;0,"Kiểm tra thu thừa",IF(AND(F195="Đã giao",H195="Đã xuất"),"Hoàn tất","Theo dõi"))))))))</f>
        <v/>
      </c>
      <c r="U195" s="8"/>
    </row>
    <row r="196" customFormat="false" ht="15" hidden="false" customHeight="false" outlineLevel="0" collapsed="false">
      <c r="A196" s="8"/>
      <c r="B196" s="9"/>
      <c r="C196" s="8"/>
      <c r="D196" s="10" t="str">
        <f aca="false">IF(C196="","",IFERROR(VLOOKUP(C196,KhachHang!$A$2:$B$200,2,FALSE())&amp;"",""))</f>
        <v/>
      </c>
      <c r="E196" s="8"/>
      <c r="F196" s="8"/>
      <c r="G196" s="9"/>
      <c r="H196" s="8"/>
      <c r="I196" s="8"/>
      <c r="J196" s="9"/>
      <c r="K196" s="11" t="str">
        <f aca="false">IF(A196="","",SUMIFS(ChiTiet!$I$2:$I$2000,ChiTiet!$A$2:$A$2000,A196))</f>
        <v/>
      </c>
      <c r="L196" s="12"/>
      <c r="M196" s="11" t="str">
        <f aca="false">IF(A196="","",ROUND(K196*IF(L196="",0.08,L196),0))</f>
        <v/>
      </c>
      <c r="N196" s="11" t="str">
        <f aca="false">IF(A196="","",K196+M196)</f>
        <v/>
      </c>
      <c r="O196" s="11" t="str">
        <f aca="false">IF(A196="","",SUMIFS(ThuTien!$D$2:$D$2000,ThuTien!$B$2:$B$2000,A196))</f>
        <v/>
      </c>
      <c r="P196" s="11" t="str">
        <f aca="false">IF(A196="","",N196-O196)</f>
        <v/>
      </c>
      <c r="Q196" s="9"/>
      <c r="R196" s="10" t="str">
        <f aca="true">IF(A196="","",IF(AND(Q196&lt;&gt;"",P196&gt;0,TODAY()&gt;Q196),TODAY()-Q196,0))</f>
        <v/>
      </c>
      <c r="S196" s="10" t="str">
        <f aca="false">IF(A196="","",IF(N196=0,"Chưa có tiền hàng",IF(P196&lt;0,"Thu thừa",IF(P196=0,"Đã thu đủ",IF(O196&gt;0,"Thu một phần","Chưa thu")))))</f>
        <v/>
      </c>
      <c r="T196" s="10" t="str">
        <f aca="false">IF(A196="","",IF(AND(F196="Đã giao",H196&lt;&gt;"Đã xuất"),"Đã giao - CHƯA XUẤT HĐ",IF(AND(H196="Đã xuất",F196="Chưa giao"),"Đã xuất HĐ - chưa giao",IF(F196="","Chưa cập nhật giao hàng",IF(R196&gt;0,"Quá hạn "&amp;R196&amp;" ngày - đòi tiền",IF(P196&gt;0,"Chờ thu tiền",IF(P196&lt;0,"Kiểm tra thu thừa",IF(AND(F196="Đã giao",H196="Đã xuất"),"Hoàn tất","Theo dõi"))))))))</f>
        <v/>
      </c>
      <c r="U196" s="8"/>
    </row>
    <row r="197" customFormat="false" ht="15" hidden="false" customHeight="false" outlineLevel="0" collapsed="false">
      <c r="A197" s="8"/>
      <c r="B197" s="9"/>
      <c r="C197" s="8"/>
      <c r="D197" s="10" t="str">
        <f aca="false">IF(C197="","",IFERROR(VLOOKUP(C197,KhachHang!$A$2:$B$200,2,FALSE())&amp;"",""))</f>
        <v/>
      </c>
      <c r="E197" s="8"/>
      <c r="F197" s="8"/>
      <c r="G197" s="9"/>
      <c r="H197" s="8"/>
      <c r="I197" s="8"/>
      <c r="J197" s="9"/>
      <c r="K197" s="11" t="str">
        <f aca="false">IF(A197="","",SUMIFS(ChiTiet!$I$2:$I$2000,ChiTiet!$A$2:$A$2000,A197))</f>
        <v/>
      </c>
      <c r="L197" s="12"/>
      <c r="M197" s="11" t="str">
        <f aca="false">IF(A197="","",ROUND(K197*IF(L197="",0.08,L197),0))</f>
        <v/>
      </c>
      <c r="N197" s="11" t="str">
        <f aca="false">IF(A197="","",K197+M197)</f>
        <v/>
      </c>
      <c r="O197" s="11" t="str">
        <f aca="false">IF(A197="","",SUMIFS(ThuTien!$D$2:$D$2000,ThuTien!$B$2:$B$2000,A197))</f>
        <v/>
      </c>
      <c r="P197" s="11" t="str">
        <f aca="false">IF(A197="","",N197-O197)</f>
        <v/>
      </c>
      <c r="Q197" s="9"/>
      <c r="R197" s="10" t="str">
        <f aca="true">IF(A197="","",IF(AND(Q197&lt;&gt;"",P197&gt;0,TODAY()&gt;Q197),TODAY()-Q197,0))</f>
        <v/>
      </c>
      <c r="S197" s="10" t="str">
        <f aca="false">IF(A197="","",IF(N197=0,"Chưa có tiền hàng",IF(P197&lt;0,"Thu thừa",IF(P197=0,"Đã thu đủ",IF(O197&gt;0,"Thu một phần","Chưa thu")))))</f>
        <v/>
      </c>
      <c r="T197" s="10" t="str">
        <f aca="false">IF(A197="","",IF(AND(F197="Đã giao",H197&lt;&gt;"Đã xuất"),"Đã giao - CHƯA XUẤT HĐ",IF(AND(H197="Đã xuất",F197="Chưa giao"),"Đã xuất HĐ - chưa giao",IF(F197="","Chưa cập nhật giao hàng",IF(R197&gt;0,"Quá hạn "&amp;R197&amp;" ngày - đòi tiền",IF(P197&gt;0,"Chờ thu tiền",IF(P197&lt;0,"Kiểm tra thu thừa",IF(AND(F197="Đã giao",H197="Đã xuất"),"Hoàn tất","Theo dõi"))))))))</f>
        <v/>
      </c>
      <c r="U197" s="8"/>
    </row>
    <row r="198" customFormat="false" ht="15" hidden="false" customHeight="false" outlineLevel="0" collapsed="false">
      <c r="A198" s="8"/>
      <c r="B198" s="9"/>
      <c r="C198" s="8"/>
      <c r="D198" s="10" t="str">
        <f aca="false">IF(C198="","",IFERROR(VLOOKUP(C198,KhachHang!$A$2:$B$200,2,FALSE())&amp;"",""))</f>
        <v/>
      </c>
      <c r="E198" s="8"/>
      <c r="F198" s="8"/>
      <c r="G198" s="9"/>
      <c r="H198" s="8"/>
      <c r="I198" s="8"/>
      <c r="J198" s="9"/>
      <c r="K198" s="11" t="str">
        <f aca="false">IF(A198="","",SUMIFS(ChiTiet!$I$2:$I$2000,ChiTiet!$A$2:$A$2000,A198))</f>
        <v/>
      </c>
      <c r="L198" s="12"/>
      <c r="M198" s="11" t="str">
        <f aca="false">IF(A198="","",ROUND(K198*IF(L198="",0.08,L198),0))</f>
        <v/>
      </c>
      <c r="N198" s="11" t="str">
        <f aca="false">IF(A198="","",K198+M198)</f>
        <v/>
      </c>
      <c r="O198" s="11" t="str">
        <f aca="false">IF(A198="","",SUMIFS(ThuTien!$D$2:$D$2000,ThuTien!$B$2:$B$2000,A198))</f>
        <v/>
      </c>
      <c r="P198" s="11" t="str">
        <f aca="false">IF(A198="","",N198-O198)</f>
        <v/>
      </c>
      <c r="Q198" s="9"/>
      <c r="R198" s="10" t="str">
        <f aca="true">IF(A198="","",IF(AND(Q198&lt;&gt;"",P198&gt;0,TODAY()&gt;Q198),TODAY()-Q198,0))</f>
        <v/>
      </c>
      <c r="S198" s="10" t="str">
        <f aca="false">IF(A198="","",IF(N198=0,"Chưa có tiền hàng",IF(P198&lt;0,"Thu thừa",IF(P198=0,"Đã thu đủ",IF(O198&gt;0,"Thu một phần","Chưa thu")))))</f>
        <v/>
      </c>
      <c r="T198" s="10" t="str">
        <f aca="false">IF(A198="","",IF(AND(F198="Đã giao",H198&lt;&gt;"Đã xuất"),"Đã giao - CHƯA XUẤT HĐ",IF(AND(H198="Đã xuất",F198="Chưa giao"),"Đã xuất HĐ - chưa giao",IF(F198="","Chưa cập nhật giao hàng",IF(R198&gt;0,"Quá hạn "&amp;R198&amp;" ngày - đòi tiền",IF(P198&gt;0,"Chờ thu tiền",IF(P198&lt;0,"Kiểm tra thu thừa",IF(AND(F198="Đã giao",H198="Đã xuất"),"Hoàn tất","Theo dõi"))))))))</f>
        <v/>
      </c>
      <c r="U198" s="8"/>
    </row>
    <row r="199" customFormat="false" ht="15" hidden="false" customHeight="false" outlineLevel="0" collapsed="false">
      <c r="A199" s="8"/>
      <c r="B199" s="9"/>
      <c r="C199" s="8"/>
      <c r="D199" s="10" t="str">
        <f aca="false">IF(C199="","",IFERROR(VLOOKUP(C199,KhachHang!$A$2:$B$200,2,FALSE())&amp;"",""))</f>
        <v/>
      </c>
      <c r="E199" s="8"/>
      <c r="F199" s="8"/>
      <c r="G199" s="9"/>
      <c r="H199" s="8"/>
      <c r="I199" s="8"/>
      <c r="J199" s="9"/>
      <c r="K199" s="11" t="str">
        <f aca="false">IF(A199="","",SUMIFS(ChiTiet!$I$2:$I$2000,ChiTiet!$A$2:$A$2000,A199))</f>
        <v/>
      </c>
      <c r="L199" s="12"/>
      <c r="M199" s="11" t="str">
        <f aca="false">IF(A199="","",ROUND(K199*IF(L199="",0.08,L199),0))</f>
        <v/>
      </c>
      <c r="N199" s="11" t="str">
        <f aca="false">IF(A199="","",K199+M199)</f>
        <v/>
      </c>
      <c r="O199" s="11" t="str">
        <f aca="false">IF(A199="","",SUMIFS(ThuTien!$D$2:$D$2000,ThuTien!$B$2:$B$2000,A199))</f>
        <v/>
      </c>
      <c r="P199" s="11" t="str">
        <f aca="false">IF(A199="","",N199-O199)</f>
        <v/>
      </c>
      <c r="Q199" s="9"/>
      <c r="R199" s="10" t="str">
        <f aca="true">IF(A199="","",IF(AND(Q199&lt;&gt;"",P199&gt;0,TODAY()&gt;Q199),TODAY()-Q199,0))</f>
        <v/>
      </c>
      <c r="S199" s="10" t="str">
        <f aca="false">IF(A199="","",IF(N199=0,"Chưa có tiền hàng",IF(P199&lt;0,"Thu thừa",IF(P199=0,"Đã thu đủ",IF(O199&gt;0,"Thu một phần","Chưa thu")))))</f>
        <v/>
      </c>
      <c r="T199" s="10" t="str">
        <f aca="false">IF(A199="","",IF(AND(F199="Đã giao",H199&lt;&gt;"Đã xuất"),"Đã giao - CHƯA XUẤT HĐ",IF(AND(H199="Đã xuất",F199="Chưa giao"),"Đã xuất HĐ - chưa giao",IF(F199="","Chưa cập nhật giao hàng",IF(R199&gt;0,"Quá hạn "&amp;R199&amp;" ngày - đòi tiền",IF(P199&gt;0,"Chờ thu tiền",IF(P199&lt;0,"Kiểm tra thu thừa",IF(AND(F199="Đã giao",H199="Đã xuất"),"Hoàn tất","Theo dõi"))))))))</f>
        <v/>
      </c>
      <c r="U199" s="8"/>
    </row>
    <row r="200" customFormat="false" ht="15" hidden="false" customHeight="false" outlineLevel="0" collapsed="false">
      <c r="A200" s="8"/>
      <c r="B200" s="9"/>
      <c r="C200" s="8"/>
      <c r="D200" s="10" t="str">
        <f aca="false">IF(C200="","",IFERROR(VLOOKUP(C200,KhachHang!$A$2:$B$200,2,FALSE())&amp;"",""))</f>
        <v/>
      </c>
      <c r="E200" s="8"/>
      <c r="F200" s="8"/>
      <c r="G200" s="9"/>
      <c r="H200" s="8"/>
      <c r="I200" s="8"/>
      <c r="J200" s="9"/>
      <c r="K200" s="11" t="str">
        <f aca="false">IF(A200="","",SUMIFS(ChiTiet!$I$2:$I$2000,ChiTiet!$A$2:$A$2000,A200))</f>
        <v/>
      </c>
      <c r="L200" s="12"/>
      <c r="M200" s="11" t="str">
        <f aca="false">IF(A200="","",ROUND(K200*IF(L200="",0.08,L200),0))</f>
        <v/>
      </c>
      <c r="N200" s="11" t="str">
        <f aca="false">IF(A200="","",K200+M200)</f>
        <v/>
      </c>
      <c r="O200" s="11" t="str">
        <f aca="false">IF(A200="","",SUMIFS(ThuTien!$D$2:$D$2000,ThuTien!$B$2:$B$2000,A200))</f>
        <v/>
      </c>
      <c r="P200" s="11" t="str">
        <f aca="false">IF(A200="","",N200-O200)</f>
        <v/>
      </c>
      <c r="Q200" s="9"/>
      <c r="R200" s="10" t="str">
        <f aca="true">IF(A200="","",IF(AND(Q200&lt;&gt;"",P200&gt;0,TODAY()&gt;Q200),TODAY()-Q200,0))</f>
        <v/>
      </c>
      <c r="S200" s="10" t="str">
        <f aca="false">IF(A200="","",IF(N200=0,"Chưa có tiền hàng",IF(P200&lt;0,"Thu thừa",IF(P200=0,"Đã thu đủ",IF(O200&gt;0,"Thu một phần","Chưa thu")))))</f>
        <v/>
      </c>
      <c r="T200" s="10" t="str">
        <f aca="false">IF(A200="","",IF(AND(F200="Đã giao",H200&lt;&gt;"Đã xuất"),"Đã giao - CHƯA XUẤT HĐ",IF(AND(H200="Đã xuất",F200="Chưa giao"),"Đã xuất HĐ - chưa giao",IF(F200="","Chưa cập nhật giao hàng",IF(R200&gt;0,"Quá hạn "&amp;R200&amp;" ngày - đòi tiền",IF(P200&gt;0,"Chờ thu tiền",IF(P200&lt;0,"Kiểm tra thu thừa",IF(AND(F200="Đã giao",H200="Đã xuất"),"Hoàn tất","Theo dõi"))))))))</f>
        <v/>
      </c>
      <c r="U200" s="8"/>
    </row>
    <row r="201" customFormat="false" ht="15" hidden="false" customHeight="false" outlineLevel="0" collapsed="false">
      <c r="A201" s="8"/>
      <c r="B201" s="9"/>
      <c r="C201" s="8"/>
      <c r="D201" s="10" t="str">
        <f aca="false">IF(C201="","",IFERROR(VLOOKUP(C201,KhachHang!$A$2:$B$200,2,FALSE())&amp;"",""))</f>
        <v/>
      </c>
      <c r="E201" s="8"/>
      <c r="F201" s="8"/>
      <c r="G201" s="9"/>
      <c r="H201" s="8"/>
      <c r="I201" s="8"/>
      <c r="J201" s="9"/>
      <c r="K201" s="11" t="str">
        <f aca="false">IF(A201="","",SUMIFS(ChiTiet!$I$2:$I$2000,ChiTiet!$A$2:$A$2000,A201))</f>
        <v/>
      </c>
      <c r="L201" s="12"/>
      <c r="M201" s="11" t="str">
        <f aca="false">IF(A201="","",ROUND(K201*IF(L201="",0.08,L201),0))</f>
        <v/>
      </c>
      <c r="N201" s="11" t="str">
        <f aca="false">IF(A201="","",K201+M201)</f>
        <v/>
      </c>
      <c r="O201" s="11" t="str">
        <f aca="false">IF(A201="","",SUMIFS(ThuTien!$D$2:$D$2000,ThuTien!$B$2:$B$2000,A201))</f>
        <v/>
      </c>
      <c r="P201" s="11" t="str">
        <f aca="false">IF(A201="","",N201-O201)</f>
        <v/>
      </c>
      <c r="Q201" s="9"/>
      <c r="R201" s="10" t="str">
        <f aca="true">IF(A201="","",IF(AND(Q201&lt;&gt;"",P201&gt;0,TODAY()&gt;Q201),TODAY()-Q201,0))</f>
        <v/>
      </c>
      <c r="S201" s="10" t="str">
        <f aca="false">IF(A201="","",IF(N201=0,"Chưa có tiền hàng",IF(P201&lt;0,"Thu thừa",IF(P201=0,"Đã thu đủ",IF(O201&gt;0,"Thu một phần","Chưa thu")))))</f>
        <v/>
      </c>
      <c r="T201" s="10" t="str">
        <f aca="false">IF(A201="","",IF(AND(F201="Đã giao",H201&lt;&gt;"Đã xuất"),"Đã giao - CHƯA XUẤT HĐ",IF(AND(H201="Đã xuất",F201="Chưa giao"),"Đã xuất HĐ - chưa giao",IF(F201="","Chưa cập nhật giao hàng",IF(R201&gt;0,"Quá hạn "&amp;R201&amp;" ngày - đòi tiền",IF(P201&gt;0,"Chờ thu tiền",IF(P201&lt;0,"Kiểm tra thu thừa",IF(AND(F201="Đã giao",H201="Đã xuất"),"Hoàn tất","Theo dõi"))))))))</f>
        <v/>
      </c>
      <c r="U201" s="8"/>
    </row>
    <row r="202" customFormat="false" ht="15" hidden="false" customHeight="false" outlineLevel="0" collapsed="false">
      <c r="A202" s="8"/>
      <c r="B202" s="9"/>
      <c r="C202" s="8"/>
      <c r="D202" s="10" t="str">
        <f aca="false">IF(C202="","",IFERROR(VLOOKUP(C202,KhachHang!$A$2:$B$200,2,FALSE())&amp;"",""))</f>
        <v/>
      </c>
      <c r="E202" s="8"/>
      <c r="F202" s="8"/>
      <c r="G202" s="9"/>
      <c r="H202" s="8"/>
      <c r="I202" s="8"/>
      <c r="J202" s="9"/>
      <c r="K202" s="11" t="str">
        <f aca="false">IF(A202="","",SUMIFS(ChiTiet!$I$2:$I$2000,ChiTiet!$A$2:$A$2000,A202))</f>
        <v/>
      </c>
      <c r="L202" s="12"/>
      <c r="M202" s="11" t="str">
        <f aca="false">IF(A202="","",ROUND(K202*IF(L202="",0.08,L202),0))</f>
        <v/>
      </c>
      <c r="N202" s="11" t="str">
        <f aca="false">IF(A202="","",K202+M202)</f>
        <v/>
      </c>
      <c r="O202" s="11" t="str">
        <f aca="false">IF(A202="","",SUMIFS(ThuTien!$D$2:$D$2000,ThuTien!$B$2:$B$2000,A202))</f>
        <v/>
      </c>
      <c r="P202" s="11" t="str">
        <f aca="false">IF(A202="","",N202-O202)</f>
        <v/>
      </c>
      <c r="Q202" s="9"/>
      <c r="R202" s="10" t="str">
        <f aca="true">IF(A202="","",IF(AND(Q202&lt;&gt;"",P202&gt;0,TODAY()&gt;Q202),TODAY()-Q202,0))</f>
        <v/>
      </c>
      <c r="S202" s="10" t="str">
        <f aca="false">IF(A202="","",IF(N202=0,"Chưa có tiền hàng",IF(P202&lt;0,"Thu thừa",IF(P202=0,"Đã thu đủ",IF(O202&gt;0,"Thu một phần","Chưa thu")))))</f>
        <v/>
      </c>
      <c r="T202" s="10" t="str">
        <f aca="false">IF(A202="","",IF(AND(F202="Đã giao",H202&lt;&gt;"Đã xuất"),"Đã giao - CHƯA XUẤT HĐ",IF(AND(H202="Đã xuất",F202="Chưa giao"),"Đã xuất HĐ - chưa giao",IF(F202="","Chưa cập nhật giao hàng",IF(R202&gt;0,"Quá hạn "&amp;R202&amp;" ngày - đòi tiền",IF(P202&gt;0,"Chờ thu tiền",IF(P202&lt;0,"Kiểm tra thu thừa",IF(AND(F202="Đã giao",H202="Đã xuất"),"Hoàn tất","Theo dõi"))))))))</f>
        <v/>
      </c>
      <c r="U202" s="8"/>
    </row>
    <row r="203" customFormat="false" ht="15" hidden="false" customHeight="false" outlineLevel="0" collapsed="false">
      <c r="A203" s="8"/>
      <c r="B203" s="9"/>
      <c r="C203" s="8"/>
      <c r="D203" s="10" t="str">
        <f aca="false">IF(C203="","",IFERROR(VLOOKUP(C203,KhachHang!$A$2:$B$200,2,FALSE())&amp;"",""))</f>
        <v/>
      </c>
      <c r="E203" s="8"/>
      <c r="F203" s="8"/>
      <c r="G203" s="9"/>
      <c r="H203" s="8"/>
      <c r="I203" s="8"/>
      <c r="J203" s="9"/>
      <c r="K203" s="11" t="str">
        <f aca="false">IF(A203="","",SUMIFS(ChiTiet!$I$2:$I$2000,ChiTiet!$A$2:$A$2000,A203))</f>
        <v/>
      </c>
      <c r="L203" s="12"/>
      <c r="M203" s="11" t="str">
        <f aca="false">IF(A203="","",ROUND(K203*IF(L203="",0.08,L203),0))</f>
        <v/>
      </c>
      <c r="N203" s="11" t="str">
        <f aca="false">IF(A203="","",K203+M203)</f>
        <v/>
      </c>
      <c r="O203" s="11" t="str">
        <f aca="false">IF(A203="","",SUMIFS(ThuTien!$D$2:$D$2000,ThuTien!$B$2:$B$2000,A203))</f>
        <v/>
      </c>
      <c r="P203" s="11" t="str">
        <f aca="false">IF(A203="","",N203-O203)</f>
        <v/>
      </c>
      <c r="Q203" s="9"/>
      <c r="R203" s="10" t="str">
        <f aca="true">IF(A203="","",IF(AND(Q203&lt;&gt;"",P203&gt;0,TODAY()&gt;Q203),TODAY()-Q203,0))</f>
        <v/>
      </c>
      <c r="S203" s="10" t="str">
        <f aca="false">IF(A203="","",IF(N203=0,"Chưa có tiền hàng",IF(P203&lt;0,"Thu thừa",IF(P203=0,"Đã thu đủ",IF(O203&gt;0,"Thu một phần","Chưa thu")))))</f>
        <v/>
      </c>
      <c r="T203" s="10" t="str">
        <f aca="false">IF(A203="","",IF(AND(F203="Đã giao",H203&lt;&gt;"Đã xuất"),"Đã giao - CHƯA XUẤT HĐ",IF(AND(H203="Đã xuất",F203="Chưa giao"),"Đã xuất HĐ - chưa giao",IF(F203="","Chưa cập nhật giao hàng",IF(R203&gt;0,"Quá hạn "&amp;R203&amp;" ngày - đòi tiền",IF(P203&gt;0,"Chờ thu tiền",IF(P203&lt;0,"Kiểm tra thu thừa",IF(AND(F203="Đã giao",H203="Đã xuất"),"Hoàn tất","Theo dõi"))))))))</f>
        <v/>
      </c>
      <c r="U203" s="8"/>
    </row>
    <row r="204" customFormat="false" ht="15" hidden="false" customHeight="false" outlineLevel="0" collapsed="false">
      <c r="A204" s="8"/>
      <c r="B204" s="9"/>
      <c r="C204" s="8"/>
      <c r="D204" s="10" t="str">
        <f aca="false">IF(C204="","",IFERROR(VLOOKUP(C204,KhachHang!$A$2:$B$200,2,FALSE())&amp;"",""))</f>
        <v/>
      </c>
      <c r="E204" s="8"/>
      <c r="F204" s="8"/>
      <c r="G204" s="9"/>
      <c r="H204" s="8"/>
      <c r="I204" s="8"/>
      <c r="J204" s="9"/>
      <c r="K204" s="11" t="str">
        <f aca="false">IF(A204="","",SUMIFS(ChiTiet!$I$2:$I$2000,ChiTiet!$A$2:$A$2000,A204))</f>
        <v/>
      </c>
      <c r="L204" s="12"/>
      <c r="M204" s="11" t="str">
        <f aca="false">IF(A204="","",ROUND(K204*IF(L204="",0.08,L204),0))</f>
        <v/>
      </c>
      <c r="N204" s="11" t="str">
        <f aca="false">IF(A204="","",K204+M204)</f>
        <v/>
      </c>
      <c r="O204" s="11" t="str">
        <f aca="false">IF(A204="","",SUMIFS(ThuTien!$D$2:$D$2000,ThuTien!$B$2:$B$2000,A204))</f>
        <v/>
      </c>
      <c r="P204" s="11" t="str">
        <f aca="false">IF(A204="","",N204-O204)</f>
        <v/>
      </c>
      <c r="Q204" s="9"/>
      <c r="R204" s="10" t="str">
        <f aca="true">IF(A204="","",IF(AND(Q204&lt;&gt;"",P204&gt;0,TODAY()&gt;Q204),TODAY()-Q204,0))</f>
        <v/>
      </c>
      <c r="S204" s="10" t="str">
        <f aca="false">IF(A204="","",IF(N204=0,"Chưa có tiền hàng",IF(P204&lt;0,"Thu thừa",IF(P204=0,"Đã thu đủ",IF(O204&gt;0,"Thu một phần","Chưa thu")))))</f>
        <v/>
      </c>
      <c r="T204" s="10" t="str">
        <f aca="false">IF(A204="","",IF(AND(F204="Đã giao",H204&lt;&gt;"Đã xuất"),"Đã giao - CHƯA XUẤT HĐ",IF(AND(H204="Đã xuất",F204="Chưa giao"),"Đã xuất HĐ - chưa giao",IF(F204="","Chưa cập nhật giao hàng",IF(R204&gt;0,"Quá hạn "&amp;R204&amp;" ngày - đòi tiền",IF(P204&gt;0,"Chờ thu tiền",IF(P204&lt;0,"Kiểm tra thu thừa",IF(AND(F204="Đã giao",H204="Đã xuất"),"Hoàn tất","Theo dõi"))))))))</f>
        <v/>
      </c>
      <c r="U204" s="8"/>
    </row>
    <row r="205" customFormat="false" ht="15" hidden="false" customHeight="false" outlineLevel="0" collapsed="false">
      <c r="A205" s="8"/>
      <c r="B205" s="9"/>
      <c r="C205" s="8"/>
      <c r="D205" s="10" t="str">
        <f aca="false">IF(C205="","",IFERROR(VLOOKUP(C205,KhachHang!$A$2:$B$200,2,FALSE())&amp;"",""))</f>
        <v/>
      </c>
      <c r="E205" s="8"/>
      <c r="F205" s="8"/>
      <c r="G205" s="9"/>
      <c r="H205" s="8"/>
      <c r="I205" s="8"/>
      <c r="J205" s="9"/>
      <c r="K205" s="11" t="str">
        <f aca="false">IF(A205="","",SUMIFS(ChiTiet!$I$2:$I$2000,ChiTiet!$A$2:$A$2000,A205))</f>
        <v/>
      </c>
      <c r="L205" s="12"/>
      <c r="M205" s="11" t="str">
        <f aca="false">IF(A205="","",ROUND(K205*IF(L205="",0.08,L205),0))</f>
        <v/>
      </c>
      <c r="N205" s="11" t="str">
        <f aca="false">IF(A205="","",K205+M205)</f>
        <v/>
      </c>
      <c r="O205" s="11" t="str">
        <f aca="false">IF(A205="","",SUMIFS(ThuTien!$D$2:$D$2000,ThuTien!$B$2:$B$2000,A205))</f>
        <v/>
      </c>
      <c r="P205" s="11" t="str">
        <f aca="false">IF(A205="","",N205-O205)</f>
        <v/>
      </c>
      <c r="Q205" s="9"/>
      <c r="R205" s="10" t="str">
        <f aca="true">IF(A205="","",IF(AND(Q205&lt;&gt;"",P205&gt;0,TODAY()&gt;Q205),TODAY()-Q205,0))</f>
        <v/>
      </c>
      <c r="S205" s="10" t="str">
        <f aca="false">IF(A205="","",IF(N205=0,"Chưa có tiền hàng",IF(P205&lt;0,"Thu thừa",IF(P205=0,"Đã thu đủ",IF(O205&gt;0,"Thu một phần","Chưa thu")))))</f>
        <v/>
      </c>
      <c r="T205" s="10" t="str">
        <f aca="false">IF(A205="","",IF(AND(F205="Đã giao",H205&lt;&gt;"Đã xuất"),"Đã giao - CHƯA XUẤT HĐ",IF(AND(H205="Đã xuất",F205="Chưa giao"),"Đã xuất HĐ - chưa giao",IF(F205="","Chưa cập nhật giao hàng",IF(R205&gt;0,"Quá hạn "&amp;R205&amp;" ngày - đòi tiền",IF(P205&gt;0,"Chờ thu tiền",IF(P205&lt;0,"Kiểm tra thu thừa",IF(AND(F205="Đã giao",H205="Đã xuất"),"Hoàn tất","Theo dõi"))))))))</f>
        <v/>
      </c>
      <c r="U205" s="8"/>
    </row>
    <row r="206" customFormat="false" ht="15" hidden="false" customHeight="false" outlineLevel="0" collapsed="false">
      <c r="A206" s="8"/>
      <c r="B206" s="9"/>
      <c r="C206" s="8"/>
      <c r="D206" s="10" t="str">
        <f aca="false">IF(C206="","",IFERROR(VLOOKUP(C206,KhachHang!$A$2:$B$200,2,FALSE())&amp;"",""))</f>
        <v/>
      </c>
      <c r="E206" s="8"/>
      <c r="F206" s="8"/>
      <c r="G206" s="9"/>
      <c r="H206" s="8"/>
      <c r="I206" s="8"/>
      <c r="J206" s="9"/>
      <c r="K206" s="11" t="str">
        <f aca="false">IF(A206="","",SUMIFS(ChiTiet!$I$2:$I$2000,ChiTiet!$A$2:$A$2000,A206))</f>
        <v/>
      </c>
      <c r="L206" s="12"/>
      <c r="M206" s="11" t="str">
        <f aca="false">IF(A206="","",ROUND(K206*IF(L206="",0.08,L206),0))</f>
        <v/>
      </c>
      <c r="N206" s="11" t="str">
        <f aca="false">IF(A206="","",K206+M206)</f>
        <v/>
      </c>
      <c r="O206" s="11" t="str">
        <f aca="false">IF(A206="","",SUMIFS(ThuTien!$D$2:$D$2000,ThuTien!$B$2:$B$2000,A206))</f>
        <v/>
      </c>
      <c r="P206" s="11" t="str">
        <f aca="false">IF(A206="","",N206-O206)</f>
        <v/>
      </c>
      <c r="Q206" s="9"/>
      <c r="R206" s="10" t="str">
        <f aca="true">IF(A206="","",IF(AND(Q206&lt;&gt;"",P206&gt;0,TODAY()&gt;Q206),TODAY()-Q206,0))</f>
        <v/>
      </c>
      <c r="S206" s="10" t="str">
        <f aca="false">IF(A206="","",IF(N206=0,"Chưa có tiền hàng",IF(P206&lt;0,"Thu thừa",IF(P206=0,"Đã thu đủ",IF(O206&gt;0,"Thu một phần","Chưa thu")))))</f>
        <v/>
      </c>
      <c r="T206" s="10" t="str">
        <f aca="false">IF(A206="","",IF(AND(F206="Đã giao",H206&lt;&gt;"Đã xuất"),"Đã giao - CHƯA XUẤT HĐ",IF(AND(H206="Đã xuất",F206="Chưa giao"),"Đã xuất HĐ - chưa giao",IF(F206="","Chưa cập nhật giao hàng",IF(R206&gt;0,"Quá hạn "&amp;R206&amp;" ngày - đòi tiền",IF(P206&gt;0,"Chờ thu tiền",IF(P206&lt;0,"Kiểm tra thu thừa",IF(AND(F206="Đã giao",H206="Đã xuất"),"Hoàn tất","Theo dõi"))))))))</f>
        <v/>
      </c>
      <c r="U206" s="8"/>
    </row>
    <row r="207" customFormat="false" ht="15" hidden="false" customHeight="false" outlineLevel="0" collapsed="false">
      <c r="A207" s="8"/>
      <c r="B207" s="9"/>
      <c r="C207" s="8"/>
      <c r="D207" s="10" t="str">
        <f aca="false">IF(C207="","",IFERROR(VLOOKUP(C207,KhachHang!$A$2:$B$200,2,FALSE())&amp;"",""))</f>
        <v/>
      </c>
      <c r="E207" s="8"/>
      <c r="F207" s="8"/>
      <c r="G207" s="9"/>
      <c r="H207" s="8"/>
      <c r="I207" s="8"/>
      <c r="J207" s="9"/>
      <c r="K207" s="11" t="str">
        <f aca="false">IF(A207="","",SUMIFS(ChiTiet!$I$2:$I$2000,ChiTiet!$A$2:$A$2000,A207))</f>
        <v/>
      </c>
      <c r="L207" s="12"/>
      <c r="M207" s="11" t="str">
        <f aca="false">IF(A207="","",ROUND(K207*IF(L207="",0.08,L207),0))</f>
        <v/>
      </c>
      <c r="N207" s="11" t="str">
        <f aca="false">IF(A207="","",K207+M207)</f>
        <v/>
      </c>
      <c r="O207" s="11" t="str">
        <f aca="false">IF(A207="","",SUMIFS(ThuTien!$D$2:$D$2000,ThuTien!$B$2:$B$2000,A207))</f>
        <v/>
      </c>
      <c r="P207" s="11" t="str">
        <f aca="false">IF(A207="","",N207-O207)</f>
        <v/>
      </c>
      <c r="Q207" s="9"/>
      <c r="R207" s="10" t="str">
        <f aca="true">IF(A207="","",IF(AND(Q207&lt;&gt;"",P207&gt;0,TODAY()&gt;Q207),TODAY()-Q207,0))</f>
        <v/>
      </c>
      <c r="S207" s="10" t="str">
        <f aca="false">IF(A207="","",IF(N207=0,"Chưa có tiền hàng",IF(P207&lt;0,"Thu thừa",IF(P207=0,"Đã thu đủ",IF(O207&gt;0,"Thu một phần","Chưa thu")))))</f>
        <v/>
      </c>
      <c r="T207" s="10" t="str">
        <f aca="false">IF(A207="","",IF(AND(F207="Đã giao",H207&lt;&gt;"Đã xuất"),"Đã giao - CHƯA XUẤT HĐ",IF(AND(H207="Đã xuất",F207="Chưa giao"),"Đã xuất HĐ - chưa giao",IF(F207="","Chưa cập nhật giao hàng",IF(R207&gt;0,"Quá hạn "&amp;R207&amp;" ngày - đòi tiền",IF(P207&gt;0,"Chờ thu tiền",IF(P207&lt;0,"Kiểm tra thu thừa",IF(AND(F207="Đã giao",H207="Đã xuất"),"Hoàn tất","Theo dõi"))))))))</f>
        <v/>
      </c>
      <c r="U207" s="8"/>
    </row>
    <row r="208" customFormat="false" ht="15" hidden="false" customHeight="false" outlineLevel="0" collapsed="false">
      <c r="A208" s="8"/>
      <c r="B208" s="9"/>
      <c r="C208" s="8"/>
      <c r="D208" s="10" t="str">
        <f aca="false">IF(C208="","",IFERROR(VLOOKUP(C208,KhachHang!$A$2:$B$200,2,FALSE())&amp;"",""))</f>
        <v/>
      </c>
      <c r="E208" s="8"/>
      <c r="F208" s="8"/>
      <c r="G208" s="9"/>
      <c r="H208" s="8"/>
      <c r="I208" s="8"/>
      <c r="J208" s="9"/>
      <c r="K208" s="11" t="str">
        <f aca="false">IF(A208="","",SUMIFS(ChiTiet!$I$2:$I$2000,ChiTiet!$A$2:$A$2000,A208))</f>
        <v/>
      </c>
      <c r="L208" s="12"/>
      <c r="M208" s="11" t="str">
        <f aca="false">IF(A208="","",ROUND(K208*IF(L208="",0.08,L208),0))</f>
        <v/>
      </c>
      <c r="N208" s="11" t="str">
        <f aca="false">IF(A208="","",K208+M208)</f>
        <v/>
      </c>
      <c r="O208" s="11" t="str">
        <f aca="false">IF(A208="","",SUMIFS(ThuTien!$D$2:$D$2000,ThuTien!$B$2:$B$2000,A208))</f>
        <v/>
      </c>
      <c r="P208" s="11" t="str">
        <f aca="false">IF(A208="","",N208-O208)</f>
        <v/>
      </c>
      <c r="Q208" s="9"/>
      <c r="R208" s="10" t="str">
        <f aca="true">IF(A208="","",IF(AND(Q208&lt;&gt;"",P208&gt;0,TODAY()&gt;Q208),TODAY()-Q208,0))</f>
        <v/>
      </c>
      <c r="S208" s="10" t="str">
        <f aca="false">IF(A208="","",IF(N208=0,"Chưa có tiền hàng",IF(P208&lt;0,"Thu thừa",IF(P208=0,"Đã thu đủ",IF(O208&gt;0,"Thu một phần","Chưa thu")))))</f>
        <v/>
      </c>
      <c r="T208" s="10" t="str">
        <f aca="false">IF(A208="","",IF(AND(F208="Đã giao",H208&lt;&gt;"Đã xuất"),"Đã giao - CHƯA XUẤT HĐ",IF(AND(H208="Đã xuất",F208="Chưa giao"),"Đã xuất HĐ - chưa giao",IF(F208="","Chưa cập nhật giao hàng",IF(R208&gt;0,"Quá hạn "&amp;R208&amp;" ngày - đòi tiền",IF(P208&gt;0,"Chờ thu tiền",IF(P208&lt;0,"Kiểm tra thu thừa",IF(AND(F208="Đã giao",H208="Đã xuất"),"Hoàn tất","Theo dõi"))))))))</f>
        <v/>
      </c>
      <c r="U208" s="8"/>
    </row>
    <row r="209" customFormat="false" ht="15" hidden="false" customHeight="false" outlineLevel="0" collapsed="false">
      <c r="A209" s="8"/>
      <c r="B209" s="9"/>
      <c r="C209" s="8"/>
      <c r="D209" s="10" t="str">
        <f aca="false">IF(C209="","",IFERROR(VLOOKUP(C209,KhachHang!$A$2:$B$200,2,FALSE())&amp;"",""))</f>
        <v/>
      </c>
      <c r="E209" s="8"/>
      <c r="F209" s="8"/>
      <c r="G209" s="9"/>
      <c r="H209" s="8"/>
      <c r="I209" s="8"/>
      <c r="J209" s="9"/>
      <c r="K209" s="11" t="str">
        <f aca="false">IF(A209="","",SUMIFS(ChiTiet!$I$2:$I$2000,ChiTiet!$A$2:$A$2000,A209))</f>
        <v/>
      </c>
      <c r="L209" s="12"/>
      <c r="M209" s="11" t="str">
        <f aca="false">IF(A209="","",ROUND(K209*IF(L209="",0.08,L209),0))</f>
        <v/>
      </c>
      <c r="N209" s="11" t="str">
        <f aca="false">IF(A209="","",K209+M209)</f>
        <v/>
      </c>
      <c r="O209" s="11" t="str">
        <f aca="false">IF(A209="","",SUMIFS(ThuTien!$D$2:$D$2000,ThuTien!$B$2:$B$2000,A209))</f>
        <v/>
      </c>
      <c r="P209" s="11" t="str">
        <f aca="false">IF(A209="","",N209-O209)</f>
        <v/>
      </c>
      <c r="Q209" s="9"/>
      <c r="R209" s="10" t="str">
        <f aca="true">IF(A209="","",IF(AND(Q209&lt;&gt;"",P209&gt;0,TODAY()&gt;Q209),TODAY()-Q209,0))</f>
        <v/>
      </c>
      <c r="S209" s="10" t="str">
        <f aca="false">IF(A209="","",IF(N209=0,"Chưa có tiền hàng",IF(P209&lt;0,"Thu thừa",IF(P209=0,"Đã thu đủ",IF(O209&gt;0,"Thu một phần","Chưa thu")))))</f>
        <v/>
      </c>
      <c r="T209" s="10" t="str">
        <f aca="false">IF(A209="","",IF(AND(F209="Đã giao",H209&lt;&gt;"Đã xuất"),"Đã giao - CHƯA XUẤT HĐ",IF(AND(H209="Đã xuất",F209="Chưa giao"),"Đã xuất HĐ - chưa giao",IF(F209="","Chưa cập nhật giao hàng",IF(R209&gt;0,"Quá hạn "&amp;R209&amp;" ngày - đòi tiền",IF(P209&gt;0,"Chờ thu tiền",IF(P209&lt;0,"Kiểm tra thu thừa",IF(AND(F209="Đã giao",H209="Đã xuất"),"Hoàn tất","Theo dõi"))))))))</f>
        <v/>
      </c>
      <c r="U209" s="8"/>
    </row>
    <row r="210" customFormat="false" ht="15" hidden="false" customHeight="false" outlineLevel="0" collapsed="false">
      <c r="A210" s="8"/>
      <c r="B210" s="9"/>
      <c r="C210" s="8"/>
      <c r="D210" s="10" t="str">
        <f aca="false">IF(C210="","",IFERROR(VLOOKUP(C210,KhachHang!$A$2:$B$200,2,FALSE())&amp;"",""))</f>
        <v/>
      </c>
      <c r="E210" s="8"/>
      <c r="F210" s="8"/>
      <c r="G210" s="9"/>
      <c r="H210" s="8"/>
      <c r="I210" s="8"/>
      <c r="J210" s="9"/>
      <c r="K210" s="11" t="str">
        <f aca="false">IF(A210="","",SUMIFS(ChiTiet!$I$2:$I$2000,ChiTiet!$A$2:$A$2000,A210))</f>
        <v/>
      </c>
      <c r="L210" s="12"/>
      <c r="M210" s="11" t="str">
        <f aca="false">IF(A210="","",ROUND(K210*IF(L210="",0.08,L210),0))</f>
        <v/>
      </c>
      <c r="N210" s="11" t="str">
        <f aca="false">IF(A210="","",K210+M210)</f>
        <v/>
      </c>
      <c r="O210" s="11" t="str">
        <f aca="false">IF(A210="","",SUMIFS(ThuTien!$D$2:$D$2000,ThuTien!$B$2:$B$2000,A210))</f>
        <v/>
      </c>
      <c r="P210" s="11" t="str">
        <f aca="false">IF(A210="","",N210-O210)</f>
        <v/>
      </c>
      <c r="Q210" s="9"/>
      <c r="R210" s="10" t="str">
        <f aca="true">IF(A210="","",IF(AND(Q210&lt;&gt;"",P210&gt;0,TODAY()&gt;Q210),TODAY()-Q210,0))</f>
        <v/>
      </c>
      <c r="S210" s="10" t="str">
        <f aca="false">IF(A210="","",IF(N210=0,"Chưa có tiền hàng",IF(P210&lt;0,"Thu thừa",IF(P210=0,"Đã thu đủ",IF(O210&gt;0,"Thu một phần","Chưa thu")))))</f>
        <v/>
      </c>
      <c r="T210" s="10" t="str">
        <f aca="false">IF(A210="","",IF(AND(F210="Đã giao",H210&lt;&gt;"Đã xuất"),"Đã giao - CHƯA XUẤT HĐ",IF(AND(H210="Đã xuất",F210="Chưa giao"),"Đã xuất HĐ - chưa giao",IF(F210="","Chưa cập nhật giao hàng",IF(R210&gt;0,"Quá hạn "&amp;R210&amp;" ngày - đòi tiền",IF(P210&gt;0,"Chờ thu tiền",IF(P210&lt;0,"Kiểm tra thu thừa",IF(AND(F210="Đã giao",H210="Đã xuất"),"Hoàn tất","Theo dõi"))))))))</f>
        <v/>
      </c>
      <c r="U210" s="8"/>
    </row>
    <row r="211" customFormat="false" ht="15" hidden="false" customHeight="false" outlineLevel="0" collapsed="false">
      <c r="A211" s="8"/>
      <c r="B211" s="9"/>
      <c r="C211" s="8"/>
      <c r="D211" s="10" t="str">
        <f aca="false">IF(C211="","",IFERROR(VLOOKUP(C211,KhachHang!$A$2:$B$200,2,FALSE())&amp;"",""))</f>
        <v/>
      </c>
      <c r="E211" s="8"/>
      <c r="F211" s="8"/>
      <c r="G211" s="9"/>
      <c r="H211" s="8"/>
      <c r="I211" s="8"/>
      <c r="J211" s="9"/>
      <c r="K211" s="11" t="str">
        <f aca="false">IF(A211="","",SUMIFS(ChiTiet!$I$2:$I$2000,ChiTiet!$A$2:$A$2000,A211))</f>
        <v/>
      </c>
      <c r="L211" s="12"/>
      <c r="M211" s="11" t="str">
        <f aca="false">IF(A211="","",ROUND(K211*IF(L211="",0.08,L211),0))</f>
        <v/>
      </c>
      <c r="N211" s="11" t="str">
        <f aca="false">IF(A211="","",K211+M211)</f>
        <v/>
      </c>
      <c r="O211" s="11" t="str">
        <f aca="false">IF(A211="","",SUMIFS(ThuTien!$D$2:$D$2000,ThuTien!$B$2:$B$2000,A211))</f>
        <v/>
      </c>
      <c r="P211" s="11" t="str">
        <f aca="false">IF(A211="","",N211-O211)</f>
        <v/>
      </c>
      <c r="Q211" s="9"/>
      <c r="R211" s="10" t="str">
        <f aca="true">IF(A211="","",IF(AND(Q211&lt;&gt;"",P211&gt;0,TODAY()&gt;Q211),TODAY()-Q211,0))</f>
        <v/>
      </c>
      <c r="S211" s="10" t="str">
        <f aca="false">IF(A211="","",IF(N211=0,"Chưa có tiền hàng",IF(P211&lt;0,"Thu thừa",IF(P211=0,"Đã thu đủ",IF(O211&gt;0,"Thu một phần","Chưa thu")))))</f>
        <v/>
      </c>
      <c r="T211" s="10" t="str">
        <f aca="false">IF(A211="","",IF(AND(F211="Đã giao",H211&lt;&gt;"Đã xuất"),"Đã giao - CHƯA XUẤT HĐ",IF(AND(H211="Đã xuất",F211="Chưa giao"),"Đã xuất HĐ - chưa giao",IF(F211="","Chưa cập nhật giao hàng",IF(R211&gt;0,"Quá hạn "&amp;R211&amp;" ngày - đòi tiền",IF(P211&gt;0,"Chờ thu tiền",IF(P211&lt;0,"Kiểm tra thu thừa",IF(AND(F211="Đã giao",H211="Đã xuất"),"Hoàn tất","Theo dõi"))))))))</f>
        <v/>
      </c>
      <c r="U211" s="8"/>
    </row>
    <row r="212" customFormat="false" ht="15" hidden="false" customHeight="false" outlineLevel="0" collapsed="false">
      <c r="A212" s="8"/>
      <c r="B212" s="9"/>
      <c r="C212" s="8"/>
      <c r="D212" s="10" t="str">
        <f aca="false">IF(C212="","",IFERROR(VLOOKUP(C212,KhachHang!$A$2:$B$200,2,FALSE())&amp;"",""))</f>
        <v/>
      </c>
      <c r="E212" s="8"/>
      <c r="F212" s="8"/>
      <c r="G212" s="9"/>
      <c r="H212" s="8"/>
      <c r="I212" s="8"/>
      <c r="J212" s="9"/>
      <c r="K212" s="11" t="str">
        <f aca="false">IF(A212="","",SUMIFS(ChiTiet!$I$2:$I$2000,ChiTiet!$A$2:$A$2000,A212))</f>
        <v/>
      </c>
      <c r="L212" s="12"/>
      <c r="M212" s="11" t="str">
        <f aca="false">IF(A212="","",ROUND(K212*IF(L212="",0.08,L212),0))</f>
        <v/>
      </c>
      <c r="N212" s="11" t="str">
        <f aca="false">IF(A212="","",K212+M212)</f>
        <v/>
      </c>
      <c r="O212" s="11" t="str">
        <f aca="false">IF(A212="","",SUMIFS(ThuTien!$D$2:$D$2000,ThuTien!$B$2:$B$2000,A212))</f>
        <v/>
      </c>
      <c r="P212" s="11" t="str">
        <f aca="false">IF(A212="","",N212-O212)</f>
        <v/>
      </c>
      <c r="Q212" s="9"/>
      <c r="R212" s="10" t="str">
        <f aca="true">IF(A212="","",IF(AND(Q212&lt;&gt;"",P212&gt;0,TODAY()&gt;Q212),TODAY()-Q212,0))</f>
        <v/>
      </c>
      <c r="S212" s="10" t="str">
        <f aca="false">IF(A212="","",IF(N212=0,"Chưa có tiền hàng",IF(P212&lt;0,"Thu thừa",IF(P212=0,"Đã thu đủ",IF(O212&gt;0,"Thu một phần","Chưa thu")))))</f>
        <v/>
      </c>
      <c r="T212" s="10" t="str">
        <f aca="false">IF(A212="","",IF(AND(F212="Đã giao",H212&lt;&gt;"Đã xuất"),"Đã giao - CHƯA XUẤT HĐ",IF(AND(H212="Đã xuất",F212="Chưa giao"),"Đã xuất HĐ - chưa giao",IF(F212="","Chưa cập nhật giao hàng",IF(R212&gt;0,"Quá hạn "&amp;R212&amp;" ngày - đòi tiền",IF(P212&gt;0,"Chờ thu tiền",IF(P212&lt;0,"Kiểm tra thu thừa",IF(AND(F212="Đã giao",H212="Đã xuất"),"Hoàn tất","Theo dõi"))))))))</f>
        <v/>
      </c>
      <c r="U212" s="8"/>
    </row>
    <row r="213" customFormat="false" ht="15" hidden="false" customHeight="false" outlineLevel="0" collapsed="false">
      <c r="A213" s="8"/>
      <c r="B213" s="9"/>
      <c r="C213" s="8"/>
      <c r="D213" s="10" t="str">
        <f aca="false">IF(C213="","",IFERROR(VLOOKUP(C213,KhachHang!$A$2:$B$200,2,FALSE())&amp;"",""))</f>
        <v/>
      </c>
      <c r="E213" s="8"/>
      <c r="F213" s="8"/>
      <c r="G213" s="9"/>
      <c r="H213" s="8"/>
      <c r="I213" s="8"/>
      <c r="J213" s="9"/>
      <c r="K213" s="11" t="str">
        <f aca="false">IF(A213="","",SUMIFS(ChiTiet!$I$2:$I$2000,ChiTiet!$A$2:$A$2000,A213))</f>
        <v/>
      </c>
      <c r="L213" s="12"/>
      <c r="M213" s="11" t="str">
        <f aca="false">IF(A213="","",ROUND(K213*IF(L213="",0.08,L213),0))</f>
        <v/>
      </c>
      <c r="N213" s="11" t="str">
        <f aca="false">IF(A213="","",K213+M213)</f>
        <v/>
      </c>
      <c r="O213" s="11" t="str">
        <f aca="false">IF(A213="","",SUMIFS(ThuTien!$D$2:$D$2000,ThuTien!$B$2:$B$2000,A213))</f>
        <v/>
      </c>
      <c r="P213" s="11" t="str">
        <f aca="false">IF(A213="","",N213-O213)</f>
        <v/>
      </c>
      <c r="Q213" s="9"/>
      <c r="R213" s="10" t="str">
        <f aca="true">IF(A213="","",IF(AND(Q213&lt;&gt;"",P213&gt;0,TODAY()&gt;Q213),TODAY()-Q213,0))</f>
        <v/>
      </c>
      <c r="S213" s="10" t="str">
        <f aca="false">IF(A213="","",IF(N213=0,"Chưa có tiền hàng",IF(P213&lt;0,"Thu thừa",IF(P213=0,"Đã thu đủ",IF(O213&gt;0,"Thu một phần","Chưa thu")))))</f>
        <v/>
      </c>
      <c r="T213" s="10" t="str">
        <f aca="false">IF(A213="","",IF(AND(F213="Đã giao",H213&lt;&gt;"Đã xuất"),"Đã giao - CHƯA XUẤT HĐ",IF(AND(H213="Đã xuất",F213="Chưa giao"),"Đã xuất HĐ - chưa giao",IF(F213="","Chưa cập nhật giao hàng",IF(R213&gt;0,"Quá hạn "&amp;R213&amp;" ngày - đòi tiền",IF(P213&gt;0,"Chờ thu tiền",IF(P213&lt;0,"Kiểm tra thu thừa",IF(AND(F213="Đã giao",H213="Đã xuất"),"Hoàn tất","Theo dõi"))))))))</f>
        <v/>
      </c>
      <c r="U213" s="8"/>
    </row>
    <row r="214" customFormat="false" ht="15" hidden="false" customHeight="false" outlineLevel="0" collapsed="false">
      <c r="A214" s="8"/>
      <c r="B214" s="9"/>
      <c r="C214" s="8"/>
      <c r="D214" s="10" t="str">
        <f aca="false">IF(C214="","",IFERROR(VLOOKUP(C214,KhachHang!$A$2:$B$200,2,FALSE())&amp;"",""))</f>
        <v/>
      </c>
      <c r="E214" s="8"/>
      <c r="F214" s="8"/>
      <c r="G214" s="9"/>
      <c r="H214" s="8"/>
      <c r="I214" s="8"/>
      <c r="J214" s="9"/>
      <c r="K214" s="11" t="str">
        <f aca="false">IF(A214="","",SUMIFS(ChiTiet!$I$2:$I$2000,ChiTiet!$A$2:$A$2000,A214))</f>
        <v/>
      </c>
      <c r="L214" s="12"/>
      <c r="M214" s="11" t="str">
        <f aca="false">IF(A214="","",ROUND(K214*IF(L214="",0.08,L214),0))</f>
        <v/>
      </c>
      <c r="N214" s="11" t="str">
        <f aca="false">IF(A214="","",K214+M214)</f>
        <v/>
      </c>
      <c r="O214" s="11" t="str">
        <f aca="false">IF(A214="","",SUMIFS(ThuTien!$D$2:$D$2000,ThuTien!$B$2:$B$2000,A214))</f>
        <v/>
      </c>
      <c r="P214" s="11" t="str">
        <f aca="false">IF(A214="","",N214-O214)</f>
        <v/>
      </c>
      <c r="Q214" s="9"/>
      <c r="R214" s="10" t="str">
        <f aca="true">IF(A214="","",IF(AND(Q214&lt;&gt;"",P214&gt;0,TODAY()&gt;Q214),TODAY()-Q214,0))</f>
        <v/>
      </c>
      <c r="S214" s="10" t="str">
        <f aca="false">IF(A214="","",IF(N214=0,"Chưa có tiền hàng",IF(P214&lt;0,"Thu thừa",IF(P214=0,"Đã thu đủ",IF(O214&gt;0,"Thu một phần","Chưa thu")))))</f>
        <v/>
      </c>
      <c r="T214" s="10" t="str">
        <f aca="false">IF(A214="","",IF(AND(F214="Đã giao",H214&lt;&gt;"Đã xuất"),"Đã giao - CHƯA XUẤT HĐ",IF(AND(H214="Đã xuất",F214="Chưa giao"),"Đã xuất HĐ - chưa giao",IF(F214="","Chưa cập nhật giao hàng",IF(R214&gt;0,"Quá hạn "&amp;R214&amp;" ngày - đòi tiền",IF(P214&gt;0,"Chờ thu tiền",IF(P214&lt;0,"Kiểm tra thu thừa",IF(AND(F214="Đã giao",H214="Đã xuất"),"Hoàn tất","Theo dõi"))))))))</f>
        <v/>
      </c>
      <c r="U214" s="8"/>
    </row>
    <row r="215" customFormat="false" ht="15" hidden="false" customHeight="false" outlineLevel="0" collapsed="false">
      <c r="A215" s="8"/>
      <c r="B215" s="9"/>
      <c r="C215" s="8"/>
      <c r="D215" s="10" t="str">
        <f aca="false">IF(C215="","",IFERROR(VLOOKUP(C215,KhachHang!$A$2:$B$200,2,FALSE())&amp;"",""))</f>
        <v/>
      </c>
      <c r="E215" s="8"/>
      <c r="F215" s="8"/>
      <c r="G215" s="9"/>
      <c r="H215" s="8"/>
      <c r="I215" s="8"/>
      <c r="J215" s="9"/>
      <c r="K215" s="11" t="str">
        <f aca="false">IF(A215="","",SUMIFS(ChiTiet!$I$2:$I$2000,ChiTiet!$A$2:$A$2000,A215))</f>
        <v/>
      </c>
      <c r="L215" s="12"/>
      <c r="M215" s="11" t="str">
        <f aca="false">IF(A215="","",ROUND(K215*IF(L215="",0.08,L215),0))</f>
        <v/>
      </c>
      <c r="N215" s="11" t="str">
        <f aca="false">IF(A215="","",K215+M215)</f>
        <v/>
      </c>
      <c r="O215" s="11" t="str">
        <f aca="false">IF(A215="","",SUMIFS(ThuTien!$D$2:$D$2000,ThuTien!$B$2:$B$2000,A215))</f>
        <v/>
      </c>
      <c r="P215" s="11" t="str">
        <f aca="false">IF(A215="","",N215-O215)</f>
        <v/>
      </c>
      <c r="Q215" s="9"/>
      <c r="R215" s="10" t="str">
        <f aca="true">IF(A215="","",IF(AND(Q215&lt;&gt;"",P215&gt;0,TODAY()&gt;Q215),TODAY()-Q215,0))</f>
        <v/>
      </c>
      <c r="S215" s="10" t="str">
        <f aca="false">IF(A215="","",IF(N215=0,"Chưa có tiền hàng",IF(P215&lt;0,"Thu thừa",IF(P215=0,"Đã thu đủ",IF(O215&gt;0,"Thu một phần","Chưa thu")))))</f>
        <v/>
      </c>
      <c r="T215" s="10" t="str">
        <f aca="false">IF(A215="","",IF(AND(F215="Đã giao",H215&lt;&gt;"Đã xuất"),"Đã giao - CHƯA XUẤT HĐ",IF(AND(H215="Đã xuất",F215="Chưa giao"),"Đã xuất HĐ - chưa giao",IF(F215="","Chưa cập nhật giao hàng",IF(R215&gt;0,"Quá hạn "&amp;R215&amp;" ngày - đòi tiền",IF(P215&gt;0,"Chờ thu tiền",IF(P215&lt;0,"Kiểm tra thu thừa",IF(AND(F215="Đã giao",H215="Đã xuất"),"Hoàn tất","Theo dõi"))))))))</f>
        <v/>
      </c>
      <c r="U215" s="8"/>
    </row>
    <row r="216" customFormat="false" ht="15" hidden="false" customHeight="false" outlineLevel="0" collapsed="false">
      <c r="A216" s="8"/>
      <c r="B216" s="9"/>
      <c r="C216" s="8"/>
      <c r="D216" s="10" t="str">
        <f aca="false">IF(C216="","",IFERROR(VLOOKUP(C216,KhachHang!$A$2:$B$200,2,FALSE())&amp;"",""))</f>
        <v/>
      </c>
      <c r="E216" s="8"/>
      <c r="F216" s="8"/>
      <c r="G216" s="9"/>
      <c r="H216" s="8"/>
      <c r="I216" s="8"/>
      <c r="J216" s="9"/>
      <c r="K216" s="11" t="str">
        <f aca="false">IF(A216="","",SUMIFS(ChiTiet!$I$2:$I$2000,ChiTiet!$A$2:$A$2000,A216))</f>
        <v/>
      </c>
      <c r="L216" s="12"/>
      <c r="M216" s="11" t="str">
        <f aca="false">IF(A216="","",ROUND(K216*IF(L216="",0.08,L216),0))</f>
        <v/>
      </c>
      <c r="N216" s="11" t="str">
        <f aca="false">IF(A216="","",K216+M216)</f>
        <v/>
      </c>
      <c r="O216" s="11" t="str">
        <f aca="false">IF(A216="","",SUMIFS(ThuTien!$D$2:$D$2000,ThuTien!$B$2:$B$2000,A216))</f>
        <v/>
      </c>
      <c r="P216" s="11" t="str">
        <f aca="false">IF(A216="","",N216-O216)</f>
        <v/>
      </c>
      <c r="Q216" s="9"/>
      <c r="R216" s="10" t="str">
        <f aca="true">IF(A216="","",IF(AND(Q216&lt;&gt;"",P216&gt;0,TODAY()&gt;Q216),TODAY()-Q216,0))</f>
        <v/>
      </c>
      <c r="S216" s="10" t="str">
        <f aca="false">IF(A216="","",IF(N216=0,"Chưa có tiền hàng",IF(P216&lt;0,"Thu thừa",IF(P216=0,"Đã thu đủ",IF(O216&gt;0,"Thu một phần","Chưa thu")))))</f>
        <v/>
      </c>
      <c r="T216" s="10" t="str">
        <f aca="false">IF(A216="","",IF(AND(F216="Đã giao",H216&lt;&gt;"Đã xuất"),"Đã giao - CHƯA XUẤT HĐ",IF(AND(H216="Đã xuất",F216="Chưa giao"),"Đã xuất HĐ - chưa giao",IF(F216="","Chưa cập nhật giao hàng",IF(R216&gt;0,"Quá hạn "&amp;R216&amp;" ngày - đòi tiền",IF(P216&gt;0,"Chờ thu tiền",IF(P216&lt;0,"Kiểm tra thu thừa",IF(AND(F216="Đã giao",H216="Đã xuất"),"Hoàn tất","Theo dõi"))))))))</f>
        <v/>
      </c>
      <c r="U216" s="8"/>
    </row>
    <row r="217" customFormat="false" ht="15" hidden="false" customHeight="false" outlineLevel="0" collapsed="false">
      <c r="A217" s="8"/>
      <c r="B217" s="9"/>
      <c r="C217" s="8"/>
      <c r="D217" s="10" t="str">
        <f aca="false">IF(C217="","",IFERROR(VLOOKUP(C217,KhachHang!$A$2:$B$200,2,FALSE())&amp;"",""))</f>
        <v/>
      </c>
      <c r="E217" s="8"/>
      <c r="F217" s="8"/>
      <c r="G217" s="9"/>
      <c r="H217" s="8"/>
      <c r="I217" s="8"/>
      <c r="J217" s="9"/>
      <c r="K217" s="11" t="str">
        <f aca="false">IF(A217="","",SUMIFS(ChiTiet!$I$2:$I$2000,ChiTiet!$A$2:$A$2000,A217))</f>
        <v/>
      </c>
      <c r="L217" s="12"/>
      <c r="M217" s="11" t="str">
        <f aca="false">IF(A217="","",ROUND(K217*IF(L217="",0.08,L217),0))</f>
        <v/>
      </c>
      <c r="N217" s="11" t="str">
        <f aca="false">IF(A217="","",K217+M217)</f>
        <v/>
      </c>
      <c r="O217" s="11" t="str">
        <f aca="false">IF(A217="","",SUMIFS(ThuTien!$D$2:$D$2000,ThuTien!$B$2:$B$2000,A217))</f>
        <v/>
      </c>
      <c r="P217" s="11" t="str">
        <f aca="false">IF(A217="","",N217-O217)</f>
        <v/>
      </c>
      <c r="Q217" s="9"/>
      <c r="R217" s="10" t="str">
        <f aca="true">IF(A217="","",IF(AND(Q217&lt;&gt;"",P217&gt;0,TODAY()&gt;Q217),TODAY()-Q217,0))</f>
        <v/>
      </c>
      <c r="S217" s="10" t="str">
        <f aca="false">IF(A217="","",IF(N217=0,"Chưa có tiền hàng",IF(P217&lt;0,"Thu thừa",IF(P217=0,"Đã thu đủ",IF(O217&gt;0,"Thu một phần","Chưa thu")))))</f>
        <v/>
      </c>
      <c r="T217" s="10" t="str">
        <f aca="false">IF(A217="","",IF(AND(F217="Đã giao",H217&lt;&gt;"Đã xuất"),"Đã giao - CHƯA XUẤT HĐ",IF(AND(H217="Đã xuất",F217="Chưa giao"),"Đã xuất HĐ - chưa giao",IF(F217="","Chưa cập nhật giao hàng",IF(R217&gt;0,"Quá hạn "&amp;R217&amp;" ngày - đòi tiền",IF(P217&gt;0,"Chờ thu tiền",IF(P217&lt;0,"Kiểm tra thu thừa",IF(AND(F217="Đã giao",H217="Đã xuất"),"Hoàn tất","Theo dõi"))))))))</f>
        <v/>
      </c>
      <c r="U217" s="8"/>
    </row>
    <row r="218" customFormat="false" ht="15" hidden="false" customHeight="false" outlineLevel="0" collapsed="false">
      <c r="A218" s="8"/>
      <c r="B218" s="9"/>
      <c r="C218" s="8"/>
      <c r="D218" s="10" t="str">
        <f aca="false">IF(C218="","",IFERROR(VLOOKUP(C218,KhachHang!$A$2:$B$200,2,FALSE())&amp;"",""))</f>
        <v/>
      </c>
      <c r="E218" s="8"/>
      <c r="F218" s="8"/>
      <c r="G218" s="9"/>
      <c r="H218" s="8"/>
      <c r="I218" s="8"/>
      <c r="J218" s="9"/>
      <c r="K218" s="11" t="str">
        <f aca="false">IF(A218="","",SUMIFS(ChiTiet!$I$2:$I$2000,ChiTiet!$A$2:$A$2000,A218))</f>
        <v/>
      </c>
      <c r="L218" s="12"/>
      <c r="M218" s="11" t="str">
        <f aca="false">IF(A218="","",ROUND(K218*IF(L218="",0.08,L218),0))</f>
        <v/>
      </c>
      <c r="N218" s="11" t="str">
        <f aca="false">IF(A218="","",K218+M218)</f>
        <v/>
      </c>
      <c r="O218" s="11" t="str">
        <f aca="false">IF(A218="","",SUMIFS(ThuTien!$D$2:$D$2000,ThuTien!$B$2:$B$2000,A218))</f>
        <v/>
      </c>
      <c r="P218" s="11" t="str">
        <f aca="false">IF(A218="","",N218-O218)</f>
        <v/>
      </c>
      <c r="Q218" s="9"/>
      <c r="R218" s="10" t="str">
        <f aca="true">IF(A218="","",IF(AND(Q218&lt;&gt;"",P218&gt;0,TODAY()&gt;Q218),TODAY()-Q218,0))</f>
        <v/>
      </c>
      <c r="S218" s="10" t="str">
        <f aca="false">IF(A218="","",IF(N218=0,"Chưa có tiền hàng",IF(P218&lt;0,"Thu thừa",IF(P218=0,"Đã thu đủ",IF(O218&gt;0,"Thu một phần","Chưa thu")))))</f>
        <v/>
      </c>
      <c r="T218" s="10" t="str">
        <f aca="false">IF(A218="","",IF(AND(F218="Đã giao",H218&lt;&gt;"Đã xuất"),"Đã giao - CHƯA XUẤT HĐ",IF(AND(H218="Đã xuất",F218="Chưa giao"),"Đã xuất HĐ - chưa giao",IF(F218="","Chưa cập nhật giao hàng",IF(R218&gt;0,"Quá hạn "&amp;R218&amp;" ngày - đòi tiền",IF(P218&gt;0,"Chờ thu tiền",IF(P218&lt;0,"Kiểm tra thu thừa",IF(AND(F218="Đã giao",H218="Đã xuất"),"Hoàn tất","Theo dõi"))))))))</f>
        <v/>
      </c>
      <c r="U218" s="8"/>
    </row>
    <row r="219" customFormat="false" ht="15" hidden="false" customHeight="false" outlineLevel="0" collapsed="false">
      <c r="A219" s="8"/>
      <c r="B219" s="9"/>
      <c r="C219" s="8"/>
      <c r="D219" s="10" t="str">
        <f aca="false">IF(C219="","",IFERROR(VLOOKUP(C219,KhachHang!$A$2:$B$200,2,FALSE())&amp;"",""))</f>
        <v/>
      </c>
      <c r="E219" s="8"/>
      <c r="F219" s="8"/>
      <c r="G219" s="9"/>
      <c r="H219" s="8"/>
      <c r="I219" s="8"/>
      <c r="J219" s="9"/>
      <c r="K219" s="11" t="str">
        <f aca="false">IF(A219="","",SUMIFS(ChiTiet!$I$2:$I$2000,ChiTiet!$A$2:$A$2000,A219))</f>
        <v/>
      </c>
      <c r="L219" s="12"/>
      <c r="M219" s="11" t="str">
        <f aca="false">IF(A219="","",ROUND(K219*IF(L219="",0.08,L219),0))</f>
        <v/>
      </c>
      <c r="N219" s="11" t="str">
        <f aca="false">IF(A219="","",K219+M219)</f>
        <v/>
      </c>
      <c r="O219" s="11" t="str">
        <f aca="false">IF(A219="","",SUMIFS(ThuTien!$D$2:$D$2000,ThuTien!$B$2:$B$2000,A219))</f>
        <v/>
      </c>
      <c r="P219" s="11" t="str">
        <f aca="false">IF(A219="","",N219-O219)</f>
        <v/>
      </c>
      <c r="Q219" s="9"/>
      <c r="R219" s="10" t="str">
        <f aca="true">IF(A219="","",IF(AND(Q219&lt;&gt;"",P219&gt;0,TODAY()&gt;Q219),TODAY()-Q219,0))</f>
        <v/>
      </c>
      <c r="S219" s="10" t="str">
        <f aca="false">IF(A219="","",IF(N219=0,"Chưa có tiền hàng",IF(P219&lt;0,"Thu thừa",IF(P219=0,"Đã thu đủ",IF(O219&gt;0,"Thu một phần","Chưa thu")))))</f>
        <v/>
      </c>
      <c r="T219" s="10" t="str">
        <f aca="false">IF(A219="","",IF(AND(F219="Đã giao",H219&lt;&gt;"Đã xuất"),"Đã giao - CHƯA XUẤT HĐ",IF(AND(H219="Đã xuất",F219="Chưa giao"),"Đã xuất HĐ - chưa giao",IF(F219="","Chưa cập nhật giao hàng",IF(R219&gt;0,"Quá hạn "&amp;R219&amp;" ngày - đòi tiền",IF(P219&gt;0,"Chờ thu tiền",IF(P219&lt;0,"Kiểm tra thu thừa",IF(AND(F219="Đã giao",H219="Đã xuất"),"Hoàn tất","Theo dõi"))))))))</f>
        <v/>
      </c>
      <c r="U219" s="8"/>
    </row>
    <row r="220" customFormat="false" ht="15" hidden="false" customHeight="false" outlineLevel="0" collapsed="false">
      <c r="A220" s="8"/>
      <c r="B220" s="9"/>
      <c r="C220" s="8"/>
      <c r="D220" s="10" t="str">
        <f aca="false">IF(C220="","",IFERROR(VLOOKUP(C220,KhachHang!$A$2:$B$200,2,FALSE())&amp;"",""))</f>
        <v/>
      </c>
      <c r="E220" s="8"/>
      <c r="F220" s="8"/>
      <c r="G220" s="9"/>
      <c r="H220" s="8"/>
      <c r="I220" s="8"/>
      <c r="J220" s="9"/>
      <c r="K220" s="11" t="str">
        <f aca="false">IF(A220="","",SUMIFS(ChiTiet!$I$2:$I$2000,ChiTiet!$A$2:$A$2000,A220))</f>
        <v/>
      </c>
      <c r="L220" s="12"/>
      <c r="M220" s="11" t="str">
        <f aca="false">IF(A220="","",ROUND(K220*IF(L220="",0.08,L220),0))</f>
        <v/>
      </c>
      <c r="N220" s="11" t="str">
        <f aca="false">IF(A220="","",K220+M220)</f>
        <v/>
      </c>
      <c r="O220" s="11" t="str">
        <f aca="false">IF(A220="","",SUMIFS(ThuTien!$D$2:$D$2000,ThuTien!$B$2:$B$2000,A220))</f>
        <v/>
      </c>
      <c r="P220" s="11" t="str">
        <f aca="false">IF(A220="","",N220-O220)</f>
        <v/>
      </c>
      <c r="Q220" s="9"/>
      <c r="R220" s="10" t="str">
        <f aca="true">IF(A220="","",IF(AND(Q220&lt;&gt;"",P220&gt;0,TODAY()&gt;Q220),TODAY()-Q220,0))</f>
        <v/>
      </c>
      <c r="S220" s="10" t="str">
        <f aca="false">IF(A220="","",IF(N220=0,"Chưa có tiền hàng",IF(P220&lt;0,"Thu thừa",IF(P220=0,"Đã thu đủ",IF(O220&gt;0,"Thu một phần","Chưa thu")))))</f>
        <v/>
      </c>
      <c r="T220" s="10" t="str">
        <f aca="false">IF(A220="","",IF(AND(F220="Đã giao",H220&lt;&gt;"Đã xuất"),"Đã giao - CHƯA XUẤT HĐ",IF(AND(H220="Đã xuất",F220="Chưa giao"),"Đã xuất HĐ - chưa giao",IF(F220="","Chưa cập nhật giao hàng",IF(R220&gt;0,"Quá hạn "&amp;R220&amp;" ngày - đòi tiền",IF(P220&gt;0,"Chờ thu tiền",IF(P220&lt;0,"Kiểm tra thu thừa",IF(AND(F220="Đã giao",H220="Đã xuất"),"Hoàn tất","Theo dõi"))))))))</f>
        <v/>
      </c>
      <c r="U220" s="8"/>
    </row>
    <row r="221" customFormat="false" ht="15" hidden="false" customHeight="false" outlineLevel="0" collapsed="false">
      <c r="A221" s="8"/>
      <c r="B221" s="9"/>
      <c r="C221" s="8"/>
      <c r="D221" s="10" t="str">
        <f aca="false">IF(C221="","",IFERROR(VLOOKUP(C221,KhachHang!$A$2:$B$200,2,FALSE())&amp;"",""))</f>
        <v/>
      </c>
      <c r="E221" s="8"/>
      <c r="F221" s="8"/>
      <c r="G221" s="9"/>
      <c r="H221" s="8"/>
      <c r="I221" s="8"/>
      <c r="J221" s="9"/>
      <c r="K221" s="11" t="str">
        <f aca="false">IF(A221="","",SUMIFS(ChiTiet!$I$2:$I$2000,ChiTiet!$A$2:$A$2000,A221))</f>
        <v/>
      </c>
      <c r="L221" s="12"/>
      <c r="M221" s="11" t="str">
        <f aca="false">IF(A221="","",ROUND(K221*IF(L221="",0.08,L221),0))</f>
        <v/>
      </c>
      <c r="N221" s="11" t="str">
        <f aca="false">IF(A221="","",K221+M221)</f>
        <v/>
      </c>
      <c r="O221" s="11" t="str">
        <f aca="false">IF(A221="","",SUMIFS(ThuTien!$D$2:$D$2000,ThuTien!$B$2:$B$2000,A221))</f>
        <v/>
      </c>
      <c r="P221" s="11" t="str">
        <f aca="false">IF(A221="","",N221-O221)</f>
        <v/>
      </c>
      <c r="Q221" s="9"/>
      <c r="R221" s="10" t="str">
        <f aca="true">IF(A221="","",IF(AND(Q221&lt;&gt;"",P221&gt;0,TODAY()&gt;Q221),TODAY()-Q221,0))</f>
        <v/>
      </c>
      <c r="S221" s="10" t="str">
        <f aca="false">IF(A221="","",IF(N221=0,"Chưa có tiền hàng",IF(P221&lt;0,"Thu thừa",IF(P221=0,"Đã thu đủ",IF(O221&gt;0,"Thu một phần","Chưa thu")))))</f>
        <v/>
      </c>
      <c r="T221" s="10" t="str">
        <f aca="false">IF(A221="","",IF(AND(F221="Đã giao",H221&lt;&gt;"Đã xuất"),"Đã giao - CHƯA XUẤT HĐ",IF(AND(H221="Đã xuất",F221="Chưa giao"),"Đã xuất HĐ - chưa giao",IF(F221="","Chưa cập nhật giao hàng",IF(R221&gt;0,"Quá hạn "&amp;R221&amp;" ngày - đòi tiền",IF(P221&gt;0,"Chờ thu tiền",IF(P221&lt;0,"Kiểm tra thu thừa",IF(AND(F221="Đã giao",H221="Đã xuất"),"Hoàn tất","Theo dõi"))))))))</f>
        <v/>
      </c>
      <c r="U221" s="8"/>
    </row>
    <row r="222" customFormat="false" ht="15" hidden="false" customHeight="false" outlineLevel="0" collapsed="false">
      <c r="A222" s="8"/>
      <c r="B222" s="9"/>
      <c r="C222" s="8"/>
      <c r="D222" s="10" t="str">
        <f aca="false">IF(C222="","",IFERROR(VLOOKUP(C222,KhachHang!$A$2:$B$200,2,FALSE())&amp;"",""))</f>
        <v/>
      </c>
      <c r="E222" s="8"/>
      <c r="F222" s="8"/>
      <c r="G222" s="9"/>
      <c r="H222" s="8"/>
      <c r="I222" s="8"/>
      <c r="J222" s="9"/>
      <c r="K222" s="11" t="str">
        <f aca="false">IF(A222="","",SUMIFS(ChiTiet!$I$2:$I$2000,ChiTiet!$A$2:$A$2000,A222))</f>
        <v/>
      </c>
      <c r="L222" s="12"/>
      <c r="M222" s="11" t="str">
        <f aca="false">IF(A222="","",ROUND(K222*IF(L222="",0.08,L222),0))</f>
        <v/>
      </c>
      <c r="N222" s="11" t="str">
        <f aca="false">IF(A222="","",K222+M222)</f>
        <v/>
      </c>
      <c r="O222" s="11" t="str">
        <f aca="false">IF(A222="","",SUMIFS(ThuTien!$D$2:$D$2000,ThuTien!$B$2:$B$2000,A222))</f>
        <v/>
      </c>
      <c r="P222" s="11" t="str">
        <f aca="false">IF(A222="","",N222-O222)</f>
        <v/>
      </c>
      <c r="Q222" s="9"/>
      <c r="R222" s="10" t="str">
        <f aca="true">IF(A222="","",IF(AND(Q222&lt;&gt;"",P222&gt;0,TODAY()&gt;Q222),TODAY()-Q222,0))</f>
        <v/>
      </c>
      <c r="S222" s="10" t="str">
        <f aca="false">IF(A222="","",IF(N222=0,"Chưa có tiền hàng",IF(P222&lt;0,"Thu thừa",IF(P222=0,"Đã thu đủ",IF(O222&gt;0,"Thu một phần","Chưa thu")))))</f>
        <v/>
      </c>
      <c r="T222" s="10" t="str">
        <f aca="false">IF(A222="","",IF(AND(F222="Đã giao",H222&lt;&gt;"Đã xuất"),"Đã giao - CHƯA XUẤT HĐ",IF(AND(H222="Đã xuất",F222="Chưa giao"),"Đã xuất HĐ - chưa giao",IF(F222="","Chưa cập nhật giao hàng",IF(R222&gt;0,"Quá hạn "&amp;R222&amp;" ngày - đòi tiền",IF(P222&gt;0,"Chờ thu tiền",IF(P222&lt;0,"Kiểm tra thu thừa",IF(AND(F222="Đã giao",H222="Đã xuất"),"Hoàn tất","Theo dõi"))))))))</f>
        <v/>
      </c>
      <c r="U222" s="8"/>
    </row>
    <row r="223" customFormat="false" ht="15" hidden="false" customHeight="false" outlineLevel="0" collapsed="false">
      <c r="A223" s="8"/>
      <c r="B223" s="9"/>
      <c r="C223" s="8"/>
      <c r="D223" s="10" t="str">
        <f aca="false">IF(C223="","",IFERROR(VLOOKUP(C223,KhachHang!$A$2:$B$200,2,FALSE())&amp;"",""))</f>
        <v/>
      </c>
      <c r="E223" s="8"/>
      <c r="F223" s="8"/>
      <c r="G223" s="9"/>
      <c r="H223" s="8"/>
      <c r="I223" s="8"/>
      <c r="J223" s="9"/>
      <c r="K223" s="11" t="str">
        <f aca="false">IF(A223="","",SUMIFS(ChiTiet!$I$2:$I$2000,ChiTiet!$A$2:$A$2000,A223))</f>
        <v/>
      </c>
      <c r="L223" s="12"/>
      <c r="M223" s="11" t="str">
        <f aca="false">IF(A223="","",ROUND(K223*IF(L223="",0.08,L223),0))</f>
        <v/>
      </c>
      <c r="N223" s="11" t="str">
        <f aca="false">IF(A223="","",K223+M223)</f>
        <v/>
      </c>
      <c r="O223" s="11" t="str">
        <f aca="false">IF(A223="","",SUMIFS(ThuTien!$D$2:$D$2000,ThuTien!$B$2:$B$2000,A223))</f>
        <v/>
      </c>
      <c r="P223" s="11" t="str">
        <f aca="false">IF(A223="","",N223-O223)</f>
        <v/>
      </c>
      <c r="Q223" s="9"/>
      <c r="R223" s="10" t="str">
        <f aca="true">IF(A223="","",IF(AND(Q223&lt;&gt;"",P223&gt;0,TODAY()&gt;Q223),TODAY()-Q223,0))</f>
        <v/>
      </c>
      <c r="S223" s="10" t="str">
        <f aca="false">IF(A223="","",IF(N223=0,"Chưa có tiền hàng",IF(P223&lt;0,"Thu thừa",IF(P223=0,"Đã thu đủ",IF(O223&gt;0,"Thu một phần","Chưa thu")))))</f>
        <v/>
      </c>
      <c r="T223" s="10" t="str">
        <f aca="false">IF(A223="","",IF(AND(F223="Đã giao",H223&lt;&gt;"Đã xuất"),"Đã giao - CHƯA XUẤT HĐ",IF(AND(H223="Đã xuất",F223="Chưa giao"),"Đã xuất HĐ - chưa giao",IF(F223="","Chưa cập nhật giao hàng",IF(R223&gt;0,"Quá hạn "&amp;R223&amp;" ngày - đòi tiền",IF(P223&gt;0,"Chờ thu tiền",IF(P223&lt;0,"Kiểm tra thu thừa",IF(AND(F223="Đã giao",H223="Đã xuất"),"Hoàn tất","Theo dõi"))))))))</f>
        <v/>
      </c>
      <c r="U223" s="8"/>
    </row>
    <row r="224" customFormat="false" ht="15" hidden="false" customHeight="false" outlineLevel="0" collapsed="false">
      <c r="A224" s="8"/>
      <c r="B224" s="9"/>
      <c r="C224" s="8"/>
      <c r="D224" s="10" t="str">
        <f aca="false">IF(C224="","",IFERROR(VLOOKUP(C224,KhachHang!$A$2:$B$200,2,FALSE())&amp;"",""))</f>
        <v/>
      </c>
      <c r="E224" s="8"/>
      <c r="F224" s="8"/>
      <c r="G224" s="9"/>
      <c r="H224" s="8"/>
      <c r="I224" s="8"/>
      <c r="J224" s="9"/>
      <c r="K224" s="11" t="str">
        <f aca="false">IF(A224="","",SUMIFS(ChiTiet!$I$2:$I$2000,ChiTiet!$A$2:$A$2000,A224))</f>
        <v/>
      </c>
      <c r="L224" s="12"/>
      <c r="M224" s="11" t="str">
        <f aca="false">IF(A224="","",ROUND(K224*IF(L224="",0.08,L224),0))</f>
        <v/>
      </c>
      <c r="N224" s="11" t="str">
        <f aca="false">IF(A224="","",K224+M224)</f>
        <v/>
      </c>
      <c r="O224" s="11" t="str">
        <f aca="false">IF(A224="","",SUMIFS(ThuTien!$D$2:$D$2000,ThuTien!$B$2:$B$2000,A224))</f>
        <v/>
      </c>
      <c r="P224" s="11" t="str">
        <f aca="false">IF(A224="","",N224-O224)</f>
        <v/>
      </c>
      <c r="Q224" s="9"/>
      <c r="R224" s="10" t="str">
        <f aca="true">IF(A224="","",IF(AND(Q224&lt;&gt;"",P224&gt;0,TODAY()&gt;Q224),TODAY()-Q224,0))</f>
        <v/>
      </c>
      <c r="S224" s="10" t="str">
        <f aca="false">IF(A224="","",IF(N224=0,"Chưa có tiền hàng",IF(P224&lt;0,"Thu thừa",IF(P224=0,"Đã thu đủ",IF(O224&gt;0,"Thu một phần","Chưa thu")))))</f>
        <v/>
      </c>
      <c r="T224" s="10" t="str">
        <f aca="false">IF(A224="","",IF(AND(F224="Đã giao",H224&lt;&gt;"Đã xuất"),"Đã giao - CHƯA XUẤT HĐ",IF(AND(H224="Đã xuất",F224="Chưa giao"),"Đã xuất HĐ - chưa giao",IF(F224="","Chưa cập nhật giao hàng",IF(R224&gt;0,"Quá hạn "&amp;R224&amp;" ngày - đòi tiền",IF(P224&gt;0,"Chờ thu tiền",IF(P224&lt;0,"Kiểm tra thu thừa",IF(AND(F224="Đã giao",H224="Đã xuất"),"Hoàn tất","Theo dõi"))))))))</f>
        <v/>
      </c>
      <c r="U224" s="8"/>
    </row>
    <row r="225" customFormat="false" ht="15" hidden="false" customHeight="false" outlineLevel="0" collapsed="false">
      <c r="A225" s="8"/>
      <c r="B225" s="9"/>
      <c r="C225" s="8"/>
      <c r="D225" s="10" t="str">
        <f aca="false">IF(C225="","",IFERROR(VLOOKUP(C225,KhachHang!$A$2:$B$200,2,FALSE())&amp;"",""))</f>
        <v/>
      </c>
      <c r="E225" s="8"/>
      <c r="F225" s="8"/>
      <c r="G225" s="9"/>
      <c r="H225" s="8"/>
      <c r="I225" s="8"/>
      <c r="J225" s="9"/>
      <c r="K225" s="11" t="str">
        <f aca="false">IF(A225="","",SUMIFS(ChiTiet!$I$2:$I$2000,ChiTiet!$A$2:$A$2000,A225))</f>
        <v/>
      </c>
      <c r="L225" s="12"/>
      <c r="M225" s="11" t="str">
        <f aca="false">IF(A225="","",ROUND(K225*IF(L225="",0.08,L225),0))</f>
        <v/>
      </c>
      <c r="N225" s="11" t="str">
        <f aca="false">IF(A225="","",K225+M225)</f>
        <v/>
      </c>
      <c r="O225" s="11" t="str">
        <f aca="false">IF(A225="","",SUMIFS(ThuTien!$D$2:$D$2000,ThuTien!$B$2:$B$2000,A225))</f>
        <v/>
      </c>
      <c r="P225" s="11" t="str">
        <f aca="false">IF(A225="","",N225-O225)</f>
        <v/>
      </c>
      <c r="Q225" s="9"/>
      <c r="R225" s="10" t="str">
        <f aca="true">IF(A225="","",IF(AND(Q225&lt;&gt;"",P225&gt;0,TODAY()&gt;Q225),TODAY()-Q225,0))</f>
        <v/>
      </c>
      <c r="S225" s="10" t="str">
        <f aca="false">IF(A225="","",IF(N225=0,"Chưa có tiền hàng",IF(P225&lt;0,"Thu thừa",IF(P225=0,"Đã thu đủ",IF(O225&gt;0,"Thu một phần","Chưa thu")))))</f>
        <v/>
      </c>
      <c r="T225" s="10" t="str">
        <f aca="false">IF(A225="","",IF(AND(F225="Đã giao",H225&lt;&gt;"Đã xuất"),"Đã giao - CHƯA XUẤT HĐ",IF(AND(H225="Đã xuất",F225="Chưa giao"),"Đã xuất HĐ - chưa giao",IF(F225="","Chưa cập nhật giao hàng",IF(R225&gt;0,"Quá hạn "&amp;R225&amp;" ngày - đòi tiền",IF(P225&gt;0,"Chờ thu tiền",IF(P225&lt;0,"Kiểm tra thu thừa",IF(AND(F225="Đã giao",H225="Đã xuất"),"Hoàn tất","Theo dõi"))))))))</f>
        <v/>
      </c>
      <c r="U225" s="8"/>
    </row>
    <row r="226" customFormat="false" ht="15" hidden="false" customHeight="false" outlineLevel="0" collapsed="false">
      <c r="A226" s="8"/>
      <c r="B226" s="9"/>
      <c r="C226" s="8"/>
      <c r="D226" s="10" t="str">
        <f aca="false">IF(C226="","",IFERROR(VLOOKUP(C226,KhachHang!$A$2:$B$200,2,FALSE())&amp;"",""))</f>
        <v/>
      </c>
      <c r="E226" s="8"/>
      <c r="F226" s="8"/>
      <c r="G226" s="9"/>
      <c r="H226" s="8"/>
      <c r="I226" s="8"/>
      <c r="J226" s="9"/>
      <c r="K226" s="11" t="str">
        <f aca="false">IF(A226="","",SUMIFS(ChiTiet!$I$2:$I$2000,ChiTiet!$A$2:$A$2000,A226))</f>
        <v/>
      </c>
      <c r="L226" s="12"/>
      <c r="M226" s="11" t="str">
        <f aca="false">IF(A226="","",ROUND(K226*IF(L226="",0.08,L226),0))</f>
        <v/>
      </c>
      <c r="N226" s="11" t="str">
        <f aca="false">IF(A226="","",K226+M226)</f>
        <v/>
      </c>
      <c r="O226" s="11" t="str">
        <f aca="false">IF(A226="","",SUMIFS(ThuTien!$D$2:$D$2000,ThuTien!$B$2:$B$2000,A226))</f>
        <v/>
      </c>
      <c r="P226" s="11" t="str">
        <f aca="false">IF(A226="","",N226-O226)</f>
        <v/>
      </c>
      <c r="Q226" s="9"/>
      <c r="R226" s="10" t="str">
        <f aca="true">IF(A226="","",IF(AND(Q226&lt;&gt;"",P226&gt;0,TODAY()&gt;Q226),TODAY()-Q226,0))</f>
        <v/>
      </c>
      <c r="S226" s="10" t="str">
        <f aca="false">IF(A226="","",IF(N226=0,"Chưa có tiền hàng",IF(P226&lt;0,"Thu thừa",IF(P226=0,"Đã thu đủ",IF(O226&gt;0,"Thu một phần","Chưa thu")))))</f>
        <v/>
      </c>
      <c r="T226" s="10" t="str">
        <f aca="false">IF(A226="","",IF(AND(F226="Đã giao",H226&lt;&gt;"Đã xuất"),"Đã giao - CHƯA XUẤT HĐ",IF(AND(H226="Đã xuất",F226="Chưa giao"),"Đã xuất HĐ - chưa giao",IF(F226="","Chưa cập nhật giao hàng",IF(R226&gt;0,"Quá hạn "&amp;R226&amp;" ngày - đòi tiền",IF(P226&gt;0,"Chờ thu tiền",IF(P226&lt;0,"Kiểm tra thu thừa",IF(AND(F226="Đã giao",H226="Đã xuất"),"Hoàn tất","Theo dõi"))))))))</f>
        <v/>
      </c>
      <c r="U226" s="8"/>
    </row>
    <row r="227" customFormat="false" ht="15" hidden="false" customHeight="false" outlineLevel="0" collapsed="false">
      <c r="A227" s="8"/>
      <c r="B227" s="9"/>
      <c r="C227" s="8"/>
      <c r="D227" s="10" t="str">
        <f aca="false">IF(C227="","",IFERROR(VLOOKUP(C227,KhachHang!$A$2:$B$200,2,FALSE())&amp;"",""))</f>
        <v/>
      </c>
      <c r="E227" s="8"/>
      <c r="F227" s="8"/>
      <c r="G227" s="9"/>
      <c r="H227" s="8"/>
      <c r="I227" s="8"/>
      <c r="J227" s="9"/>
      <c r="K227" s="11" t="str">
        <f aca="false">IF(A227="","",SUMIFS(ChiTiet!$I$2:$I$2000,ChiTiet!$A$2:$A$2000,A227))</f>
        <v/>
      </c>
      <c r="L227" s="12"/>
      <c r="M227" s="11" t="str">
        <f aca="false">IF(A227="","",ROUND(K227*IF(L227="",0.08,L227),0))</f>
        <v/>
      </c>
      <c r="N227" s="11" t="str">
        <f aca="false">IF(A227="","",K227+M227)</f>
        <v/>
      </c>
      <c r="O227" s="11" t="str">
        <f aca="false">IF(A227="","",SUMIFS(ThuTien!$D$2:$D$2000,ThuTien!$B$2:$B$2000,A227))</f>
        <v/>
      </c>
      <c r="P227" s="11" t="str">
        <f aca="false">IF(A227="","",N227-O227)</f>
        <v/>
      </c>
      <c r="Q227" s="9"/>
      <c r="R227" s="10" t="str">
        <f aca="true">IF(A227="","",IF(AND(Q227&lt;&gt;"",P227&gt;0,TODAY()&gt;Q227),TODAY()-Q227,0))</f>
        <v/>
      </c>
      <c r="S227" s="10" t="str">
        <f aca="false">IF(A227="","",IF(N227=0,"Chưa có tiền hàng",IF(P227&lt;0,"Thu thừa",IF(P227=0,"Đã thu đủ",IF(O227&gt;0,"Thu một phần","Chưa thu")))))</f>
        <v/>
      </c>
      <c r="T227" s="10" t="str">
        <f aca="false">IF(A227="","",IF(AND(F227="Đã giao",H227&lt;&gt;"Đã xuất"),"Đã giao - CHƯA XUẤT HĐ",IF(AND(H227="Đã xuất",F227="Chưa giao"),"Đã xuất HĐ - chưa giao",IF(F227="","Chưa cập nhật giao hàng",IF(R227&gt;0,"Quá hạn "&amp;R227&amp;" ngày - đòi tiền",IF(P227&gt;0,"Chờ thu tiền",IF(P227&lt;0,"Kiểm tra thu thừa",IF(AND(F227="Đã giao",H227="Đã xuất"),"Hoàn tất","Theo dõi"))))))))</f>
        <v/>
      </c>
      <c r="U227" s="8"/>
    </row>
    <row r="228" customFormat="false" ht="15" hidden="false" customHeight="false" outlineLevel="0" collapsed="false">
      <c r="A228" s="8"/>
      <c r="B228" s="9"/>
      <c r="C228" s="8"/>
      <c r="D228" s="10" t="str">
        <f aca="false">IF(C228="","",IFERROR(VLOOKUP(C228,KhachHang!$A$2:$B$200,2,FALSE())&amp;"",""))</f>
        <v/>
      </c>
      <c r="E228" s="8"/>
      <c r="F228" s="8"/>
      <c r="G228" s="9"/>
      <c r="H228" s="8"/>
      <c r="I228" s="8"/>
      <c r="J228" s="9"/>
      <c r="K228" s="11" t="str">
        <f aca="false">IF(A228="","",SUMIFS(ChiTiet!$I$2:$I$2000,ChiTiet!$A$2:$A$2000,A228))</f>
        <v/>
      </c>
      <c r="L228" s="12"/>
      <c r="M228" s="11" t="str">
        <f aca="false">IF(A228="","",ROUND(K228*IF(L228="",0.08,L228),0))</f>
        <v/>
      </c>
      <c r="N228" s="11" t="str">
        <f aca="false">IF(A228="","",K228+M228)</f>
        <v/>
      </c>
      <c r="O228" s="11" t="str">
        <f aca="false">IF(A228="","",SUMIFS(ThuTien!$D$2:$D$2000,ThuTien!$B$2:$B$2000,A228))</f>
        <v/>
      </c>
      <c r="P228" s="11" t="str">
        <f aca="false">IF(A228="","",N228-O228)</f>
        <v/>
      </c>
      <c r="Q228" s="9"/>
      <c r="R228" s="10" t="str">
        <f aca="true">IF(A228="","",IF(AND(Q228&lt;&gt;"",P228&gt;0,TODAY()&gt;Q228),TODAY()-Q228,0))</f>
        <v/>
      </c>
      <c r="S228" s="10" t="str">
        <f aca="false">IF(A228="","",IF(N228=0,"Chưa có tiền hàng",IF(P228&lt;0,"Thu thừa",IF(P228=0,"Đã thu đủ",IF(O228&gt;0,"Thu một phần","Chưa thu")))))</f>
        <v/>
      </c>
      <c r="T228" s="10" t="str">
        <f aca="false">IF(A228="","",IF(AND(F228="Đã giao",H228&lt;&gt;"Đã xuất"),"Đã giao - CHƯA XUẤT HĐ",IF(AND(H228="Đã xuất",F228="Chưa giao"),"Đã xuất HĐ - chưa giao",IF(F228="","Chưa cập nhật giao hàng",IF(R228&gt;0,"Quá hạn "&amp;R228&amp;" ngày - đòi tiền",IF(P228&gt;0,"Chờ thu tiền",IF(P228&lt;0,"Kiểm tra thu thừa",IF(AND(F228="Đã giao",H228="Đã xuất"),"Hoàn tất","Theo dõi"))))))))</f>
        <v/>
      </c>
      <c r="U228" s="8"/>
    </row>
    <row r="229" customFormat="false" ht="15" hidden="false" customHeight="false" outlineLevel="0" collapsed="false">
      <c r="A229" s="8"/>
      <c r="B229" s="9"/>
      <c r="C229" s="8"/>
      <c r="D229" s="10" t="str">
        <f aca="false">IF(C229="","",IFERROR(VLOOKUP(C229,KhachHang!$A$2:$B$200,2,FALSE())&amp;"",""))</f>
        <v/>
      </c>
      <c r="E229" s="8"/>
      <c r="F229" s="8"/>
      <c r="G229" s="9"/>
      <c r="H229" s="8"/>
      <c r="I229" s="8"/>
      <c r="J229" s="9"/>
      <c r="K229" s="11" t="str">
        <f aca="false">IF(A229="","",SUMIFS(ChiTiet!$I$2:$I$2000,ChiTiet!$A$2:$A$2000,A229))</f>
        <v/>
      </c>
      <c r="L229" s="12"/>
      <c r="M229" s="11" t="str">
        <f aca="false">IF(A229="","",ROUND(K229*IF(L229="",0.08,L229),0))</f>
        <v/>
      </c>
      <c r="N229" s="11" t="str">
        <f aca="false">IF(A229="","",K229+M229)</f>
        <v/>
      </c>
      <c r="O229" s="11" t="str">
        <f aca="false">IF(A229="","",SUMIFS(ThuTien!$D$2:$D$2000,ThuTien!$B$2:$B$2000,A229))</f>
        <v/>
      </c>
      <c r="P229" s="11" t="str">
        <f aca="false">IF(A229="","",N229-O229)</f>
        <v/>
      </c>
      <c r="Q229" s="9"/>
      <c r="R229" s="10" t="str">
        <f aca="true">IF(A229="","",IF(AND(Q229&lt;&gt;"",P229&gt;0,TODAY()&gt;Q229),TODAY()-Q229,0))</f>
        <v/>
      </c>
      <c r="S229" s="10" t="str">
        <f aca="false">IF(A229="","",IF(N229=0,"Chưa có tiền hàng",IF(P229&lt;0,"Thu thừa",IF(P229=0,"Đã thu đủ",IF(O229&gt;0,"Thu một phần","Chưa thu")))))</f>
        <v/>
      </c>
      <c r="T229" s="10" t="str">
        <f aca="false">IF(A229="","",IF(AND(F229="Đã giao",H229&lt;&gt;"Đã xuất"),"Đã giao - CHƯA XUẤT HĐ",IF(AND(H229="Đã xuất",F229="Chưa giao"),"Đã xuất HĐ - chưa giao",IF(F229="","Chưa cập nhật giao hàng",IF(R229&gt;0,"Quá hạn "&amp;R229&amp;" ngày - đòi tiền",IF(P229&gt;0,"Chờ thu tiền",IF(P229&lt;0,"Kiểm tra thu thừa",IF(AND(F229="Đã giao",H229="Đã xuất"),"Hoàn tất","Theo dõi"))))))))</f>
        <v/>
      </c>
      <c r="U229" s="8"/>
    </row>
    <row r="230" customFormat="false" ht="15" hidden="false" customHeight="false" outlineLevel="0" collapsed="false">
      <c r="A230" s="8"/>
      <c r="B230" s="9"/>
      <c r="C230" s="8"/>
      <c r="D230" s="10" t="str">
        <f aca="false">IF(C230="","",IFERROR(VLOOKUP(C230,KhachHang!$A$2:$B$200,2,FALSE())&amp;"",""))</f>
        <v/>
      </c>
      <c r="E230" s="8"/>
      <c r="F230" s="8"/>
      <c r="G230" s="9"/>
      <c r="H230" s="8"/>
      <c r="I230" s="8"/>
      <c r="J230" s="9"/>
      <c r="K230" s="11" t="str">
        <f aca="false">IF(A230="","",SUMIFS(ChiTiet!$I$2:$I$2000,ChiTiet!$A$2:$A$2000,A230))</f>
        <v/>
      </c>
      <c r="L230" s="12"/>
      <c r="M230" s="11" t="str">
        <f aca="false">IF(A230="","",ROUND(K230*IF(L230="",0.08,L230),0))</f>
        <v/>
      </c>
      <c r="N230" s="11" t="str">
        <f aca="false">IF(A230="","",K230+M230)</f>
        <v/>
      </c>
      <c r="O230" s="11" t="str">
        <f aca="false">IF(A230="","",SUMIFS(ThuTien!$D$2:$D$2000,ThuTien!$B$2:$B$2000,A230))</f>
        <v/>
      </c>
      <c r="P230" s="11" t="str">
        <f aca="false">IF(A230="","",N230-O230)</f>
        <v/>
      </c>
      <c r="Q230" s="9"/>
      <c r="R230" s="10" t="str">
        <f aca="true">IF(A230="","",IF(AND(Q230&lt;&gt;"",P230&gt;0,TODAY()&gt;Q230),TODAY()-Q230,0))</f>
        <v/>
      </c>
      <c r="S230" s="10" t="str">
        <f aca="false">IF(A230="","",IF(N230=0,"Chưa có tiền hàng",IF(P230&lt;0,"Thu thừa",IF(P230=0,"Đã thu đủ",IF(O230&gt;0,"Thu một phần","Chưa thu")))))</f>
        <v/>
      </c>
      <c r="T230" s="10" t="str">
        <f aca="false">IF(A230="","",IF(AND(F230="Đã giao",H230&lt;&gt;"Đã xuất"),"Đã giao - CHƯA XUẤT HĐ",IF(AND(H230="Đã xuất",F230="Chưa giao"),"Đã xuất HĐ - chưa giao",IF(F230="","Chưa cập nhật giao hàng",IF(R230&gt;0,"Quá hạn "&amp;R230&amp;" ngày - đòi tiền",IF(P230&gt;0,"Chờ thu tiền",IF(P230&lt;0,"Kiểm tra thu thừa",IF(AND(F230="Đã giao",H230="Đã xuất"),"Hoàn tất","Theo dõi"))))))))</f>
        <v/>
      </c>
      <c r="U230" s="8"/>
    </row>
    <row r="231" customFormat="false" ht="15" hidden="false" customHeight="false" outlineLevel="0" collapsed="false">
      <c r="A231" s="8"/>
      <c r="B231" s="9"/>
      <c r="C231" s="8"/>
      <c r="D231" s="10" t="str">
        <f aca="false">IF(C231="","",IFERROR(VLOOKUP(C231,KhachHang!$A$2:$B$200,2,FALSE())&amp;"",""))</f>
        <v/>
      </c>
      <c r="E231" s="8"/>
      <c r="F231" s="8"/>
      <c r="G231" s="9"/>
      <c r="H231" s="8"/>
      <c r="I231" s="8"/>
      <c r="J231" s="9"/>
      <c r="K231" s="11" t="str">
        <f aca="false">IF(A231="","",SUMIFS(ChiTiet!$I$2:$I$2000,ChiTiet!$A$2:$A$2000,A231))</f>
        <v/>
      </c>
      <c r="L231" s="12"/>
      <c r="M231" s="11" t="str">
        <f aca="false">IF(A231="","",ROUND(K231*IF(L231="",0.08,L231),0))</f>
        <v/>
      </c>
      <c r="N231" s="11" t="str">
        <f aca="false">IF(A231="","",K231+M231)</f>
        <v/>
      </c>
      <c r="O231" s="11" t="str">
        <f aca="false">IF(A231="","",SUMIFS(ThuTien!$D$2:$D$2000,ThuTien!$B$2:$B$2000,A231))</f>
        <v/>
      </c>
      <c r="P231" s="11" t="str">
        <f aca="false">IF(A231="","",N231-O231)</f>
        <v/>
      </c>
      <c r="Q231" s="9"/>
      <c r="R231" s="10" t="str">
        <f aca="true">IF(A231="","",IF(AND(Q231&lt;&gt;"",P231&gt;0,TODAY()&gt;Q231),TODAY()-Q231,0))</f>
        <v/>
      </c>
      <c r="S231" s="10" t="str">
        <f aca="false">IF(A231="","",IF(N231=0,"Chưa có tiền hàng",IF(P231&lt;0,"Thu thừa",IF(P231=0,"Đã thu đủ",IF(O231&gt;0,"Thu một phần","Chưa thu")))))</f>
        <v/>
      </c>
      <c r="T231" s="10" t="str">
        <f aca="false">IF(A231="","",IF(AND(F231="Đã giao",H231&lt;&gt;"Đã xuất"),"Đã giao - CHƯA XUẤT HĐ",IF(AND(H231="Đã xuất",F231="Chưa giao"),"Đã xuất HĐ - chưa giao",IF(F231="","Chưa cập nhật giao hàng",IF(R231&gt;0,"Quá hạn "&amp;R231&amp;" ngày - đòi tiền",IF(P231&gt;0,"Chờ thu tiền",IF(P231&lt;0,"Kiểm tra thu thừa",IF(AND(F231="Đã giao",H231="Đã xuất"),"Hoàn tất","Theo dõi"))))))))</f>
        <v/>
      </c>
      <c r="U231" s="8"/>
    </row>
    <row r="232" customFormat="false" ht="15" hidden="false" customHeight="false" outlineLevel="0" collapsed="false">
      <c r="A232" s="8"/>
      <c r="B232" s="9"/>
      <c r="C232" s="8"/>
      <c r="D232" s="10" t="str">
        <f aca="false">IF(C232="","",IFERROR(VLOOKUP(C232,KhachHang!$A$2:$B$200,2,FALSE())&amp;"",""))</f>
        <v/>
      </c>
      <c r="E232" s="8"/>
      <c r="F232" s="8"/>
      <c r="G232" s="9"/>
      <c r="H232" s="8"/>
      <c r="I232" s="8"/>
      <c r="J232" s="9"/>
      <c r="K232" s="11" t="str">
        <f aca="false">IF(A232="","",SUMIFS(ChiTiet!$I$2:$I$2000,ChiTiet!$A$2:$A$2000,A232))</f>
        <v/>
      </c>
      <c r="L232" s="12"/>
      <c r="M232" s="11" t="str">
        <f aca="false">IF(A232="","",ROUND(K232*IF(L232="",0.08,L232),0))</f>
        <v/>
      </c>
      <c r="N232" s="11" t="str">
        <f aca="false">IF(A232="","",K232+M232)</f>
        <v/>
      </c>
      <c r="O232" s="11" t="str">
        <f aca="false">IF(A232="","",SUMIFS(ThuTien!$D$2:$D$2000,ThuTien!$B$2:$B$2000,A232))</f>
        <v/>
      </c>
      <c r="P232" s="11" t="str">
        <f aca="false">IF(A232="","",N232-O232)</f>
        <v/>
      </c>
      <c r="Q232" s="9"/>
      <c r="R232" s="10" t="str">
        <f aca="true">IF(A232="","",IF(AND(Q232&lt;&gt;"",P232&gt;0,TODAY()&gt;Q232),TODAY()-Q232,0))</f>
        <v/>
      </c>
      <c r="S232" s="10" t="str">
        <f aca="false">IF(A232="","",IF(N232=0,"Chưa có tiền hàng",IF(P232&lt;0,"Thu thừa",IF(P232=0,"Đã thu đủ",IF(O232&gt;0,"Thu một phần","Chưa thu")))))</f>
        <v/>
      </c>
      <c r="T232" s="10" t="str">
        <f aca="false">IF(A232="","",IF(AND(F232="Đã giao",H232&lt;&gt;"Đã xuất"),"Đã giao - CHƯA XUẤT HĐ",IF(AND(H232="Đã xuất",F232="Chưa giao"),"Đã xuất HĐ - chưa giao",IF(F232="","Chưa cập nhật giao hàng",IF(R232&gt;0,"Quá hạn "&amp;R232&amp;" ngày - đòi tiền",IF(P232&gt;0,"Chờ thu tiền",IF(P232&lt;0,"Kiểm tra thu thừa",IF(AND(F232="Đã giao",H232="Đã xuất"),"Hoàn tất","Theo dõi"))))))))</f>
        <v/>
      </c>
      <c r="U232" s="8"/>
    </row>
    <row r="233" customFormat="false" ht="15" hidden="false" customHeight="false" outlineLevel="0" collapsed="false">
      <c r="A233" s="8"/>
      <c r="B233" s="9"/>
      <c r="C233" s="8"/>
      <c r="D233" s="10" t="str">
        <f aca="false">IF(C233="","",IFERROR(VLOOKUP(C233,KhachHang!$A$2:$B$200,2,FALSE())&amp;"",""))</f>
        <v/>
      </c>
      <c r="E233" s="8"/>
      <c r="F233" s="8"/>
      <c r="G233" s="9"/>
      <c r="H233" s="8"/>
      <c r="I233" s="8"/>
      <c r="J233" s="9"/>
      <c r="K233" s="11" t="str">
        <f aca="false">IF(A233="","",SUMIFS(ChiTiet!$I$2:$I$2000,ChiTiet!$A$2:$A$2000,A233))</f>
        <v/>
      </c>
      <c r="L233" s="12"/>
      <c r="M233" s="11" t="str">
        <f aca="false">IF(A233="","",ROUND(K233*IF(L233="",0.08,L233),0))</f>
        <v/>
      </c>
      <c r="N233" s="11" t="str">
        <f aca="false">IF(A233="","",K233+M233)</f>
        <v/>
      </c>
      <c r="O233" s="11" t="str">
        <f aca="false">IF(A233="","",SUMIFS(ThuTien!$D$2:$D$2000,ThuTien!$B$2:$B$2000,A233))</f>
        <v/>
      </c>
      <c r="P233" s="11" t="str">
        <f aca="false">IF(A233="","",N233-O233)</f>
        <v/>
      </c>
      <c r="Q233" s="9"/>
      <c r="R233" s="10" t="str">
        <f aca="true">IF(A233="","",IF(AND(Q233&lt;&gt;"",P233&gt;0,TODAY()&gt;Q233),TODAY()-Q233,0))</f>
        <v/>
      </c>
      <c r="S233" s="10" t="str">
        <f aca="false">IF(A233="","",IF(N233=0,"Chưa có tiền hàng",IF(P233&lt;0,"Thu thừa",IF(P233=0,"Đã thu đủ",IF(O233&gt;0,"Thu một phần","Chưa thu")))))</f>
        <v/>
      </c>
      <c r="T233" s="10" t="str">
        <f aca="false">IF(A233="","",IF(AND(F233="Đã giao",H233&lt;&gt;"Đã xuất"),"Đã giao - CHƯA XUẤT HĐ",IF(AND(H233="Đã xuất",F233="Chưa giao"),"Đã xuất HĐ - chưa giao",IF(F233="","Chưa cập nhật giao hàng",IF(R233&gt;0,"Quá hạn "&amp;R233&amp;" ngày - đòi tiền",IF(P233&gt;0,"Chờ thu tiền",IF(P233&lt;0,"Kiểm tra thu thừa",IF(AND(F233="Đã giao",H233="Đã xuất"),"Hoàn tất","Theo dõi"))))))))</f>
        <v/>
      </c>
      <c r="U233" s="8"/>
    </row>
    <row r="234" customFormat="false" ht="15" hidden="false" customHeight="false" outlineLevel="0" collapsed="false">
      <c r="A234" s="8"/>
      <c r="B234" s="9"/>
      <c r="C234" s="8"/>
      <c r="D234" s="10" t="str">
        <f aca="false">IF(C234="","",IFERROR(VLOOKUP(C234,KhachHang!$A$2:$B$200,2,FALSE())&amp;"",""))</f>
        <v/>
      </c>
      <c r="E234" s="8"/>
      <c r="F234" s="8"/>
      <c r="G234" s="9"/>
      <c r="H234" s="8"/>
      <c r="I234" s="8"/>
      <c r="J234" s="9"/>
      <c r="K234" s="11" t="str">
        <f aca="false">IF(A234="","",SUMIFS(ChiTiet!$I$2:$I$2000,ChiTiet!$A$2:$A$2000,A234))</f>
        <v/>
      </c>
      <c r="L234" s="12"/>
      <c r="M234" s="11" t="str">
        <f aca="false">IF(A234="","",ROUND(K234*IF(L234="",0.08,L234),0))</f>
        <v/>
      </c>
      <c r="N234" s="11" t="str">
        <f aca="false">IF(A234="","",K234+M234)</f>
        <v/>
      </c>
      <c r="O234" s="11" t="str">
        <f aca="false">IF(A234="","",SUMIFS(ThuTien!$D$2:$D$2000,ThuTien!$B$2:$B$2000,A234))</f>
        <v/>
      </c>
      <c r="P234" s="11" t="str">
        <f aca="false">IF(A234="","",N234-O234)</f>
        <v/>
      </c>
      <c r="Q234" s="9"/>
      <c r="R234" s="10" t="str">
        <f aca="true">IF(A234="","",IF(AND(Q234&lt;&gt;"",P234&gt;0,TODAY()&gt;Q234),TODAY()-Q234,0))</f>
        <v/>
      </c>
      <c r="S234" s="10" t="str">
        <f aca="false">IF(A234="","",IF(N234=0,"Chưa có tiền hàng",IF(P234&lt;0,"Thu thừa",IF(P234=0,"Đã thu đủ",IF(O234&gt;0,"Thu một phần","Chưa thu")))))</f>
        <v/>
      </c>
      <c r="T234" s="10" t="str">
        <f aca="false">IF(A234="","",IF(AND(F234="Đã giao",H234&lt;&gt;"Đã xuất"),"Đã giao - CHƯA XUẤT HĐ",IF(AND(H234="Đã xuất",F234="Chưa giao"),"Đã xuất HĐ - chưa giao",IF(F234="","Chưa cập nhật giao hàng",IF(R234&gt;0,"Quá hạn "&amp;R234&amp;" ngày - đòi tiền",IF(P234&gt;0,"Chờ thu tiền",IF(P234&lt;0,"Kiểm tra thu thừa",IF(AND(F234="Đã giao",H234="Đã xuất"),"Hoàn tất","Theo dõi"))))))))</f>
        <v/>
      </c>
      <c r="U234" s="8"/>
    </row>
    <row r="235" customFormat="false" ht="15" hidden="false" customHeight="false" outlineLevel="0" collapsed="false">
      <c r="A235" s="8"/>
      <c r="B235" s="9"/>
      <c r="C235" s="8"/>
      <c r="D235" s="10" t="str">
        <f aca="false">IF(C235="","",IFERROR(VLOOKUP(C235,KhachHang!$A$2:$B$200,2,FALSE())&amp;"",""))</f>
        <v/>
      </c>
      <c r="E235" s="8"/>
      <c r="F235" s="8"/>
      <c r="G235" s="9"/>
      <c r="H235" s="8"/>
      <c r="I235" s="8"/>
      <c r="J235" s="9"/>
      <c r="K235" s="11" t="str">
        <f aca="false">IF(A235="","",SUMIFS(ChiTiet!$I$2:$I$2000,ChiTiet!$A$2:$A$2000,A235))</f>
        <v/>
      </c>
      <c r="L235" s="12"/>
      <c r="M235" s="11" t="str">
        <f aca="false">IF(A235="","",ROUND(K235*IF(L235="",0.08,L235),0))</f>
        <v/>
      </c>
      <c r="N235" s="11" t="str">
        <f aca="false">IF(A235="","",K235+M235)</f>
        <v/>
      </c>
      <c r="O235" s="11" t="str">
        <f aca="false">IF(A235="","",SUMIFS(ThuTien!$D$2:$D$2000,ThuTien!$B$2:$B$2000,A235))</f>
        <v/>
      </c>
      <c r="P235" s="11" t="str">
        <f aca="false">IF(A235="","",N235-O235)</f>
        <v/>
      </c>
      <c r="Q235" s="9"/>
      <c r="R235" s="10" t="str">
        <f aca="true">IF(A235="","",IF(AND(Q235&lt;&gt;"",P235&gt;0,TODAY()&gt;Q235),TODAY()-Q235,0))</f>
        <v/>
      </c>
      <c r="S235" s="10" t="str">
        <f aca="false">IF(A235="","",IF(N235=0,"Chưa có tiền hàng",IF(P235&lt;0,"Thu thừa",IF(P235=0,"Đã thu đủ",IF(O235&gt;0,"Thu một phần","Chưa thu")))))</f>
        <v/>
      </c>
      <c r="T235" s="10" t="str">
        <f aca="false">IF(A235="","",IF(AND(F235="Đã giao",H235&lt;&gt;"Đã xuất"),"Đã giao - CHƯA XUẤT HĐ",IF(AND(H235="Đã xuất",F235="Chưa giao"),"Đã xuất HĐ - chưa giao",IF(F235="","Chưa cập nhật giao hàng",IF(R235&gt;0,"Quá hạn "&amp;R235&amp;" ngày - đòi tiền",IF(P235&gt;0,"Chờ thu tiền",IF(P235&lt;0,"Kiểm tra thu thừa",IF(AND(F235="Đã giao",H235="Đã xuất"),"Hoàn tất","Theo dõi"))))))))</f>
        <v/>
      </c>
      <c r="U235" s="8"/>
    </row>
    <row r="236" customFormat="false" ht="15" hidden="false" customHeight="false" outlineLevel="0" collapsed="false">
      <c r="A236" s="8"/>
      <c r="B236" s="9"/>
      <c r="C236" s="8"/>
      <c r="D236" s="10" t="str">
        <f aca="false">IF(C236="","",IFERROR(VLOOKUP(C236,KhachHang!$A$2:$B$200,2,FALSE())&amp;"",""))</f>
        <v/>
      </c>
      <c r="E236" s="8"/>
      <c r="F236" s="8"/>
      <c r="G236" s="9"/>
      <c r="H236" s="8"/>
      <c r="I236" s="8"/>
      <c r="J236" s="9"/>
      <c r="K236" s="11" t="str">
        <f aca="false">IF(A236="","",SUMIFS(ChiTiet!$I$2:$I$2000,ChiTiet!$A$2:$A$2000,A236))</f>
        <v/>
      </c>
      <c r="L236" s="12"/>
      <c r="M236" s="11" t="str">
        <f aca="false">IF(A236="","",ROUND(K236*IF(L236="",0.08,L236),0))</f>
        <v/>
      </c>
      <c r="N236" s="11" t="str">
        <f aca="false">IF(A236="","",K236+M236)</f>
        <v/>
      </c>
      <c r="O236" s="11" t="str">
        <f aca="false">IF(A236="","",SUMIFS(ThuTien!$D$2:$D$2000,ThuTien!$B$2:$B$2000,A236))</f>
        <v/>
      </c>
      <c r="P236" s="11" t="str">
        <f aca="false">IF(A236="","",N236-O236)</f>
        <v/>
      </c>
      <c r="Q236" s="9"/>
      <c r="R236" s="10" t="str">
        <f aca="true">IF(A236="","",IF(AND(Q236&lt;&gt;"",P236&gt;0,TODAY()&gt;Q236),TODAY()-Q236,0))</f>
        <v/>
      </c>
      <c r="S236" s="10" t="str">
        <f aca="false">IF(A236="","",IF(N236=0,"Chưa có tiền hàng",IF(P236&lt;0,"Thu thừa",IF(P236=0,"Đã thu đủ",IF(O236&gt;0,"Thu một phần","Chưa thu")))))</f>
        <v/>
      </c>
      <c r="T236" s="10" t="str">
        <f aca="false">IF(A236="","",IF(AND(F236="Đã giao",H236&lt;&gt;"Đã xuất"),"Đã giao - CHƯA XUẤT HĐ",IF(AND(H236="Đã xuất",F236="Chưa giao"),"Đã xuất HĐ - chưa giao",IF(F236="","Chưa cập nhật giao hàng",IF(R236&gt;0,"Quá hạn "&amp;R236&amp;" ngày - đòi tiền",IF(P236&gt;0,"Chờ thu tiền",IF(P236&lt;0,"Kiểm tra thu thừa",IF(AND(F236="Đã giao",H236="Đã xuất"),"Hoàn tất","Theo dõi"))))))))</f>
        <v/>
      </c>
      <c r="U236" s="8"/>
    </row>
    <row r="237" customFormat="false" ht="15" hidden="false" customHeight="false" outlineLevel="0" collapsed="false">
      <c r="A237" s="8"/>
      <c r="B237" s="9"/>
      <c r="C237" s="8"/>
      <c r="D237" s="10" t="str">
        <f aca="false">IF(C237="","",IFERROR(VLOOKUP(C237,KhachHang!$A$2:$B$200,2,FALSE())&amp;"",""))</f>
        <v/>
      </c>
      <c r="E237" s="8"/>
      <c r="F237" s="8"/>
      <c r="G237" s="9"/>
      <c r="H237" s="8"/>
      <c r="I237" s="8"/>
      <c r="J237" s="9"/>
      <c r="K237" s="11" t="str">
        <f aca="false">IF(A237="","",SUMIFS(ChiTiet!$I$2:$I$2000,ChiTiet!$A$2:$A$2000,A237))</f>
        <v/>
      </c>
      <c r="L237" s="12"/>
      <c r="M237" s="11" t="str">
        <f aca="false">IF(A237="","",ROUND(K237*IF(L237="",0.08,L237),0))</f>
        <v/>
      </c>
      <c r="N237" s="11" t="str">
        <f aca="false">IF(A237="","",K237+M237)</f>
        <v/>
      </c>
      <c r="O237" s="11" t="str">
        <f aca="false">IF(A237="","",SUMIFS(ThuTien!$D$2:$D$2000,ThuTien!$B$2:$B$2000,A237))</f>
        <v/>
      </c>
      <c r="P237" s="11" t="str">
        <f aca="false">IF(A237="","",N237-O237)</f>
        <v/>
      </c>
      <c r="Q237" s="9"/>
      <c r="R237" s="10" t="str">
        <f aca="true">IF(A237="","",IF(AND(Q237&lt;&gt;"",P237&gt;0,TODAY()&gt;Q237),TODAY()-Q237,0))</f>
        <v/>
      </c>
      <c r="S237" s="10" t="str">
        <f aca="false">IF(A237="","",IF(N237=0,"Chưa có tiền hàng",IF(P237&lt;0,"Thu thừa",IF(P237=0,"Đã thu đủ",IF(O237&gt;0,"Thu một phần","Chưa thu")))))</f>
        <v/>
      </c>
      <c r="T237" s="10" t="str">
        <f aca="false">IF(A237="","",IF(AND(F237="Đã giao",H237&lt;&gt;"Đã xuất"),"Đã giao - CHƯA XUẤT HĐ",IF(AND(H237="Đã xuất",F237="Chưa giao"),"Đã xuất HĐ - chưa giao",IF(F237="","Chưa cập nhật giao hàng",IF(R237&gt;0,"Quá hạn "&amp;R237&amp;" ngày - đòi tiền",IF(P237&gt;0,"Chờ thu tiền",IF(P237&lt;0,"Kiểm tra thu thừa",IF(AND(F237="Đã giao",H237="Đã xuất"),"Hoàn tất","Theo dõi"))))))))</f>
        <v/>
      </c>
      <c r="U237" s="8"/>
    </row>
    <row r="238" customFormat="false" ht="15" hidden="false" customHeight="false" outlineLevel="0" collapsed="false">
      <c r="A238" s="8"/>
      <c r="B238" s="9"/>
      <c r="C238" s="8"/>
      <c r="D238" s="10" t="str">
        <f aca="false">IF(C238="","",IFERROR(VLOOKUP(C238,KhachHang!$A$2:$B$200,2,FALSE())&amp;"",""))</f>
        <v/>
      </c>
      <c r="E238" s="8"/>
      <c r="F238" s="8"/>
      <c r="G238" s="9"/>
      <c r="H238" s="8"/>
      <c r="I238" s="8"/>
      <c r="J238" s="9"/>
      <c r="K238" s="11" t="str">
        <f aca="false">IF(A238="","",SUMIFS(ChiTiet!$I$2:$I$2000,ChiTiet!$A$2:$A$2000,A238))</f>
        <v/>
      </c>
      <c r="L238" s="12"/>
      <c r="M238" s="11" t="str">
        <f aca="false">IF(A238="","",ROUND(K238*IF(L238="",0.08,L238),0))</f>
        <v/>
      </c>
      <c r="N238" s="11" t="str">
        <f aca="false">IF(A238="","",K238+M238)</f>
        <v/>
      </c>
      <c r="O238" s="11" t="str">
        <f aca="false">IF(A238="","",SUMIFS(ThuTien!$D$2:$D$2000,ThuTien!$B$2:$B$2000,A238))</f>
        <v/>
      </c>
      <c r="P238" s="11" t="str">
        <f aca="false">IF(A238="","",N238-O238)</f>
        <v/>
      </c>
      <c r="Q238" s="9"/>
      <c r="R238" s="10" t="str">
        <f aca="true">IF(A238="","",IF(AND(Q238&lt;&gt;"",P238&gt;0,TODAY()&gt;Q238),TODAY()-Q238,0))</f>
        <v/>
      </c>
      <c r="S238" s="10" t="str">
        <f aca="false">IF(A238="","",IF(N238=0,"Chưa có tiền hàng",IF(P238&lt;0,"Thu thừa",IF(P238=0,"Đã thu đủ",IF(O238&gt;0,"Thu một phần","Chưa thu")))))</f>
        <v/>
      </c>
      <c r="T238" s="10" t="str">
        <f aca="false">IF(A238="","",IF(AND(F238="Đã giao",H238&lt;&gt;"Đã xuất"),"Đã giao - CHƯA XUẤT HĐ",IF(AND(H238="Đã xuất",F238="Chưa giao"),"Đã xuất HĐ - chưa giao",IF(F238="","Chưa cập nhật giao hàng",IF(R238&gt;0,"Quá hạn "&amp;R238&amp;" ngày - đòi tiền",IF(P238&gt;0,"Chờ thu tiền",IF(P238&lt;0,"Kiểm tra thu thừa",IF(AND(F238="Đã giao",H238="Đã xuất"),"Hoàn tất","Theo dõi"))))))))</f>
        <v/>
      </c>
      <c r="U238" s="8"/>
    </row>
    <row r="239" customFormat="false" ht="15" hidden="false" customHeight="false" outlineLevel="0" collapsed="false">
      <c r="A239" s="8"/>
      <c r="B239" s="9"/>
      <c r="C239" s="8"/>
      <c r="D239" s="10" t="str">
        <f aca="false">IF(C239="","",IFERROR(VLOOKUP(C239,KhachHang!$A$2:$B$200,2,FALSE())&amp;"",""))</f>
        <v/>
      </c>
      <c r="E239" s="8"/>
      <c r="F239" s="8"/>
      <c r="G239" s="9"/>
      <c r="H239" s="8"/>
      <c r="I239" s="8"/>
      <c r="J239" s="9"/>
      <c r="K239" s="11" t="str">
        <f aca="false">IF(A239="","",SUMIFS(ChiTiet!$I$2:$I$2000,ChiTiet!$A$2:$A$2000,A239))</f>
        <v/>
      </c>
      <c r="L239" s="12"/>
      <c r="M239" s="11" t="str">
        <f aca="false">IF(A239="","",ROUND(K239*IF(L239="",0.08,L239),0))</f>
        <v/>
      </c>
      <c r="N239" s="11" t="str">
        <f aca="false">IF(A239="","",K239+M239)</f>
        <v/>
      </c>
      <c r="O239" s="11" t="str">
        <f aca="false">IF(A239="","",SUMIFS(ThuTien!$D$2:$D$2000,ThuTien!$B$2:$B$2000,A239))</f>
        <v/>
      </c>
      <c r="P239" s="11" t="str">
        <f aca="false">IF(A239="","",N239-O239)</f>
        <v/>
      </c>
      <c r="Q239" s="9"/>
      <c r="R239" s="10" t="str">
        <f aca="true">IF(A239="","",IF(AND(Q239&lt;&gt;"",P239&gt;0,TODAY()&gt;Q239),TODAY()-Q239,0))</f>
        <v/>
      </c>
      <c r="S239" s="10" t="str">
        <f aca="false">IF(A239="","",IF(N239=0,"Chưa có tiền hàng",IF(P239&lt;0,"Thu thừa",IF(P239=0,"Đã thu đủ",IF(O239&gt;0,"Thu một phần","Chưa thu")))))</f>
        <v/>
      </c>
      <c r="T239" s="10" t="str">
        <f aca="false">IF(A239="","",IF(AND(F239="Đã giao",H239&lt;&gt;"Đã xuất"),"Đã giao - CHƯA XUẤT HĐ",IF(AND(H239="Đã xuất",F239="Chưa giao"),"Đã xuất HĐ - chưa giao",IF(F239="","Chưa cập nhật giao hàng",IF(R239&gt;0,"Quá hạn "&amp;R239&amp;" ngày - đòi tiền",IF(P239&gt;0,"Chờ thu tiền",IF(P239&lt;0,"Kiểm tra thu thừa",IF(AND(F239="Đã giao",H239="Đã xuất"),"Hoàn tất","Theo dõi"))))))))</f>
        <v/>
      </c>
      <c r="U239" s="8"/>
    </row>
    <row r="240" customFormat="false" ht="15" hidden="false" customHeight="false" outlineLevel="0" collapsed="false">
      <c r="A240" s="8"/>
      <c r="B240" s="9"/>
      <c r="C240" s="8"/>
      <c r="D240" s="10" t="str">
        <f aca="false">IF(C240="","",IFERROR(VLOOKUP(C240,KhachHang!$A$2:$B$200,2,FALSE())&amp;"",""))</f>
        <v/>
      </c>
      <c r="E240" s="8"/>
      <c r="F240" s="8"/>
      <c r="G240" s="9"/>
      <c r="H240" s="8"/>
      <c r="I240" s="8"/>
      <c r="J240" s="9"/>
      <c r="K240" s="11" t="str">
        <f aca="false">IF(A240="","",SUMIFS(ChiTiet!$I$2:$I$2000,ChiTiet!$A$2:$A$2000,A240))</f>
        <v/>
      </c>
      <c r="L240" s="12"/>
      <c r="M240" s="11" t="str">
        <f aca="false">IF(A240="","",ROUND(K240*IF(L240="",0.08,L240),0))</f>
        <v/>
      </c>
      <c r="N240" s="11" t="str">
        <f aca="false">IF(A240="","",K240+M240)</f>
        <v/>
      </c>
      <c r="O240" s="11" t="str">
        <f aca="false">IF(A240="","",SUMIFS(ThuTien!$D$2:$D$2000,ThuTien!$B$2:$B$2000,A240))</f>
        <v/>
      </c>
      <c r="P240" s="11" t="str">
        <f aca="false">IF(A240="","",N240-O240)</f>
        <v/>
      </c>
      <c r="Q240" s="9"/>
      <c r="R240" s="10" t="str">
        <f aca="true">IF(A240="","",IF(AND(Q240&lt;&gt;"",P240&gt;0,TODAY()&gt;Q240),TODAY()-Q240,0))</f>
        <v/>
      </c>
      <c r="S240" s="10" t="str">
        <f aca="false">IF(A240="","",IF(N240=0,"Chưa có tiền hàng",IF(P240&lt;0,"Thu thừa",IF(P240=0,"Đã thu đủ",IF(O240&gt;0,"Thu một phần","Chưa thu")))))</f>
        <v/>
      </c>
      <c r="T240" s="10" t="str">
        <f aca="false">IF(A240="","",IF(AND(F240="Đã giao",H240&lt;&gt;"Đã xuất"),"Đã giao - CHƯA XUẤT HĐ",IF(AND(H240="Đã xuất",F240="Chưa giao"),"Đã xuất HĐ - chưa giao",IF(F240="","Chưa cập nhật giao hàng",IF(R240&gt;0,"Quá hạn "&amp;R240&amp;" ngày - đòi tiền",IF(P240&gt;0,"Chờ thu tiền",IF(P240&lt;0,"Kiểm tra thu thừa",IF(AND(F240="Đã giao",H240="Đã xuất"),"Hoàn tất","Theo dõi"))))))))</f>
        <v/>
      </c>
      <c r="U240" s="8"/>
    </row>
    <row r="241" customFormat="false" ht="15" hidden="false" customHeight="false" outlineLevel="0" collapsed="false">
      <c r="A241" s="8"/>
      <c r="B241" s="9"/>
      <c r="C241" s="8"/>
      <c r="D241" s="10" t="str">
        <f aca="false">IF(C241="","",IFERROR(VLOOKUP(C241,KhachHang!$A$2:$B$200,2,FALSE())&amp;"",""))</f>
        <v/>
      </c>
      <c r="E241" s="8"/>
      <c r="F241" s="8"/>
      <c r="G241" s="9"/>
      <c r="H241" s="8"/>
      <c r="I241" s="8"/>
      <c r="J241" s="9"/>
      <c r="K241" s="11" t="str">
        <f aca="false">IF(A241="","",SUMIFS(ChiTiet!$I$2:$I$2000,ChiTiet!$A$2:$A$2000,A241))</f>
        <v/>
      </c>
      <c r="L241" s="12"/>
      <c r="M241" s="11" t="str">
        <f aca="false">IF(A241="","",ROUND(K241*IF(L241="",0.08,L241),0))</f>
        <v/>
      </c>
      <c r="N241" s="11" t="str">
        <f aca="false">IF(A241="","",K241+M241)</f>
        <v/>
      </c>
      <c r="O241" s="11" t="str">
        <f aca="false">IF(A241="","",SUMIFS(ThuTien!$D$2:$D$2000,ThuTien!$B$2:$B$2000,A241))</f>
        <v/>
      </c>
      <c r="P241" s="11" t="str">
        <f aca="false">IF(A241="","",N241-O241)</f>
        <v/>
      </c>
      <c r="Q241" s="9"/>
      <c r="R241" s="10" t="str">
        <f aca="true">IF(A241="","",IF(AND(Q241&lt;&gt;"",P241&gt;0,TODAY()&gt;Q241),TODAY()-Q241,0))</f>
        <v/>
      </c>
      <c r="S241" s="10" t="str">
        <f aca="false">IF(A241="","",IF(N241=0,"Chưa có tiền hàng",IF(P241&lt;0,"Thu thừa",IF(P241=0,"Đã thu đủ",IF(O241&gt;0,"Thu một phần","Chưa thu")))))</f>
        <v/>
      </c>
      <c r="T241" s="10" t="str">
        <f aca="false">IF(A241="","",IF(AND(F241="Đã giao",H241&lt;&gt;"Đã xuất"),"Đã giao - CHƯA XUẤT HĐ",IF(AND(H241="Đã xuất",F241="Chưa giao"),"Đã xuất HĐ - chưa giao",IF(F241="","Chưa cập nhật giao hàng",IF(R241&gt;0,"Quá hạn "&amp;R241&amp;" ngày - đòi tiền",IF(P241&gt;0,"Chờ thu tiền",IF(P241&lt;0,"Kiểm tra thu thừa",IF(AND(F241="Đã giao",H241="Đã xuất"),"Hoàn tất","Theo dõi"))))))))</f>
        <v/>
      </c>
      <c r="U241" s="8"/>
    </row>
    <row r="242" customFormat="false" ht="15" hidden="false" customHeight="false" outlineLevel="0" collapsed="false">
      <c r="A242" s="8"/>
      <c r="B242" s="9"/>
      <c r="C242" s="8"/>
      <c r="D242" s="10" t="str">
        <f aca="false">IF(C242="","",IFERROR(VLOOKUP(C242,KhachHang!$A$2:$B$200,2,FALSE())&amp;"",""))</f>
        <v/>
      </c>
      <c r="E242" s="8"/>
      <c r="F242" s="8"/>
      <c r="G242" s="9"/>
      <c r="H242" s="8"/>
      <c r="I242" s="8"/>
      <c r="J242" s="9"/>
      <c r="K242" s="11" t="str">
        <f aca="false">IF(A242="","",SUMIFS(ChiTiet!$I$2:$I$2000,ChiTiet!$A$2:$A$2000,A242))</f>
        <v/>
      </c>
      <c r="L242" s="12"/>
      <c r="M242" s="11" t="str">
        <f aca="false">IF(A242="","",ROUND(K242*IF(L242="",0.08,L242),0))</f>
        <v/>
      </c>
      <c r="N242" s="11" t="str">
        <f aca="false">IF(A242="","",K242+M242)</f>
        <v/>
      </c>
      <c r="O242" s="11" t="str">
        <f aca="false">IF(A242="","",SUMIFS(ThuTien!$D$2:$D$2000,ThuTien!$B$2:$B$2000,A242))</f>
        <v/>
      </c>
      <c r="P242" s="11" t="str">
        <f aca="false">IF(A242="","",N242-O242)</f>
        <v/>
      </c>
      <c r="Q242" s="9"/>
      <c r="R242" s="10" t="str">
        <f aca="true">IF(A242="","",IF(AND(Q242&lt;&gt;"",P242&gt;0,TODAY()&gt;Q242),TODAY()-Q242,0))</f>
        <v/>
      </c>
      <c r="S242" s="10" t="str">
        <f aca="false">IF(A242="","",IF(N242=0,"Chưa có tiền hàng",IF(P242&lt;0,"Thu thừa",IF(P242=0,"Đã thu đủ",IF(O242&gt;0,"Thu một phần","Chưa thu")))))</f>
        <v/>
      </c>
      <c r="T242" s="10" t="str">
        <f aca="false">IF(A242="","",IF(AND(F242="Đã giao",H242&lt;&gt;"Đã xuất"),"Đã giao - CHƯA XUẤT HĐ",IF(AND(H242="Đã xuất",F242="Chưa giao"),"Đã xuất HĐ - chưa giao",IF(F242="","Chưa cập nhật giao hàng",IF(R242&gt;0,"Quá hạn "&amp;R242&amp;" ngày - đòi tiền",IF(P242&gt;0,"Chờ thu tiền",IF(P242&lt;0,"Kiểm tra thu thừa",IF(AND(F242="Đã giao",H242="Đã xuất"),"Hoàn tất","Theo dõi"))))))))</f>
        <v/>
      </c>
      <c r="U242" s="8"/>
    </row>
    <row r="243" customFormat="false" ht="15" hidden="false" customHeight="false" outlineLevel="0" collapsed="false">
      <c r="A243" s="8"/>
      <c r="B243" s="9"/>
      <c r="C243" s="8"/>
      <c r="D243" s="10" t="str">
        <f aca="false">IF(C243="","",IFERROR(VLOOKUP(C243,KhachHang!$A$2:$B$200,2,FALSE())&amp;"",""))</f>
        <v/>
      </c>
      <c r="E243" s="8"/>
      <c r="F243" s="8"/>
      <c r="G243" s="9"/>
      <c r="H243" s="8"/>
      <c r="I243" s="8"/>
      <c r="J243" s="9"/>
      <c r="K243" s="11" t="str">
        <f aca="false">IF(A243="","",SUMIFS(ChiTiet!$I$2:$I$2000,ChiTiet!$A$2:$A$2000,A243))</f>
        <v/>
      </c>
      <c r="L243" s="12"/>
      <c r="M243" s="11" t="str">
        <f aca="false">IF(A243="","",ROUND(K243*IF(L243="",0.08,L243),0))</f>
        <v/>
      </c>
      <c r="N243" s="11" t="str">
        <f aca="false">IF(A243="","",K243+M243)</f>
        <v/>
      </c>
      <c r="O243" s="11" t="str">
        <f aca="false">IF(A243="","",SUMIFS(ThuTien!$D$2:$D$2000,ThuTien!$B$2:$B$2000,A243))</f>
        <v/>
      </c>
      <c r="P243" s="11" t="str">
        <f aca="false">IF(A243="","",N243-O243)</f>
        <v/>
      </c>
      <c r="Q243" s="9"/>
      <c r="R243" s="10" t="str">
        <f aca="true">IF(A243="","",IF(AND(Q243&lt;&gt;"",P243&gt;0,TODAY()&gt;Q243),TODAY()-Q243,0))</f>
        <v/>
      </c>
      <c r="S243" s="10" t="str">
        <f aca="false">IF(A243="","",IF(N243=0,"Chưa có tiền hàng",IF(P243&lt;0,"Thu thừa",IF(P243=0,"Đã thu đủ",IF(O243&gt;0,"Thu một phần","Chưa thu")))))</f>
        <v/>
      </c>
      <c r="T243" s="10" t="str">
        <f aca="false">IF(A243="","",IF(AND(F243="Đã giao",H243&lt;&gt;"Đã xuất"),"Đã giao - CHƯA XUẤT HĐ",IF(AND(H243="Đã xuất",F243="Chưa giao"),"Đã xuất HĐ - chưa giao",IF(F243="","Chưa cập nhật giao hàng",IF(R243&gt;0,"Quá hạn "&amp;R243&amp;" ngày - đòi tiền",IF(P243&gt;0,"Chờ thu tiền",IF(P243&lt;0,"Kiểm tra thu thừa",IF(AND(F243="Đã giao",H243="Đã xuất"),"Hoàn tất","Theo dõi"))))))))</f>
        <v/>
      </c>
      <c r="U243" s="8"/>
    </row>
    <row r="244" customFormat="false" ht="15" hidden="false" customHeight="false" outlineLevel="0" collapsed="false">
      <c r="A244" s="8"/>
      <c r="B244" s="9"/>
      <c r="C244" s="8"/>
      <c r="D244" s="10" t="str">
        <f aca="false">IF(C244="","",IFERROR(VLOOKUP(C244,KhachHang!$A$2:$B$200,2,FALSE())&amp;"",""))</f>
        <v/>
      </c>
      <c r="E244" s="8"/>
      <c r="F244" s="8"/>
      <c r="G244" s="9"/>
      <c r="H244" s="8"/>
      <c r="I244" s="8"/>
      <c r="J244" s="9"/>
      <c r="K244" s="11" t="str">
        <f aca="false">IF(A244="","",SUMIFS(ChiTiet!$I$2:$I$2000,ChiTiet!$A$2:$A$2000,A244))</f>
        <v/>
      </c>
      <c r="L244" s="12"/>
      <c r="M244" s="11" t="str">
        <f aca="false">IF(A244="","",ROUND(K244*IF(L244="",0.08,L244),0))</f>
        <v/>
      </c>
      <c r="N244" s="11" t="str">
        <f aca="false">IF(A244="","",K244+M244)</f>
        <v/>
      </c>
      <c r="O244" s="11" t="str">
        <f aca="false">IF(A244="","",SUMIFS(ThuTien!$D$2:$D$2000,ThuTien!$B$2:$B$2000,A244))</f>
        <v/>
      </c>
      <c r="P244" s="11" t="str">
        <f aca="false">IF(A244="","",N244-O244)</f>
        <v/>
      </c>
      <c r="Q244" s="9"/>
      <c r="R244" s="10" t="str">
        <f aca="true">IF(A244="","",IF(AND(Q244&lt;&gt;"",P244&gt;0,TODAY()&gt;Q244),TODAY()-Q244,0))</f>
        <v/>
      </c>
      <c r="S244" s="10" t="str">
        <f aca="false">IF(A244="","",IF(N244=0,"Chưa có tiền hàng",IF(P244&lt;0,"Thu thừa",IF(P244=0,"Đã thu đủ",IF(O244&gt;0,"Thu một phần","Chưa thu")))))</f>
        <v/>
      </c>
      <c r="T244" s="10" t="str">
        <f aca="false">IF(A244="","",IF(AND(F244="Đã giao",H244&lt;&gt;"Đã xuất"),"Đã giao - CHƯA XUẤT HĐ",IF(AND(H244="Đã xuất",F244="Chưa giao"),"Đã xuất HĐ - chưa giao",IF(F244="","Chưa cập nhật giao hàng",IF(R244&gt;0,"Quá hạn "&amp;R244&amp;" ngày - đòi tiền",IF(P244&gt;0,"Chờ thu tiền",IF(P244&lt;0,"Kiểm tra thu thừa",IF(AND(F244="Đã giao",H244="Đã xuất"),"Hoàn tất","Theo dõi"))))))))</f>
        <v/>
      </c>
      <c r="U244" s="8"/>
    </row>
    <row r="245" customFormat="false" ht="15" hidden="false" customHeight="false" outlineLevel="0" collapsed="false">
      <c r="A245" s="8"/>
      <c r="B245" s="9"/>
      <c r="C245" s="8"/>
      <c r="D245" s="10" t="str">
        <f aca="false">IF(C245="","",IFERROR(VLOOKUP(C245,KhachHang!$A$2:$B$200,2,FALSE())&amp;"",""))</f>
        <v/>
      </c>
      <c r="E245" s="8"/>
      <c r="F245" s="8"/>
      <c r="G245" s="9"/>
      <c r="H245" s="8"/>
      <c r="I245" s="8"/>
      <c r="J245" s="9"/>
      <c r="K245" s="11" t="str">
        <f aca="false">IF(A245="","",SUMIFS(ChiTiet!$I$2:$I$2000,ChiTiet!$A$2:$A$2000,A245))</f>
        <v/>
      </c>
      <c r="L245" s="12"/>
      <c r="M245" s="11" t="str">
        <f aca="false">IF(A245="","",ROUND(K245*IF(L245="",0.08,L245),0))</f>
        <v/>
      </c>
      <c r="N245" s="11" t="str">
        <f aca="false">IF(A245="","",K245+M245)</f>
        <v/>
      </c>
      <c r="O245" s="11" t="str">
        <f aca="false">IF(A245="","",SUMIFS(ThuTien!$D$2:$D$2000,ThuTien!$B$2:$B$2000,A245))</f>
        <v/>
      </c>
      <c r="P245" s="11" t="str">
        <f aca="false">IF(A245="","",N245-O245)</f>
        <v/>
      </c>
      <c r="Q245" s="9"/>
      <c r="R245" s="10" t="str">
        <f aca="true">IF(A245="","",IF(AND(Q245&lt;&gt;"",P245&gt;0,TODAY()&gt;Q245),TODAY()-Q245,0))</f>
        <v/>
      </c>
      <c r="S245" s="10" t="str">
        <f aca="false">IF(A245="","",IF(N245=0,"Chưa có tiền hàng",IF(P245&lt;0,"Thu thừa",IF(P245=0,"Đã thu đủ",IF(O245&gt;0,"Thu một phần","Chưa thu")))))</f>
        <v/>
      </c>
      <c r="T245" s="10" t="str">
        <f aca="false">IF(A245="","",IF(AND(F245="Đã giao",H245&lt;&gt;"Đã xuất"),"Đã giao - CHƯA XUẤT HĐ",IF(AND(H245="Đã xuất",F245="Chưa giao"),"Đã xuất HĐ - chưa giao",IF(F245="","Chưa cập nhật giao hàng",IF(R245&gt;0,"Quá hạn "&amp;R245&amp;" ngày - đòi tiền",IF(P245&gt;0,"Chờ thu tiền",IF(P245&lt;0,"Kiểm tra thu thừa",IF(AND(F245="Đã giao",H245="Đã xuất"),"Hoàn tất","Theo dõi"))))))))</f>
        <v/>
      </c>
      <c r="U245" s="8"/>
    </row>
    <row r="246" customFormat="false" ht="15" hidden="false" customHeight="false" outlineLevel="0" collapsed="false">
      <c r="A246" s="8"/>
      <c r="B246" s="9"/>
      <c r="C246" s="8"/>
      <c r="D246" s="10" t="str">
        <f aca="false">IF(C246="","",IFERROR(VLOOKUP(C246,KhachHang!$A$2:$B$200,2,FALSE())&amp;"",""))</f>
        <v/>
      </c>
      <c r="E246" s="8"/>
      <c r="F246" s="8"/>
      <c r="G246" s="9"/>
      <c r="H246" s="8"/>
      <c r="I246" s="8"/>
      <c r="J246" s="9"/>
      <c r="K246" s="11" t="str">
        <f aca="false">IF(A246="","",SUMIFS(ChiTiet!$I$2:$I$2000,ChiTiet!$A$2:$A$2000,A246))</f>
        <v/>
      </c>
      <c r="L246" s="12"/>
      <c r="M246" s="11" t="str">
        <f aca="false">IF(A246="","",ROUND(K246*IF(L246="",0.08,L246),0))</f>
        <v/>
      </c>
      <c r="N246" s="11" t="str">
        <f aca="false">IF(A246="","",K246+M246)</f>
        <v/>
      </c>
      <c r="O246" s="11" t="str">
        <f aca="false">IF(A246="","",SUMIFS(ThuTien!$D$2:$D$2000,ThuTien!$B$2:$B$2000,A246))</f>
        <v/>
      </c>
      <c r="P246" s="11" t="str">
        <f aca="false">IF(A246="","",N246-O246)</f>
        <v/>
      </c>
      <c r="Q246" s="9"/>
      <c r="R246" s="10" t="str">
        <f aca="true">IF(A246="","",IF(AND(Q246&lt;&gt;"",P246&gt;0,TODAY()&gt;Q246),TODAY()-Q246,0))</f>
        <v/>
      </c>
      <c r="S246" s="10" t="str">
        <f aca="false">IF(A246="","",IF(N246=0,"Chưa có tiền hàng",IF(P246&lt;0,"Thu thừa",IF(P246=0,"Đã thu đủ",IF(O246&gt;0,"Thu một phần","Chưa thu")))))</f>
        <v/>
      </c>
      <c r="T246" s="10" t="str">
        <f aca="false">IF(A246="","",IF(AND(F246="Đã giao",H246&lt;&gt;"Đã xuất"),"Đã giao - CHƯA XUẤT HĐ",IF(AND(H246="Đã xuất",F246="Chưa giao"),"Đã xuất HĐ - chưa giao",IF(F246="","Chưa cập nhật giao hàng",IF(R246&gt;0,"Quá hạn "&amp;R246&amp;" ngày - đòi tiền",IF(P246&gt;0,"Chờ thu tiền",IF(P246&lt;0,"Kiểm tra thu thừa",IF(AND(F246="Đã giao",H246="Đã xuất"),"Hoàn tất","Theo dõi"))))))))</f>
        <v/>
      </c>
      <c r="U246" s="8"/>
    </row>
    <row r="247" customFormat="false" ht="15" hidden="false" customHeight="false" outlineLevel="0" collapsed="false">
      <c r="A247" s="8"/>
      <c r="B247" s="9"/>
      <c r="C247" s="8"/>
      <c r="D247" s="10" t="str">
        <f aca="false">IF(C247="","",IFERROR(VLOOKUP(C247,KhachHang!$A$2:$B$200,2,FALSE())&amp;"",""))</f>
        <v/>
      </c>
      <c r="E247" s="8"/>
      <c r="F247" s="8"/>
      <c r="G247" s="9"/>
      <c r="H247" s="8"/>
      <c r="I247" s="8"/>
      <c r="J247" s="9"/>
      <c r="K247" s="11" t="str">
        <f aca="false">IF(A247="","",SUMIFS(ChiTiet!$I$2:$I$2000,ChiTiet!$A$2:$A$2000,A247))</f>
        <v/>
      </c>
      <c r="L247" s="12"/>
      <c r="M247" s="11" t="str">
        <f aca="false">IF(A247="","",ROUND(K247*IF(L247="",0.08,L247),0))</f>
        <v/>
      </c>
      <c r="N247" s="11" t="str">
        <f aca="false">IF(A247="","",K247+M247)</f>
        <v/>
      </c>
      <c r="O247" s="11" t="str">
        <f aca="false">IF(A247="","",SUMIFS(ThuTien!$D$2:$D$2000,ThuTien!$B$2:$B$2000,A247))</f>
        <v/>
      </c>
      <c r="P247" s="11" t="str">
        <f aca="false">IF(A247="","",N247-O247)</f>
        <v/>
      </c>
      <c r="Q247" s="9"/>
      <c r="R247" s="10" t="str">
        <f aca="true">IF(A247="","",IF(AND(Q247&lt;&gt;"",P247&gt;0,TODAY()&gt;Q247),TODAY()-Q247,0))</f>
        <v/>
      </c>
      <c r="S247" s="10" t="str">
        <f aca="false">IF(A247="","",IF(N247=0,"Chưa có tiền hàng",IF(P247&lt;0,"Thu thừa",IF(P247=0,"Đã thu đủ",IF(O247&gt;0,"Thu một phần","Chưa thu")))))</f>
        <v/>
      </c>
      <c r="T247" s="10" t="str">
        <f aca="false">IF(A247="","",IF(AND(F247="Đã giao",H247&lt;&gt;"Đã xuất"),"Đã giao - CHƯA XUẤT HĐ",IF(AND(H247="Đã xuất",F247="Chưa giao"),"Đã xuất HĐ - chưa giao",IF(F247="","Chưa cập nhật giao hàng",IF(R247&gt;0,"Quá hạn "&amp;R247&amp;" ngày - đòi tiền",IF(P247&gt;0,"Chờ thu tiền",IF(P247&lt;0,"Kiểm tra thu thừa",IF(AND(F247="Đã giao",H247="Đã xuất"),"Hoàn tất","Theo dõi"))))))))</f>
        <v/>
      </c>
      <c r="U247" s="8"/>
    </row>
    <row r="248" customFormat="false" ht="15" hidden="false" customHeight="false" outlineLevel="0" collapsed="false">
      <c r="A248" s="8"/>
      <c r="B248" s="9"/>
      <c r="C248" s="8"/>
      <c r="D248" s="10" t="str">
        <f aca="false">IF(C248="","",IFERROR(VLOOKUP(C248,KhachHang!$A$2:$B$200,2,FALSE())&amp;"",""))</f>
        <v/>
      </c>
      <c r="E248" s="8"/>
      <c r="F248" s="8"/>
      <c r="G248" s="9"/>
      <c r="H248" s="8"/>
      <c r="I248" s="8"/>
      <c r="J248" s="9"/>
      <c r="K248" s="11" t="str">
        <f aca="false">IF(A248="","",SUMIFS(ChiTiet!$I$2:$I$2000,ChiTiet!$A$2:$A$2000,A248))</f>
        <v/>
      </c>
      <c r="L248" s="12"/>
      <c r="M248" s="11" t="str">
        <f aca="false">IF(A248="","",ROUND(K248*IF(L248="",0.08,L248),0))</f>
        <v/>
      </c>
      <c r="N248" s="11" t="str">
        <f aca="false">IF(A248="","",K248+M248)</f>
        <v/>
      </c>
      <c r="O248" s="11" t="str">
        <f aca="false">IF(A248="","",SUMIFS(ThuTien!$D$2:$D$2000,ThuTien!$B$2:$B$2000,A248))</f>
        <v/>
      </c>
      <c r="P248" s="11" t="str">
        <f aca="false">IF(A248="","",N248-O248)</f>
        <v/>
      </c>
      <c r="Q248" s="9"/>
      <c r="R248" s="10" t="str">
        <f aca="true">IF(A248="","",IF(AND(Q248&lt;&gt;"",P248&gt;0,TODAY()&gt;Q248),TODAY()-Q248,0))</f>
        <v/>
      </c>
      <c r="S248" s="10" t="str">
        <f aca="false">IF(A248="","",IF(N248=0,"Chưa có tiền hàng",IF(P248&lt;0,"Thu thừa",IF(P248=0,"Đã thu đủ",IF(O248&gt;0,"Thu một phần","Chưa thu")))))</f>
        <v/>
      </c>
      <c r="T248" s="10" t="str">
        <f aca="false">IF(A248="","",IF(AND(F248="Đã giao",H248&lt;&gt;"Đã xuất"),"Đã giao - CHƯA XUẤT HĐ",IF(AND(H248="Đã xuất",F248="Chưa giao"),"Đã xuất HĐ - chưa giao",IF(F248="","Chưa cập nhật giao hàng",IF(R248&gt;0,"Quá hạn "&amp;R248&amp;" ngày - đòi tiền",IF(P248&gt;0,"Chờ thu tiền",IF(P248&lt;0,"Kiểm tra thu thừa",IF(AND(F248="Đã giao",H248="Đã xuất"),"Hoàn tất","Theo dõi"))))))))</f>
        <v/>
      </c>
      <c r="U248" s="8"/>
    </row>
    <row r="249" customFormat="false" ht="15" hidden="false" customHeight="false" outlineLevel="0" collapsed="false">
      <c r="A249" s="8"/>
      <c r="B249" s="9"/>
      <c r="C249" s="8"/>
      <c r="D249" s="10" t="str">
        <f aca="false">IF(C249="","",IFERROR(VLOOKUP(C249,KhachHang!$A$2:$B$200,2,FALSE())&amp;"",""))</f>
        <v/>
      </c>
      <c r="E249" s="8"/>
      <c r="F249" s="8"/>
      <c r="G249" s="9"/>
      <c r="H249" s="8"/>
      <c r="I249" s="8"/>
      <c r="J249" s="9"/>
      <c r="K249" s="11" t="str">
        <f aca="false">IF(A249="","",SUMIFS(ChiTiet!$I$2:$I$2000,ChiTiet!$A$2:$A$2000,A249))</f>
        <v/>
      </c>
      <c r="L249" s="12"/>
      <c r="M249" s="11" t="str">
        <f aca="false">IF(A249="","",ROUND(K249*IF(L249="",0.08,L249),0))</f>
        <v/>
      </c>
      <c r="N249" s="11" t="str">
        <f aca="false">IF(A249="","",K249+M249)</f>
        <v/>
      </c>
      <c r="O249" s="11" t="str">
        <f aca="false">IF(A249="","",SUMIFS(ThuTien!$D$2:$D$2000,ThuTien!$B$2:$B$2000,A249))</f>
        <v/>
      </c>
      <c r="P249" s="11" t="str">
        <f aca="false">IF(A249="","",N249-O249)</f>
        <v/>
      </c>
      <c r="Q249" s="9"/>
      <c r="R249" s="10" t="str">
        <f aca="true">IF(A249="","",IF(AND(Q249&lt;&gt;"",P249&gt;0,TODAY()&gt;Q249),TODAY()-Q249,0))</f>
        <v/>
      </c>
      <c r="S249" s="10" t="str">
        <f aca="false">IF(A249="","",IF(N249=0,"Chưa có tiền hàng",IF(P249&lt;0,"Thu thừa",IF(P249=0,"Đã thu đủ",IF(O249&gt;0,"Thu một phần","Chưa thu")))))</f>
        <v/>
      </c>
      <c r="T249" s="10" t="str">
        <f aca="false">IF(A249="","",IF(AND(F249="Đã giao",H249&lt;&gt;"Đã xuất"),"Đã giao - CHƯA XUẤT HĐ",IF(AND(H249="Đã xuất",F249="Chưa giao"),"Đã xuất HĐ - chưa giao",IF(F249="","Chưa cập nhật giao hàng",IF(R249&gt;0,"Quá hạn "&amp;R249&amp;" ngày - đòi tiền",IF(P249&gt;0,"Chờ thu tiền",IF(P249&lt;0,"Kiểm tra thu thừa",IF(AND(F249="Đã giao",H249="Đã xuất"),"Hoàn tất","Theo dõi"))))))))</f>
        <v/>
      </c>
      <c r="U249" s="8"/>
    </row>
    <row r="250" customFormat="false" ht="15" hidden="false" customHeight="false" outlineLevel="0" collapsed="false">
      <c r="A250" s="8"/>
      <c r="B250" s="9"/>
      <c r="C250" s="8"/>
      <c r="D250" s="10" t="str">
        <f aca="false">IF(C250="","",IFERROR(VLOOKUP(C250,KhachHang!$A$2:$B$200,2,FALSE())&amp;"",""))</f>
        <v/>
      </c>
      <c r="E250" s="8"/>
      <c r="F250" s="8"/>
      <c r="G250" s="9"/>
      <c r="H250" s="8"/>
      <c r="I250" s="8"/>
      <c r="J250" s="9"/>
      <c r="K250" s="11" t="str">
        <f aca="false">IF(A250="","",SUMIFS(ChiTiet!$I$2:$I$2000,ChiTiet!$A$2:$A$2000,A250))</f>
        <v/>
      </c>
      <c r="L250" s="12"/>
      <c r="M250" s="11" t="str">
        <f aca="false">IF(A250="","",ROUND(K250*IF(L250="",0.08,L250),0))</f>
        <v/>
      </c>
      <c r="N250" s="11" t="str">
        <f aca="false">IF(A250="","",K250+M250)</f>
        <v/>
      </c>
      <c r="O250" s="11" t="str">
        <f aca="false">IF(A250="","",SUMIFS(ThuTien!$D$2:$D$2000,ThuTien!$B$2:$B$2000,A250))</f>
        <v/>
      </c>
      <c r="P250" s="11" t="str">
        <f aca="false">IF(A250="","",N250-O250)</f>
        <v/>
      </c>
      <c r="Q250" s="9"/>
      <c r="R250" s="10" t="str">
        <f aca="true">IF(A250="","",IF(AND(Q250&lt;&gt;"",P250&gt;0,TODAY()&gt;Q250),TODAY()-Q250,0))</f>
        <v/>
      </c>
      <c r="S250" s="10" t="str">
        <f aca="false">IF(A250="","",IF(N250=0,"Chưa có tiền hàng",IF(P250&lt;0,"Thu thừa",IF(P250=0,"Đã thu đủ",IF(O250&gt;0,"Thu một phần","Chưa thu")))))</f>
        <v/>
      </c>
      <c r="T250" s="10" t="str">
        <f aca="false">IF(A250="","",IF(AND(F250="Đã giao",H250&lt;&gt;"Đã xuất"),"Đã giao - CHƯA XUẤT HĐ",IF(AND(H250="Đã xuất",F250="Chưa giao"),"Đã xuất HĐ - chưa giao",IF(F250="","Chưa cập nhật giao hàng",IF(R250&gt;0,"Quá hạn "&amp;R250&amp;" ngày - đòi tiền",IF(P250&gt;0,"Chờ thu tiền",IF(P250&lt;0,"Kiểm tra thu thừa",IF(AND(F250="Đã giao",H250="Đã xuất"),"Hoàn tất","Theo dõi"))))))))</f>
        <v/>
      </c>
      <c r="U250" s="8"/>
    </row>
    <row r="251" customFormat="false" ht="15" hidden="false" customHeight="false" outlineLevel="0" collapsed="false">
      <c r="A251" s="8"/>
      <c r="B251" s="9"/>
      <c r="C251" s="8"/>
      <c r="D251" s="10" t="str">
        <f aca="false">IF(C251="","",IFERROR(VLOOKUP(C251,KhachHang!$A$2:$B$200,2,FALSE())&amp;"",""))</f>
        <v/>
      </c>
      <c r="E251" s="8"/>
      <c r="F251" s="8"/>
      <c r="G251" s="9"/>
      <c r="H251" s="8"/>
      <c r="I251" s="8"/>
      <c r="J251" s="9"/>
      <c r="K251" s="11" t="str">
        <f aca="false">IF(A251="","",SUMIFS(ChiTiet!$I$2:$I$2000,ChiTiet!$A$2:$A$2000,A251))</f>
        <v/>
      </c>
      <c r="L251" s="12"/>
      <c r="M251" s="11" t="str">
        <f aca="false">IF(A251="","",ROUND(K251*IF(L251="",0.08,L251),0))</f>
        <v/>
      </c>
      <c r="N251" s="11" t="str">
        <f aca="false">IF(A251="","",K251+M251)</f>
        <v/>
      </c>
      <c r="O251" s="11" t="str">
        <f aca="false">IF(A251="","",SUMIFS(ThuTien!$D$2:$D$2000,ThuTien!$B$2:$B$2000,A251))</f>
        <v/>
      </c>
      <c r="P251" s="11" t="str">
        <f aca="false">IF(A251="","",N251-O251)</f>
        <v/>
      </c>
      <c r="Q251" s="9"/>
      <c r="R251" s="10" t="str">
        <f aca="true">IF(A251="","",IF(AND(Q251&lt;&gt;"",P251&gt;0,TODAY()&gt;Q251),TODAY()-Q251,0))</f>
        <v/>
      </c>
      <c r="S251" s="10" t="str">
        <f aca="false">IF(A251="","",IF(N251=0,"Chưa có tiền hàng",IF(P251&lt;0,"Thu thừa",IF(P251=0,"Đã thu đủ",IF(O251&gt;0,"Thu một phần","Chưa thu")))))</f>
        <v/>
      </c>
      <c r="T251" s="10" t="str">
        <f aca="false">IF(A251="","",IF(AND(F251="Đã giao",H251&lt;&gt;"Đã xuất"),"Đã giao - CHƯA XUẤT HĐ",IF(AND(H251="Đã xuất",F251="Chưa giao"),"Đã xuất HĐ - chưa giao",IF(F251="","Chưa cập nhật giao hàng",IF(R251&gt;0,"Quá hạn "&amp;R251&amp;" ngày - đòi tiền",IF(P251&gt;0,"Chờ thu tiền",IF(P251&lt;0,"Kiểm tra thu thừa",IF(AND(F251="Đã giao",H251="Đã xuất"),"Hoàn tất","Theo dõi"))))))))</f>
        <v/>
      </c>
      <c r="U251" s="8"/>
    </row>
    <row r="252" customFormat="false" ht="15" hidden="false" customHeight="false" outlineLevel="0" collapsed="false">
      <c r="A252" s="8"/>
      <c r="B252" s="9"/>
      <c r="C252" s="8"/>
      <c r="D252" s="10" t="str">
        <f aca="false">IF(C252="","",IFERROR(VLOOKUP(C252,KhachHang!$A$2:$B$200,2,FALSE())&amp;"",""))</f>
        <v/>
      </c>
      <c r="E252" s="8"/>
      <c r="F252" s="8"/>
      <c r="G252" s="9"/>
      <c r="H252" s="8"/>
      <c r="I252" s="8"/>
      <c r="J252" s="9"/>
      <c r="K252" s="11" t="str">
        <f aca="false">IF(A252="","",SUMIFS(ChiTiet!$I$2:$I$2000,ChiTiet!$A$2:$A$2000,A252))</f>
        <v/>
      </c>
      <c r="L252" s="12"/>
      <c r="M252" s="11" t="str">
        <f aca="false">IF(A252="","",ROUND(K252*IF(L252="",0.08,L252),0))</f>
        <v/>
      </c>
      <c r="N252" s="11" t="str">
        <f aca="false">IF(A252="","",K252+M252)</f>
        <v/>
      </c>
      <c r="O252" s="11" t="str">
        <f aca="false">IF(A252="","",SUMIFS(ThuTien!$D$2:$D$2000,ThuTien!$B$2:$B$2000,A252))</f>
        <v/>
      </c>
      <c r="P252" s="11" t="str">
        <f aca="false">IF(A252="","",N252-O252)</f>
        <v/>
      </c>
      <c r="Q252" s="9"/>
      <c r="R252" s="10" t="str">
        <f aca="true">IF(A252="","",IF(AND(Q252&lt;&gt;"",P252&gt;0,TODAY()&gt;Q252),TODAY()-Q252,0))</f>
        <v/>
      </c>
      <c r="S252" s="10" t="str">
        <f aca="false">IF(A252="","",IF(N252=0,"Chưa có tiền hàng",IF(P252&lt;0,"Thu thừa",IF(P252=0,"Đã thu đủ",IF(O252&gt;0,"Thu một phần","Chưa thu")))))</f>
        <v/>
      </c>
      <c r="T252" s="10" t="str">
        <f aca="false">IF(A252="","",IF(AND(F252="Đã giao",H252&lt;&gt;"Đã xuất"),"Đã giao - CHƯA XUẤT HĐ",IF(AND(H252="Đã xuất",F252="Chưa giao"),"Đã xuất HĐ - chưa giao",IF(F252="","Chưa cập nhật giao hàng",IF(R252&gt;0,"Quá hạn "&amp;R252&amp;" ngày - đòi tiền",IF(P252&gt;0,"Chờ thu tiền",IF(P252&lt;0,"Kiểm tra thu thừa",IF(AND(F252="Đã giao",H252="Đã xuất"),"Hoàn tất","Theo dõi"))))))))</f>
        <v/>
      </c>
      <c r="U252" s="8"/>
    </row>
    <row r="253" customFormat="false" ht="15" hidden="false" customHeight="false" outlineLevel="0" collapsed="false">
      <c r="A253" s="8"/>
      <c r="B253" s="9"/>
      <c r="C253" s="8"/>
      <c r="D253" s="10" t="str">
        <f aca="false">IF(C253="","",IFERROR(VLOOKUP(C253,KhachHang!$A$2:$B$200,2,FALSE())&amp;"",""))</f>
        <v/>
      </c>
      <c r="E253" s="8"/>
      <c r="F253" s="8"/>
      <c r="G253" s="9"/>
      <c r="H253" s="8"/>
      <c r="I253" s="8"/>
      <c r="J253" s="9"/>
      <c r="K253" s="11" t="str">
        <f aca="false">IF(A253="","",SUMIFS(ChiTiet!$I$2:$I$2000,ChiTiet!$A$2:$A$2000,A253))</f>
        <v/>
      </c>
      <c r="L253" s="12"/>
      <c r="M253" s="11" t="str">
        <f aca="false">IF(A253="","",ROUND(K253*IF(L253="",0.08,L253),0))</f>
        <v/>
      </c>
      <c r="N253" s="11" t="str">
        <f aca="false">IF(A253="","",K253+M253)</f>
        <v/>
      </c>
      <c r="O253" s="11" t="str">
        <f aca="false">IF(A253="","",SUMIFS(ThuTien!$D$2:$D$2000,ThuTien!$B$2:$B$2000,A253))</f>
        <v/>
      </c>
      <c r="P253" s="11" t="str">
        <f aca="false">IF(A253="","",N253-O253)</f>
        <v/>
      </c>
      <c r="Q253" s="9"/>
      <c r="R253" s="10" t="str">
        <f aca="true">IF(A253="","",IF(AND(Q253&lt;&gt;"",P253&gt;0,TODAY()&gt;Q253),TODAY()-Q253,0))</f>
        <v/>
      </c>
      <c r="S253" s="10" t="str">
        <f aca="false">IF(A253="","",IF(N253=0,"Chưa có tiền hàng",IF(P253&lt;0,"Thu thừa",IF(P253=0,"Đã thu đủ",IF(O253&gt;0,"Thu một phần","Chưa thu")))))</f>
        <v/>
      </c>
      <c r="T253" s="10" t="str">
        <f aca="false">IF(A253="","",IF(AND(F253="Đã giao",H253&lt;&gt;"Đã xuất"),"Đã giao - CHƯA XUẤT HĐ",IF(AND(H253="Đã xuất",F253="Chưa giao"),"Đã xuất HĐ - chưa giao",IF(F253="","Chưa cập nhật giao hàng",IF(R253&gt;0,"Quá hạn "&amp;R253&amp;" ngày - đòi tiền",IF(P253&gt;0,"Chờ thu tiền",IF(P253&lt;0,"Kiểm tra thu thừa",IF(AND(F253="Đã giao",H253="Đã xuất"),"Hoàn tất","Theo dõi"))))))))</f>
        <v/>
      </c>
      <c r="U253" s="8"/>
    </row>
    <row r="254" customFormat="false" ht="15" hidden="false" customHeight="false" outlineLevel="0" collapsed="false">
      <c r="A254" s="8"/>
      <c r="B254" s="9"/>
      <c r="C254" s="8"/>
      <c r="D254" s="10" t="str">
        <f aca="false">IF(C254="","",IFERROR(VLOOKUP(C254,KhachHang!$A$2:$B$200,2,FALSE())&amp;"",""))</f>
        <v/>
      </c>
      <c r="E254" s="8"/>
      <c r="F254" s="8"/>
      <c r="G254" s="9"/>
      <c r="H254" s="8"/>
      <c r="I254" s="8"/>
      <c r="J254" s="9"/>
      <c r="K254" s="11" t="str">
        <f aca="false">IF(A254="","",SUMIFS(ChiTiet!$I$2:$I$2000,ChiTiet!$A$2:$A$2000,A254))</f>
        <v/>
      </c>
      <c r="L254" s="12"/>
      <c r="M254" s="11" t="str">
        <f aca="false">IF(A254="","",ROUND(K254*IF(L254="",0.08,L254),0))</f>
        <v/>
      </c>
      <c r="N254" s="11" t="str">
        <f aca="false">IF(A254="","",K254+M254)</f>
        <v/>
      </c>
      <c r="O254" s="11" t="str">
        <f aca="false">IF(A254="","",SUMIFS(ThuTien!$D$2:$D$2000,ThuTien!$B$2:$B$2000,A254))</f>
        <v/>
      </c>
      <c r="P254" s="11" t="str">
        <f aca="false">IF(A254="","",N254-O254)</f>
        <v/>
      </c>
      <c r="Q254" s="9"/>
      <c r="R254" s="10" t="str">
        <f aca="true">IF(A254="","",IF(AND(Q254&lt;&gt;"",P254&gt;0,TODAY()&gt;Q254),TODAY()-Q254,0))</f>
        <v/>
      </c>
      <c r="S254" s="10" t="str">
        <f aca="false">IF(A254="","",IF(N254=0,"Chưa có tiền hàng",IF(P254&lt;0,"Thu thừa",IF(P254=0,"Đã thu đủ",IF(O254&gt;0,"Thu một phần","Chưa thu")))))</f>
        <v/>
      </c>
      <c r="T254" s="10" t="str">
        <f aca="false">IF(A254="","",IF(AND(F254="Đã giao",H254&lt;&gt;"Đã xuất"),"Đã giao - CHƯA XUẤT HĐ",IF(AND(H254="Đã xuất",F254="Chưa giao"),"Đã xuất HĐ - chưa giao",IF(F254="","Chưa cập nhật giao hàng",IF(R254&gt;0,"Quá hạn "&amp;R254&amp;" ngày - đòi tiền",IF(P254&gt;0,"Chờ thu tiền",IF(P254&lt;0,"Kiểm tra thu thừa",IF(AND(F254="Đã giao",H254="Đã xuất"),"Hoàn tất","Theo dõi"))))))))</f>
        <v/>
      </c>
      <c r="U254" s="8"/>
    </row>
    <row r="255" customFormat="false" ht="15" hidden="false" customHeight="false" outlineLevel="0" collapsed="false">
      <c r="A255" s="8"/>
      <c r="B255" s="9"/>
      <c r="C255" s="8"/>
      <c r="D255" s="10" t="str">
        <f aca="false">IF(C255="","",IFERROR(VLOOKUP(C255,KhachHang!$A$2:$B$200,2,FALSE())&amp;"",""))</f>
        <v/>
      </c>
      <c r="E255" s="8"/>
      <c r="F255" s="8"/>
      <c r="G255" s="9"/>
      <c r="H255" s="8"/>
      <c r="I255" s="8"/>
      <c r="J255" s="9"/>
      <c r="K255" s="11" t="str">
        <f aca="false">IF(A255="","",SUMIFS(ChiTiet!$I$2:$I$2000,ChiTiet!$A$2:$A$2000,A255))</f>
        <v/>
      </c>
      <c r="L255" s="12"/>
      <c r="M255" s="11" t="str">
        <f aca="false">IF(A255="","",ROUND(K255*IF(L255="",0.08,L255),0))</f>
        <v/>
      </c>
      <c r="N255" s="11" t="str">
        <f aca="false">IF(A255="","",K255+M255)</f>
        <v/>
      </c>
      <c r="O255" s="11" t="str">
        <f aca="false">IF(A255="","",SUMIFS(ThuTien!$D$2:$D$2000,ThuTien!$B$2:$B$2000,A255))</f>
        <v/>
      </c>
      <c r="P255" s="11" t="str">
        <f aca="false">IF(A255="","",N255-O255)</f>
        <v/>
      </c>
      <c r="Q255" s="9"/>
      <c r="R255" s="10" t="str">
        <f aca="true">IF(A255="","",IF(AND(Q255&lt;&gt;"",P255&gt;0,TODAY()&gt;Q255),TODAY()-Q255,0))</f>
        <v/>
      </c>
      <c r="S255" s="10" t="str">
        <f aca="false">IF(A255="","",IF(N255=0,"Chưa có tiền hàng",IF(P255&lt;0,"Thu thừa",IF(P255=0,"Đã thu đủ",IF(O255&gt;0,"Thu một phần","Chưa thu")))))</f>
        <v/>
      </c>
      <c r="T255" s="10" t="str">
        <f aca="false">IF(A255="","",IF(AND(F255="Đã giao",H255&lt;&gt;"Đã xuất"),"Đã giao - CHƯA XUẤT HĐ",IF(AND(H255="Đã xuất",F255="Chưa giao"),"Đã xuất HĐ - chưa giao",IF(F255="","Chưa cập nhật giao hàng",IF(R255&gt;0,"Quá hạn "&amp;R255&amp;" ngày - đòi tiền",IF(P255&gt;0,"Chờ thu tiền",IF(P255&lt;0,"Kiểm tra thu thừa",IF(AND(F255="Đã giao",H255="Đã xuất"),"Hoàn tất","Theo dõi"))))))))</f>
        <v/>
      </c>
      <c r="U255" s="8"/>
    </row>
    <row r="256" customFormat="false" ht="15" hidden="false" customHeight="false" outlineLevel="0" collapsed="false">
      <c r="A256" s="8"/>
      <c r="B256" s="9"/>
      <c r="C256" s="8"/>
      <c r="D256" s="10" t="str">
        <f aca="false">IF(C256="","",IFERROR(VLOOKUP(C256,KhachHang!$A$2:$B$200,2,FALSE())&amp;"",""))</f>
        <v/>
      </c>
      <c r="E256" s="8"/>
      <c r="F256" s="8"/>
      <c r="G256" s="9"/>
      <c r="H256" s="8"/>
      <c r="I256" s="8"/>
      <c r="J256" s="9"/>
      <c r="K256" s="11" t="str">
        <f aca="false">IF(A256="","",SUMIFS(ChiTiet!$I$2:$I$2000,ChiTiet!$A$2:$A$2000,A256))</f>
        <v/>
      </c>
      <c r="L256" s="12"/>
      <c r="M256" s="11" t="str">
        <f aca="false">IF(A256="","",ROUND(K256*IF(L256="",0.08,L256),0))</f>
        <v/>
      </c>
      <c r="N256" s="11" t="str">
        <f aca="false">IF(A256="","",K256+M256)</f>
        <v/>
      </c>
      <c r="O256" s="11" t="str">
        <f aca="false">IF(A256="","",SUMIFS(ThuTien!$D$2:$D$2000,ThuTien!$B$2:$B$2000,A256))</f>
        <v/>
      </c>
      <c r="P256" s="11" t="str">
        <f aca="false">IF(A256="","",N256-O256)</f>
        <v/>
      </c>
      <c r="Q256" s="9"/>
      <c r="R256" s="10" t="str">
        <f aca="true">IF(A256="","",IF(AND(Q256&lt;&gt;"",P256&gt;0,TODAY()&gt;Q256),TODAY()-Q256,0))</f>
        <v/>
      </c>
      <c r="S256" s="10" t="str">
        <f aca="false">IF(A256="","",IF(N256=0,"Chưa có tiền hàng",IF(P256&lt;0,"Thu thừa",IF(P256=0,"Đã thu đủ",IF(O256&gt;0,"Thu một phần","Chưa thu")))))</f>
        <v/>
      </c>
      <c r="T256" s="10" t="str">
        <f aca="false">IF(A256="","",IF(AND(F256="Đã giao",H256&lt;&gt;"Đã xuất"),"Đã giao - CHƯA XUẤT HĐ",IF(AND(H256="Đã xuất",F256="Chưa giao"),"Đã xuất HĐ - chưa giao",IF(F256="","Chưa cập nhật giao hàng",IF(R256&gt;0,"Quá hạn "&amp;R256&amp;" ngày - đòi tiền",IF(P256&gt;0,"Chờ thu tiền",IF(P256&lt;0,"Kiểm tra thu thừa",IF(AND(F256="Đã giao",H256="Đã xuất"),"Hoàn tất","Theo dõi"))))))))</f>
        <v/>
      </c>
      <c r="U256" s="8"/>
    </row>
    <row r="257" customFormat="false" ht="15" hidden="false" customHeight="false" outlineLevel="0" collapsed="false">
      <c r="A257" s="8"/>
      <c r="B257" s="9"/>
      <c r="C257" s="8"/>
      <c r="D257" s="10" t="str">
        <f aca="false">IF(C257="","",IFERROR(VLOOKUP(C257,KhachHang!$A$2:$B$200,2,FALSE())&amp;"",""))</f>
        <v/>
      </c>
      <c r="E257" s="8"/>
      <c r="F257" s="8"/>
      <c r="G257" s="9"/>
      <c r="H257" s="8"/>
      <c r="I257" s="8"/>
      <c r="J257" s="9"/>
      <c r="K257" s="11" t="str">
        <f aca="false">IF(A257="","",SUMIFS(ChiTiet!$I$2:$I$2000,ChiTiet!$A$2:$A$2000,A257))</f>
        <v/>
      </c>
      <c r="L257" s="12"/>
      <c r="M257" s="11" t="str">
        <f aca="false">IF(A257="","",ROUND(K257*IF(L257="",0.08,L257),0))</f>
        <v/>
      </c>
      <c r="N257" s="11" t="str">
        <f aca="false">IF(A257="","",K257+M257)</f>
        <v/>
      </c>
      <c r="O257" s="11" t="str">
        <f aca="false">IF(A257="","",SUMIFS(ThuTien!$D$2:$D$2000,ThuTien!$B$2:$B$2000,A257))</f>
        <v/>
      </c>
      <c r="P257" s="11" t="str">
        <f aca="false">IF(A257="","",N257-O257)</f>
        <v/>
      </c>
      <c r="Q257" s="9"/>
      <c r="R257" s="10" t="str">
        <f aca="true">IF(A257="","",IF(AND(Q257&lt;&gt;"",P257&gt;0,TODAY()&gt;Q257),TODAY()-Q257,0))</f>
        <v/>
      </c>
      <c r="S257" s="10" t="str">
        <f aca="false">IF(A257="","",IF(N257=0,"Chưa có tiền hàng",IF(P257&lt;0,"Thu thừa",IF(P257=0,"Đã thu đủ",IF(O257&gt;0,"Thu một phần","Chưa thu")))))</f>
        <v/>
      </c>
      <c r="T257" s="10" t="str">
        <f aca="false">IF(A257="","",IF(AND(F257="Đã giao",H257&lt;&gt;"Đã xuất"),"Đã giao - CHƯA XUẤT HĐ",IF(AND(H257="Đã xuất",F257="Chưa giao"),"Đã xuất HĐ - chưa giao",IF(F257="","Chưa cập nhật giao hàng",IF(R257&gt;0,"Quá hạn "&amp;R257&amp;" ngày - đòi tiền",IF(P257&gt;0,"Chờ thu tiền",IF(P257&lt;0,"Kiểm tra thu thừa",IF(AND(F257="Đã giao",H257="Đã xuất"),"Hoàn tất","Theo dõi"))))))))</f>
        <v/>
      </c>
      <c r="U257" s="8"/>
    </row>
    <row r="258" customFormat="false" ht="15" hidden="false" customHeight="false" outlineLevel="0" collapsed="false">
      <c r="A258" s="8"/>
      <c r="B258" s="9"/>
      <c r="C258" s="8"/>
      <c r="D258" s="10" t="str">
        <f aca="false">IF(C258="","",IFERROR(VLOOKUP(C258,KhachHang!$A$2:$B$200,2,FALSE())&amp;"",""))</f>
        <v/>
      </c>
      <c r="E258" s="8"/>
      <c r="F258" s="8"/>
      <c r="G258" s="9"/>
      <c r="H258" s="8"/>
      <c r="I258" s="8"/>
      <c r="J258" s="9"/>
      <c r="K258" s="11" t="str">
        <f aca="false">IF(A258="","",SUMIFS(ChiTiet!$I$2:$I$2000,ChiTiet!$A$2:$A$2000,A258))</f>
        <v/>
      </c>
      <c r="L258" s="12"/>
      <c r="M258" s="11" t="str">
        <f aca="false">IF(A258="","",ROUND(K258*IF(L258="",0.08,L258),0))</f>
        <v/>
      </c>
      <c r="N258" s="11" t="str">
        <f aca="false">IF(A258="","",K258+M258)</f>
        <v/>
      </c>
      <c r="O258" s="11" t="str">
        <f aca="false">IF(A258="","",SUMIFS(ThuTien!$D$2:$D$2000,ThuTien!$B$2:$B$2000,A258))</f>
        <v/>
      </c>
      <c r="P258" s="11" t="str">
        <f aca="false">IF(A258="","",N258-O258)</f>
        <v/>
      </c>
      <c r="Q258" s="9"/>
      <c r="R258" s="10" t="str">
        <f aca="true">IF(A258="","",IF(AND(Q258&lt;&gt;"",P258&gt;0,TODAY()&gt;Q258),TODAY()-Q258,0))</f>
        <v/>
      </c>
      <c r="S258" s="10" t="str">
        <f aca="false">IF(A258="","",IF(N258=0,"Chưa có tiền hàng",IF(P258&lt;0,"Thu thừa",IF(P258=0,"Đã thu đủ",IF(O258&gt;0,"Thu một phần","Chưa thu")))))</f>
        <v/>
      </c>
      <c r="T258" s="10" t="str">
        <f aca="false">IF(A258="","",IF(AND(F258="Đã giao",H258&lt;&gt;"Đã xuất"),"Đã giao - CHƯA XUẤT HĐ",IF(AND(H258="Đã xuất",F258="Chưa giao"),"Đã xuất HĐ - chưa giao",IF(F258="","Chưa cập nhật giao hàng",IF(R258&gt;0,"Quá hạn "&amp;R258&amp;" ngày - đòi tiền",IF(P258&gt;0,"Chờ thu tiền",IF(P258&lt;0,"Kiểm tra thu thừa",IF(AND(F258="Đã giao",H258="Đã xuất"),"Hoàn tất","Theo dõi"))))))))</f>
        <v/>
      </c>
      <c r="U258" s="8"/>
    </row>
    <row r="259" customFormat="false" ht="15" hidden="false" customHeight="false" outlineLevel="0" collapsed="false">
      <c r="A259" s="8"/>
      <c r="B259" s="9"/>
      <c r="C259" s="8"/>
      <c r="D259" s="10" t="str">
        <f aca="false">IF(C259="","",IFERROR(VLOOKUP(C259,KhachHang!$A$2:$B$200,2,FALSE())&amp;"",""))</f>
        <v/>
      </c>
      <c r="E259" s="8"/>
      <c r="F259" s="8"/>
      <c r="G259" s="9"/>
      <c r="H259" s="8"/>
      <c r="I259" s="8"/>
      <c r="J259" s="9"/>
      <c r="K259" s="11" t="str">
        <f aca="false">IF(A259="","",SUMIFS(ChiTiet!$I$2:$I$2000,ChiTiet!$A$2:$A$2000,A259))</f>
        <v/>
      </c>
      <c r="L259" s="12"/>
      <c r="M259" s="11" t="str">
        <f aca="false">IF(A259="","",ROUND(K259*IF(L259="",0.08,L259),0))</f>
        <v/>
      </c>
      <c r="N259" s="11" t="str">
        <f aca="false">IF(A259="","",K259+M259)</f>
        <v/>
      </c>
      <c r="O259" s="11" t="str">
        <f aca="false">IF(A259="","",SUMIFS(ThuTien!$D$2:$D$2000,ThuTien!$B$2:$B$2000,A259))</f>
        <v/>
      </c>
      <c r="P259" s="11" t="str">
        <f aca="false">IF(A259="","",N259-O259)</f>
        <v/>
      </c>
      <c r="Q259" s="9"/>
      <c r="R259" s="10" t="str">
        <f aca="true">IF(A259="","",IF(AND(Q259&lt;&gt;"",P259&gt;0,TODAY()&gt;Q259),TODAY()-Q259,0))</f>
        <v/>
      </c>
      <c r="S259" s="10" t="str">
        <f aca="false">IF(A259="","",IF(N259=0,"Chưa có tiền hàng",IF(P259&lt;0,"Thu thừa",IF(P259=0,"Đã thu đủ",IF(O259&gt;0,"Thu một phần","Chưa thu")))))</f>
        <v/>
      </c>
      <c r="T259" s="10" t="str">
        <f aca="false">IF(A259="","",IF(AND(F259="Đã giao",H259&lt;&gt;"Đã xuất"),"Đã giao - CHƯA XUẤT HĐ",IF(AND(H259="Đã xuất",F259="Chưa giao"),"Đã xuất HĐ - chưa giao",IF(F259="","Chưa cập nhật giao hàng",IF(R259&gt;0,"Quá hạn "&amp;R259&amp;" ngày - đòi tiền",IF(P259&gt;0,"Chờ thu tiền",IF(P259&lt;0,"Kiểm tra thu thừa",IF(AND(F259="Đã giao",H259="Đã xuất"),"Hoàn tất","Theo dõi"))))))))</f>
        <v/>
      </c>
      <c r="U259" s="8"/>
    </row>
    <row r="260" customFormat="false" ht="15" hidden="false" customHeight="false" outlineLevel="0" collapsed="false">
      <c r="A260" s="8"/>
      <c r="B260" s="9"/>
      <c r="C260" s="8"/>
      <c r="D260" s="10" t="str">
        <f aca="false">IF(C260="","",IFERROR(VLOOKUP(C260,KhachHang!$A$2:$B$200,2,FALSE())&amp;"",""))</f>
        <v/>
      </c>
      <c r="E260" s="8"/>
      <c r="F260" s="8"/>
      <c r="G260" s="9"/>
      <c r="H260" s="8"/>
      <c r="I260" s="8"/>
      <c r="J260" s="9"/>
      <c r="K260" s="11" t="str">
        <f aca="false">IF(A260="","",SUMIFS(ChiTiet!$I$2:$I$2000,ChiTiet!$A$2:$A$2000,A260))</f>
        <v/>
      </c>
      <c r="L260" s="12"/>
      <c r="M260" s="11" t="str">
        <f aca="false">IF(A260="","",ROUND(K260*IF(L260="",0.08,L260),0))</f>
        <v/>
      </c>
      <c r="N260" s="11" t="str">
        <f aca="false">IF(A260="","",K260+M260)</f>
        <v/>
      </c>
      <c r="O260" s="11" t="str">
        <f aca="false">IF(A260="","",SUMIFS(ThuTien!$D$2:$D$2000,ThuTien!$B$2:$B$2000,A260))</f>
        <v/>
      </c>
      <c r="P260" s="11" t="str">
        <f aca="false">IF(A260="","",N260-O260)</f>
        <v/>
      </c>
      <c r="Q260" s="9"/>
      <c r="R260" s="10" t="str">
        <f aca="true">IF(A260="","",IF(AND(Q260&lt;&gt;"",P260&gt;0,TODAY()&gt;Q260),TODAY()-Q260,0))</f>
        <v/>
      </c>
      <c r="S260" s="10" t="str">
        <f aca="false">IF(A260="","",IF(N260=0,"Chưa có tiền hàng",IF(P260&lt;0,"Thu thừa",IF(P260=0,"Đã thu đủ",IF(O260&gt;0,"Thu một phần","Chưa thu")))))</f>
        <v/>
      </c>
      <c r="T260" s="10" t="str">
        <f aca="false">IF(A260="","",IF(AND(F260="Đã giao",H260&lt;&gt;"Đã xuất"),"Đã giao - CHƯA XUẤT HĐ",IF(AND(H260="Đã xuất",F260="Chưa giao"),"Đã xuất HĐ - chưa giao",IF(F260="","Chưa cập nhật giao hàng",IF(R260&gt;0,"Quá hạn "&amp;R260&amp;" ngày - đòi tiền",IF(P260&gt;0,"Chờ thu tiền",IF(P260&lt;0,"Kiểm tra thu thừa",IF(AND(F260="Đã giao",H260="Đã xuất"),"Hoàn tất","Theo dõi"))))))))</f>
        <v/>
      </c>
      <c r="U260" s="8"/>
    </row>
    <row r="261" customFormat="false" ht="15" hidden="false" customHeight="false" outlineLevel="0" collapsed="false">
      <c r="A261" s="8"/>
      <c r="B261" s="9"/>
      <c r="C261" s="8"/>
      <c r="D261" s="10" t="str">
        <f aca="false">IF(C261="","",IFERROR(VLOOKUP(C261,KhachHang!$A$2:$B$200,2,FALSE())&amp;"",""))</f>
        <v/>
      </c>
      <c r="E261" s="8"/>
      <c r="F261" s="8"/>
      <c r="G261" s="9"/>
      <c r="H261" s="8"/>
      <c r="I261" s="8"/>
      <c r="J261" s="9"/>
      <c r="K261" s="11" t="str">
        <f aca="false">IF(A261="","",SUMIFS(ChiTiet!$I$2:$I$2000,ChiTiet!$A$2:$A$2000,A261))</f>
        <v/>
      </c>
      <c r="L261" s="12"/>
      <c r="M261" s="11" t="str">
        <f aca="false">IF(A261="","",ROUND(K261*IF(L261="",0.08,L261),0))</f>
        <v/>
      </c>
      <c r="N261" s="11" t="str">
        <f aca="false">IF(A261="","",K261+M261)</f>
        <v/>
      </c>
      <c r="O261" s="11" t="str">
        <f aca="false">IF(A261="","",SUMIFS(ThuTien!$D$2:$D$2000,ThuTien!$B$2:$B$2000,A261))</f>
        <v/>
      </c>
      <c r="P261" s="11" t="str">
        <f aca="false">IF(A261="","",N261-O261)</f>
        <v/>
      </c>
      <c r="Q261" s="9"/>
      <c r="R261" s="10" t="str">
        <f aca="true">IF(A261="","",IF(AND(Q261&lt;&gt;"",P261&gt;0,TODAY()&gt;Q261),TODAY()-Q261,0))</f>
        <v/>
      </c>
      <c r="S261" s="10" t="str">
        <f aca="false">IF(A261="","",IF(N261=0,"Chưa có tiền hàng",IF(P261&lt;0,"Thu thừa",IF(P261=0,"Đã thu đủ",IF(O261&gt;0,"Thu một phần","Chưa thu")))))</f>
        <v/>
      </c>
      <c r="T261" s="10" t="str">
        <f aca="false">IF(A261="","",IF(AND(F261="Đã giao",H261&lt;&gt;"Đã xuất"),"Đã giao - CHƯA XUẤT HĐ",IF(AND(H261="Đã xuất",F261="Chưa giao"),"Đã xuất HĐ - chưa giao",IF(F261="","Chưa cập nhật giao hàng",IF(R261&gt;0,"Quá hạn "&amp;R261&amp;" ngày - đòi tiền",IF(P261&gt;0,"Chờ thu tiền",IF(P261&lt;0,"Kiểm tra thu thừa",IF(AND(F261="Đã giao",H261="Đã xuất"),"Hoàn tất","Theo dõi"))))))))</f>
        <v/>
      </c>
      <c r="U261" s="8"/>
    </row>
    <row r="262" customFormat="false" ht="15" hidden="false" customHeight="false" outlineLevel="0" collapsed="false">
      <c r="A262" s="8"/>
      <c r="B262" s="9"/>
      <c r="C262" s="8"/>
      <c r="D262" s="10" t="str">
        <f aca="false">IF(C262="","",IFERROR(VLOOKUP(C262,KhachHang!$A$2:$B$200,2,FALSE())&amp;"",""))</f>
        <v/>
      </c>
      <c r="E262" s="8"/>
      <c r="F262" s="8"/>
      <c r="G262" s="9"/>
      <c r="H262" s="8"/>
      <c r="I262" s="8"/>
      <c r="J262" s="9"/>
      <c r="K262" s="11" t="str">
        <f aca="false">IF(A262="","",SUMIFS(ChiTiet!$I$2:$I$2000,ChiTiet!$A$2:$A$2000,A262))</f>
        <v/>
      </c>
      <c r="L262" s="12"/>
      <c r="M262" s="11" t="str">
        <f aca="false">IF(A262="","",ROUND(K262*IF(L262="",0.08,L262),0))</f>
        <v/>
      </c>
      <c r="N262" s="11" t="str">
        <f aca="false">IF(A262="","",K262+M262)</f>
        <v/>
      </c>
      <c r="O262" s="11" t="str">
        <f aca="false">IF(A262="","",SUMIFS(ThuTien!$D$2:$D$2000,ThuTien!$B$2:$B$2000,A262))</f>
        <v/>
      </c>
      <c r="P262" s="11" t="str">
        <f aca="false">IF(A262="","",N262-O262)</f>
        <v/>
      </c>
      <c r="Q262" s="9"/>
      <c r="R262" s="10" t="str">
        <f aca="true">IF(A262="","",IF(AND(Q262&lt;&gt;"",P262&gt;0,TODAY()&gt;Q262),TODAY()-Q262,0))</f>
        <v/>
      </c>
      <c r="S262" s="10" t="str">
        <f aca="false">IF(A262="","",IF(N262=0,"Chưa có tiền hàng",IF(P262&lt;0,"Thu thừa",IF(P262=0,"Đã thu đủ",IF(O262&gt;0,"Thu một phần","Chưa thu")))))</f>
        <v/>
      </c>
      <c r="T262" s="10" t="str">
        <f aca="false">IF(A262="","",IF(AND(F262="Đã giao",H262&lt;&gt;"Đã xuất"),"Đã giao - CHƯA XUẤT HĐ",IF(AND(H262="Đã xuất",F262="Chưa giao"),"Đã xuất HĐ - chưa giao",IF(F262="","Chưa cập nhật giao hàng",IF(R262&gt;0,"Quá hạn "&amp;R262&amp;" ngày - đòi tiền",IF(P262&gt;0,"Chờ thu tiền",IF(P262&lt;0,"Kiểm tra thu thừa",IF(AND(F262="Đã giao",H262="Đã xuất"),"Hoàn tất","Theo dõi"))))))))</f>
        <v/>
      </c>
      <c r="U262" s="8"/>
    </row>
    <row r="263" customFormat="false" ht="15" hidden="false" customHeight="false" outlineLevel="0" collapsed="false">
      <c r="A263" s="8"/>
      <c r="B263" s="9"/>
      <c r="C263" s="8"/>
      <c r="D263" s="10" t="str">
        <f aca="false">IF(C263="","",IFERROR(VLOOKUP(C263,KhachHang!$A$2:$B$200,2,FALSE())&amp;"",""))</f>
        <v/>
      </c>
      <c r="E263" s="8"/>
      <c r="F263" s="8"/>
      <c r="G263" s="9"/>
      <c r="H263" s="8"/>
      <c r="I263" s="8"/>
      <c r="J263" s="9"/>
      <c r="K263" s="11" t="str">
        <f aca="false">IF(A263="","",SUMIFS(ChiTiet!$I$2:$I$2000,ChiTiet!$A$2:$A$2000,A263))</f>
        <v/>
      </c>
      <c r="L263" s="12"/>
      <c r="M263" s="11" t="str">
        <f aca="false">IF(A263="","",ROUND(K263*IF(L263="",0.08,L263),0))</f>
        <v/>
      </c>
      <c r="N263" s="11" t="str">
        <f aca="false">IF(A263="","",K263+M263)</f>
        <v/>
      </c>
      <c r="O263" s="11" t="str">
        <f aca="false">IF(A263="","",SUMIFS(ThuTien!$D$2:$D$2000,ThuTien!$B$2:$B$2000,A263))</f>
        <v/>
      </c>
      <c r="P263" s="11" t="str">
        <f aca="false">IF(A263="","",N263-O263)</f>
        <v/>
      </c>
      <c r="Q263" s="9"/>
      <c r="R263" s="10" t="str">
        <f aca="true">IF(A263="","",IF(AND(Q263&lt;&gt;"",P263&gt;0,TODAY()&gt;Q263),TODAY()-Q263,0))</f>
        <v/>
      </c>
      <c r="S263" s="10" t="str">
        <f aca="false">IF(A263="","",IF(N263=0,"Chưa có tiền hàng",IF(P263&lt;0,"Thu thừa",IF(P263=0,"Đã thu đủ",IF(O263&gt;0,"Thu một phần","Chưa thu")))))</f>
        <v/>
      </c>
      <c r="T263" s="10" t="str">
        <f aca="false">IF(A263="","",IF(AND(F263="Đã giao",H263&lt;&gt;"Đã xuất"),"Đã giao - CHƯA XUẤT HĐ",IF(AND(H263="Đã xuất",F263="Chưa giao"),"Đã xuất HĐ - chưa giao",IF(F263="","Chưa cập nhật giao hàng",IF(R263&gt;0,"Quá hạn "&amp;R263&amp;" ngày - đòi tiền",IF(P263&gt;0,"Chờ thu tiền",IF(P263&lt;0,"Kiểm tra thu thừa",IF(AND(F263="Đã giao",H263="Đã xuất"),"Hoàn tất","Theo dõi"))))))))</f>
        <v/>
      </c>
      <c r="U263" s="8"/>
    </row>
    <row r="264" customFormat="false" ht="15" hidden="false" customHeight="false" outlineLevel="0" collapsed="false">
      <c r="A264" s="8"/>
      <c r="B264" s="9"/>
      <c r="C264" s="8"/>
      <c r="D264" s="10" t="str">
        <f aca="false">IF(C264="","",IFERROR(VLOOKUP(C264,KhachHang!$A$2:$B$200,2,FALSE())&amp;"",""))</f>
        <v/>
      </c>
      <c r="E264" s="8"/>
      <c r="F264" s="8"/>
      <c r="G264" s="9"/>
      <c r="H264" s="8"/>
      <c r="I264" s="8"/>
      <c r="J264" s="9"/>
      <c r="K264" s="11" t="str">
        <f aca="false">IF(A264="","",SUMIFS(ChiTiet!$I$2:$I$2000,ChiTiet!$A$2:$A$2000,A264))</f>
        <v/>
      </c>
      <c r="L264" s="12"/>
      <c r="M264" s="11" t="str">
        <f aca="false">IF(A264="","",ROUND(K264*IF(L264="",0.08,L264),0))</f>
        <v/>
      </c>
      <c r="N264" s="11" t="str">
        <f aca="false">IF(A264="","",K264+M264)</f>
        <v/>
      </c>
      <c r="O264" s="11" t="str">
        <f aca="false">IF(A264="","",SUMIFS(ThuTien!$D$2:$D$2000,ThuTien!$B$2:$B$2000,A264))</f>
        <v/>
      </c>
      <c r="P264" s="11" t="str">
        <f aca="false">IF(A264="","",N264-O264)</f>
        <v/>
      </c>
      <c r="Q264" s="9"/>
      <c r="R264" s="10" t="str">
        <f aca="true">IF(A264="","",IF(AND(Q264&lt;&gt;"",P264&gt;0,TODAY()&gt;Q264),TODAY()-Q264,0))</f>
        <v/>
      </c>
      <c r="S264" s="10" t="str">
        <f aca="false">IF(A264="","",IF(N264=0,"Chưa có tiền hàng",IF(P264&lt;0,"Thu thừa",IF(P264=0,"Đã thu đủ",IF(O264&gt;0,"Thu một phần","Chưa thu")))))</f>
        <v/>
      </c>
      <c r="T264" s="10" t="str">
        <f aca="false">IF(A264="","",IF(AND(F264="Đã giao",H264&lt;&gt;"Đã xuất"),"Đã giao - CHƯA XUẤT HĐ",IF(AND(H264="Đã xuất",F264="Chưa giao"),"Đã xuất HĐ - chưa giao",IF(F264="","Chưa cập nhật giao hàng",IF(R264&gt;0,"Quá hạn "&amp;R264&amp;" ngày - đòi tiền",IF(P264&gt;0,"Chờ thu tiền",IF(P264&lt;0,"Kiểm tra thu thừa",IF(AND(F264="Đã giao",H264="Đã xuất"),"Hoàn tất","Theo dõi"))))))))</f>
        <v/>
      </c>
      <c r="U264" s="8"/>
    </row>
    <row r="265" customFormat="false" ht="15" hidden="false" customHeight="false" outlineLevel="0" collapsed="false">
      <c r="A265" s="8"/>
      <c r="B265" s="9"/>
      <c r="C265" s="8"/>
      <c r="D265" s="10" t="str">
        <f aca="false">IF(C265="","",IFERROR(VLOOKUP(C265,KhachHang!$A$2:$B$200,2,FALSE())&amp;"",""))</f>
        <v/>
      </c>
      <c r="E265" s="8"/>
      <c r="F265" s="8"/>
      <c r="G265" s="9"/>
      <c r="H265" s="8"/>
      <c r="I265" s="8"/>
      <c r="J265" s="9"/>
      <c r="K265" s="11" t="str">
        <f aca="false">IF(A265="","",SUMIFS(ChiTiet!$I$2:$I$2000,ChiTiet!$A$2:$A$2000,A265))</f>
        <v/>
      </c>
      <c r="L265" s="12"/>
      <c r="M265" s="11" t="str">
        <f aca="false">IF(A265="","",ROUND(K265*IF(L265="",0.08,L265),0))</f>
        <v/>
      </c>
      <c r="N265" s="11" t="str">
        <f aca="false">IF(A265="","",K265+M265)</f>
        <v/>
      </c>
      <c r="O265" s="11" t="str">
        <f aca="false">IF(A265="","",SUMIFS(ThuTien!$D$2:$D$2000,ThuTien!$B$2:$B$2000,A265))</f>
        <v/>
      </c>
      <c r="P265" s="11" t="str">
        <f aca="false">IF(A265="","",N265-O265)</f>
        <v/>
      </c>
      <c r="Q265" s="9"/>
      <c r="R265" s="10" t="str">
        <f aca="true">IF(A265="","",IF(AND(Q265&lt;&gt;"",P265&gt;0,TODAY()&gt;Q265),TODAY()-Q265,0))</f>
        <v/>
      </c>
      <c r="S265" s="10" t="str">
        <f aca="false">IF(A265="","",IF(N265=0,"Chưa có tiền hàng",IF(P265&lt;0,"Thu thừa",IF(P265=0,"Đã thu đủ",IF(O265&gt;0,"Thu một phần","Chưa thu")))))</f>
        <v/>
      </c>
      <c r="T265" s="10" t="str">
        <f aca="false">IF(A265="","",IF(AND(F265="Đã giao",H265&lt;&gt;"Đã xuất"),"Đã giao - CHƯA XUẤT HĐ",IF(AND(H265="Đã xuất",F265="Chưa giao"),"Đã xuất HĐ - chưa giao",IF(F265="","Chưa cập nhật giao hàng",IF(R265&gt;0,"Quá hạn "&amp;R265&amp;" ngày - đòi tiền",IF(P265&gt;0,"Chờ thu tiền",IF(P265&lt;0,"Kiểm tra thu thừa",IF(AND(F265="Đã giao",H265="Đã xuất"),"Hoàn tất","Theo dõi"))))))))</f>
        <v/>
      </c>
      <c r="U265" s="8"/>
    </row>
    <row r="266" customFormat="false" ht="15" hidden="false" customHeight="false" outlineLevel="0" collapsed="false">
      <c r="A266" s="8"/>
      <c r="B266" s="9"/>
      <c r="C266" s="8"/>
      <c r="D266" s="10" t="str">
        <f aca="false">IF(C266="","",IFERROR(VLOOKUP(C266,KhachHang!$A$2:$B$200,2,FALSE())&amp;"",""))</f>
        <v/>
      </c>
      <c r="E266" s="8"/>
      <c r="F266" s="8"/>
      <c r="G266" s="9"/>
      <c r="H266" s="8"/>
      <c r="I266" s="8"/>
      <c r="J266" s="9"/>
      <c r="K266" s="11" t="str">
        <f aca="false">IF(A266="","",SUMIFS(ChiTiet!$I$2:$I$2000,ChiTiet!$A$2:$A$2000,A266))</f>
        <v/>
      </c>
      <c r="L266" s="12"/>
      <c r="M266" s="11" t="str">
        <f aca="false">IF(A266="","",ROUND(K266*IF(L266="",0.08,L266),0))</f>
        <v/>
      </c>
      <c r="N266" s="11" t="str">
        <f aca="false">IF(A266="","",K266+M266)</f>
        <v/>
      </c>
      <c r="O266" s="11" t="str">
        <f aca="false">IF(A266="","",SUMIFS(ThuTien!$D$2:$D$2000,ThuTien!$B$2:$B$2000,A266))</f>
        <v/>
      </c>
      <c r="P266" s="11" t="str">
        <f aca="false">IF(A266="","",N266-O266)</f>
        <v/>
      </c>
      <c r="Q266" s="9"/>
      <c r="R266" s="10" t="str">
        <f aca="true">IF(A266="","",IF(AND(Q266&lt;&gt;"",P266&gt;0,TODAY()&gt;Q266),TODAY()-Q266,0))</f>
        <v/>
      </c>
      <c r="S266" s="10" t="str">
        <f aca="false">IF(A266="","",IF(N266=0,"Chưa có tiền hàng",IF(P266&lt;0,"Thu thừa",IF(P266=0,"Đã thu đủ",IF(O266&gt;0,"Thu một phần","Chưa thu")))))</f>
        <v/>
      </c>
      <c r="T266" s="10" t="str">
        <f aca="false">IF(A266="","",IF(AND(F266="Đã giao",H266&lt;&gt;"Đã xuất"),"Đã giao - CHƯA XUẤT HĐ",IF(AND(H266="Đã xuất",F266="Chưa giao"),"Đã xuất HĐ - chưa giao",IF(F266="","Chưa cập nhật giao hàng",IF(R266&gt;0,"Quá hạn "&amp;R266&amp;" ngày - đòi tiền",IF(P266&gt;0,"Chờ thu tiền",IF(P266&lt;0,"Kiểm tra thu thừa",IF(AND(F266="Đã giao",H266="Đã xuất"),"Hoàn tất","Theo dõi"))))))))</f>
        <v/>
      </c>
      <c r="U266" s="8"/>
    </row>
    <row r="267" customFormat="false" ht="15" hidden="false" customHeight="false" outlineLevel="0" collapsed="false">
      <c r="A267" s="8"/>
      <c r="B267" s="9"/>
      <c r="C267" s="8"/>
      <c r="D267" s="10" t="str">
        <f aca="false">IF(C267="","",IFERROR(VLOOKUP(C267,KhachHang!$A$2:$B$200,2,FALSE())&amp;"",""))</f>
        <v/>
      </c>
      <c r="E267" s="8"/>
      <c r="F267" s="8"/>
      <c r="G267" s="9"/>
      <c r="H267" s="8"/>
      <c r="I267" s="8"/>
      <c r="J267" s="9"/>
      <c r="K267" s="11" t="str">
        <f aca="false">IF(A267="","",SUMIFS(ChiTiet!$I$2:$I$2000,ChiTiet!$A$2:$A$2000,A267))</f>
        <v/>
      </c>
      <c r="L267" s="12"/>
      <c r="M267" s="11" t="str">
        <f aca="false">IF(A267="","",ROUND(K267*IF(L267="",0.08,L267),0))</f>
        <v/>
      </c>
      <c r="N267" s="11" t="str">
        <f aca="false">IF(A267="","",K267+M267)</f>
        <v/>
      </c>
      <c r="O267" s="11" t="str">
        <f aca="false">IF(A267="","",SUMIFS(ThuTien!$D$2:$D$2000,ThuTien!$B$2:$B$2000,A267))</f>
        <v/>
      </c>
      <c r="P267" s="11" t="str">
        <f aca="false">IF(A267="","",N267-O267)</f>
        <v/>
      </c>
      <c r="Q267" s="9"/>
      <c r="R267" s="10" t="str">
        <f aca="true">IF(A267="","",IF(AND(Q267&lt;&gt;"",P267&gt;0,TODAY()&gt;Q267),TODAY()-Q267,0))</f>
        <v/>
      </c>
      <c r="S267" s="10" t="str">
        <f aca="false">IF(A267="","",IF(N267=0,"Chưa có tiền hàng",IF(P267&lt;0,"Thu thừa",IF(P267=0,"Đã thu đủ",IF(O267&gt;0,"Thu một phần","Chưa thu")))))</f>
        <v/>
      </c>
      <c r="T267" s="10" t="str">
        <f aca="false">IF(A267="","",IF(AND(F267="Đã giao",H267&lt;&gt;"Đã xuất"),"Đã giao - CHƯA XUẤT HĐ",IF(AND(H267="Đã xuất",F267="Chưa giao"),"Đã xuất HĐ - chưa giao",IF(F267="","Chưa cập nhật giao hàng",IF(R267&gt;0,"Quá hạn "&amp;R267&amp;" ngày - đòi tiền",IF(P267&gt;0,"Chờ thu tiền",IF(P267&lt;0,"Kiểm tra thu thừa",IF(AND(F267="Đã giao",H267="Đã xuất"),"Hoàn tất","Theo dõi"))))))))</f>
        <v/>
      </c>
      <c r="U267" s="8"/>
    </row>
    <row r="268" customFormat="false" ht="15" hidden="false" customHeight="false" outlineLevel="0" collapsed="false">
      <c r="A268" s="8"/>
      <c r="B268" s="9"/>
      <c r="C268" s="8"/>
      <c r="D268" s="10" t="str">
        <f aca="false">IF(C268="","",IFERROR(VLOOKUP(C268,KhachHang!$A$2:$B$200,2,FALSE())&amp;"",""))</f>
        <v/>
      </c>
      <c r="E268" s="8"/>
      <c r="F268" s="8"/>
      <c r="G268" s="9"/>
      <c r="H268" s="8"/>
      <c r="I268" s="8"/>
      <c r="J268" s="9"/>
      <c r="K268" s="11" t="str">
        <f aca="false">IF(A268="","",SUMIFS(ChiTiet!$I$2:$I$2000,ChiTiet!$A$2:$A$2000,A268))</f>
        <v/>
      </c>
      <c r="L268" s="12"/>
      <c r="M268" s="11" t="str">
        <f aca="false">IF(A268="","",ROUND(K268*IF(L268="",0.08,L268),0))</f>
        <v/>
      </c>
      <c r="N268" s="11" t="str">
        <f aca="false">IF(A268="","",K268+M268)</f>
        <v/>
      </c>
      <c r="O268" s="11" t="str">
        <f aca="false">IF(A268="","",SUMIFS(ThuTien!$D$2:$D$2000,ThuTien!$B$2:$B$2000,A268))</f>
        <v/>
      </c>
      <c r="P268" s="11" t="str">
        <f aca="false">IF(A268="","",N268-O268)</f>
        <v/>
      </c>
      <c r="Q268" s="9"/>
      <c r="R268" s="10" t="str">
        <f aca="true">IF(A268="","",IF(AND(Q268&lt;&gt;"",P268&gt;0,TODAY()&gt;Q268),TODAY()-Q268,0))</f>
        <v/>
      </c>
      <c r="S268" s="10" t="str">
        <f aca="false">IF(A268="","",IF(N268=0,"Chưa có tiền hàng",IF(P268&lt;0,"Thu thừa",IF(P268=0,"Đã thu đủ",IF(O268&gt;0,"Thu một phần","Chưa thu")))))</f>
        <v/>
      </c>
      <c r="T268" s="10" t="str">
        <f aca="false">IF(A268="","",IF(AND(F268="Đã giao",H268&lt;&gt;"Đã xuất"),"Đã giao - CHƯA XUẤT HĐ",IF(AND(H268="Đã xuất",F268="Chưa giao"),"Đã xuất HĐ - chưa giao",IF(F268="","Chưa cập nhật giao hàng",IF(R268&gt;0,"Quá hạn "&amp;R268&amp;" ngày - đòi tiền",IF(P268&gt;0,"Chờ thu tiền",IF(P268&lt;0,"Kiểm tra thu thừa",IF(AND(F268="Đã giao",H268="Đã xuất"),"Hoàn tất","Theo dõi"))))))))</f>
        <v/>
      </c>
      <c r="U268" s="8"/>
    </row>
    <row r="269" customFormat="false" ht="15" hidden="false" customHeight="false" outlineLevel="0" collapsed="false">
      <c r="A269" s="8"/>
      <c r="B269" s="9"/>
      <c r="C269" s="8"/>
      <c r="D269" s="10" t="str">
        <f aca="false">IF(C269="","",IFERROR(VLOOKUP(C269,KhachHang!$A$2:$B$200,2,FALSE())&amp;"",""))</f>
        <v/>
      </c>
      <c r="E269" s="8"/>
      <c r="F269" s="8"/>
      <c r="G269" s="9"/>
      <c r="H269" s="8"/>
      <c r="I269" s="8"/>
      <c r="J269" s="9"/>
      <c r="K269" s="11" t="str">
        <f aca="false">IF(A269="","",SUMIFS(ChiTiet!$I$2:$I$2000,ChiTiet!$A$2:$A$2000,A269))</f>
        <v/>
      </c>
      <c r="L269" s="12"/>
      <c r="M269" s="11" t="str">
        <f aca="false">IF(A269="","",ROUND(K269*IF(L269="",0.08,L269),0))</f>
        <v/>
      </c>
      <c r="N269" s="11" t="str">
        <f aca="false">IF(A269="","",K269+M269)</f>
        <v/>
      </c>
      <c r="O269" s="11" t="str">
        <f aca="false">IF(A269="","",SUMIFS(ThuTien!$D$2:$D$2000,ThuTien!$B$2:$B$2000,A269))</f>
        <v/>
      </c>
      <c r="P269" s="11" t="str">
        <f aca="false">IF(A269="","",N269-O269)</f>
        <v/>
      </c>
      <c r="Q269" s="9"/>
      <c r="R269" s="10" t="str">
        <f aca="true">IF(A269="","",IF(AND(Q269&lt;&gt;"",P269&gt;0,TODAY()&gt;Q269),TODAY()-Q269,0))</f>
        <v/>
      </c>
      <c r="S269" s="10" t="str">
        <f aca="false">IF(A269="","",IF(N269=0,"Chưa có tiền hàng",IF(P269&lt;0,"Thu thừa",IF(P269=0,"Đã thu đủ",IF(O269&gt;0,"Thu một phần","Chưa thu")))))</f>
        <v/>
      </c>
      <c r="T269" s="10" t="str">
        <f aca="false">IF(A269="","",IF(AND(F269="Đã giao",H269&lt;&gt;"Đã xuất"),"Đã giao - CHƯA XUẤT HĐ",IF(AND(H269="Đã xuất",F269="Chưa giao"),"Đã xuất HĐ - chưa giao",IF(F269="","Chưa cập nhật giao hàng",IF(R269&gt;0,"Quá hạn "&amp;R269&amp;" ngày - đòi tiền",IF(P269&gt;0,"Chờ thu tiền",IF(P269&lt;0,"Kiểm tra thu thừa",IF(AND(F269="Đã giao",H269="Đã xuất"),"Hoàn tất","Theo dõi"))))))))</f>
        <v/>
      </c>
      <c r="U269" s="8"/>
    </row>
    <row r="270" customFormat="false" ht="15" hidden="false" customHeight="false" outlineLevel="0" collapsed="false">
      <c r="A270" s="8"/>
      <c r="B270" s="9"/>
      <c r="C270" s="8"/>
      <c r="D270" s="10" t="str">
        <f aca="false">IF(C270="","",IFERROR(VLOOKUP(C270,KhachHang!$A$2:$B$200,2,FALSE())&amp;"",""))</f>
        <v/>
      </c>
      <c r="E270" s="8"/>
      <c r="F270" s="8"/>
      <c r="G270" s="9"/>
      <c r="H270" s="8"/>
      <c r="I270" s="8"/>
      <c r="J270" s="9"/>
      <c r="K270" s="11" t="str">
        <f aca="false">IF(A270="","",SUMIFS(ChiTiet!$I$2:$I$2000,ChiTiet!$A$2:$A$2000,A270))</f>
        <v/>
      </c>
      <c r="L270" s="12"/>
      <c r="M270" s="11" t="str">
        <f aca="false">IF(A270="","",ROUND(K270*IF(L270="",0.08,L270),0))</f>
        <v/>
      </c>
      <c r="N270" s="11" t="str">
        <f aca="false">IF(A270="","",K270+M270)</f>
        <v/>
      </c>
      <c r="O270" s="11" t="str">
        <f aca="false">IF(A270="","",SUMIFS(ThuTien!$D$2:$D$2000,ThuTien!$B$2:$B$2000,A270))</f>
        <v/>
      </c>
      <c r="P270" s="11" t="str">
        <f aca="false">IF(A270="","",N270-O270)</f>
        <v/>
      </c>
      <c r="Q270" s="9"/>
      <c r="R270" s="10" t="str">
        <f aca="true">IF(A270="","",IF(AND(Q270&lt;&gt;"",P270&gt;0,TODAY()&gt;Q270),TODAY()-Q270,0))</f>
        <v/>
      </c>
      <c r="S270" s="10" t="str">
        <f aca="false">IF(A270="","",IF(N270=0,"Chưa có tiền hàng",IF(P270&lt;0,"Thu thừa",IF(P270=0,"Đã thu đủ",IF(O270&gt;0,"Thu một phần","Chưa thu")))))</f>
        <v/>
      </c>
      <c r="T270" s="10" t="str">
        <f aca="false">IF(A270="","",IF(AND(F270="Đã giao",H270&lt;&gt;"Đã xuất"),"Đã giao - CHƯA XUẤT HĐ",IF(AND(H270="Đã xuất",F270="Chưa giao"),"Đã xuất HĐ - chưa giao",IF(F270="","Chưa cập nhật giao hàng",IF(R270&gt;0,"Quá hạn "&amp;R270&amp;" ngày - đòi tiền",IF(P270&gt;0,"Chờ thu tiền",IF(P270&lt;0,"Kiểm tra thu thừa",IF(AND(F270="Đã giao",H270="Đã xuất"),"Hoàn tất","Theo dõi"))))))))</f>
        <v/>
      </c>
      <c r="U270" s="8"/>
    </row>
    <row r="271" customFormat="false" ht="15" hidden="false" customHeight="false" outlineLevel="0" collapsed="false">
      <c r="A271" s="8"/>
      <c r="B271" s="9"/>
      <c r="C271" s="8"/>
      <c r="D271" s="10" t="str">
        <f aca="false">IF(C271="","",IFERROR(VLOOKUP(C271,KhachHang!$A$2:$B$200,2,FALSE())&amp;"",""))</f>
        <v/>
      </c>
      <c r="E271" s="8"/>
      <c r="F271" s="8"/>
      <c r="G271" s="9"/>
      <c r="H271" s="8"/>
      <c r="I271" s="8"/>
      <c r="J271" s="9"/>
      <c r="K271" s="11" t="str">
        <f aca="false">IF(A271="","",SUMIFS(ChiTiet!$I$2:$I$2000,ChiTiet!$A$2:$A$2000,A271))</f>
        <v/>
      </c>
      <c r="L271" s="12"/>
      <c r="M271" s="11" t="str">
        <f aca="false">IF(A271="","",ROUND(K271*IF(L271="",0.08,L271),0))</f>
        <v/>
      </c>
      <c r="N271" s="11" t="str">
        <f aca="false">IF(A271="","",K271+M271)</f>
        <v/>
      </c>
      <c r="O271" s="11" t="str">
        <f aca="false">IF(A271="","",SUMIFS(ThuTien!$D$2:$D$2000,ThuTien!$B$2:$B$2000,A271))</f>
        <v/>
      </c>
      <c r="P271" s="11" t="str">
        <f aca="false">IF(A271="","",N271-O271)</f>
        <v/>
      </c>
      <c r="Q271" s="9"/>
      <c r="R271" s="10" t="str">
        <f aca="true">IF(A271="","",IF(AND(Q271&lt;&gt;"",P271&gt;0,TODAY()&gt;Q271),TODAY()-Q271,0))</f>
        <v/>
      </c>
      <c r="S271" s="10" t="str">
        <f aca="false">IF(A271="","",IF(N271=0,"Chưa có tiền hàng",IF(P271&lt;0,"Thu thừa",IF(P271=0,"Đã thu đủ",IF(O271&gt;0,"Thu một phần","Chưa thu")))))</f>
        <v/>
      </c>
      <c r="T271" s="10" t="str">
        <f aca="false">IF(A271="","",IF(AND(F271="Đã giao",H271&lt;&gt;"Đã xuất"),"Đã giao - CHƯA XUẤT HĐ",IF(AND(H271="Đã xuất",F271="Chưa giao"),"Đã xuất HĐ - chưa giao",IF(F271="","Chưa cập nhật giao hàng",IF(R271&gt;0,"Quá hạn "&amp;R271&amp;" ngày - đòi tiền",IF(P271&gt;0,"Chờ thu tiền",IF(P271&lt;0,"Kiểm tra thu thừa",IF(AND(F271="Đã giao",H271="Đã xuất"),"Hoàn tất","Theo dõi"))))))))</f>
        <v/>
      </c>
      <c r="U271" s="8"/>
    </row>
    <row r="272" customFormat="false" ht="15" hidden="false" customHeight="false" outlineLevel="0" collapsed="false">
      <c r="A272" s="8"/>
      <c r="B272" s="9"/>
      <c r="C272" s="8"/>
      <c r="D272" s="10" t="str">
        <f aca="false">IF(C272="","",IFERROR(VLOOKUP(C272,KhachHang!$A$2:$B$200,2,FALSE())&amp;"",""))</f>
        <v/>
      </c>
      <c r="E272" s="8"/>
      <c r="F272" s="8"/>
      <c r="G272" s="9"/>
      <c r="H272" s="8"/>
      <c r="I272" s="8"/>
      <c r="J272" s="9"/>
      <c r="K272" s="11" t="str">
        <f aca="false">IF(A272="","",SUMIFS(ChiTiet!$I$2:$I$2000,ChiTiet!$A$2:$A$2000,A272))</f>
        <v/>
      </c>
      <c r="L272" s="12"/>
      <c r="M272" s="11" t="str">
        <f aca="false">IF(A272="","",ROUND(K272*IF(L272="",0.08,L272),0))</f>
        <v/>
      </c>
      <c r="N272" s="11" t="str">
        <f aca="false">IF(A272="","",K272+M272)</f>
        <v/>
      </c>
      <c r="O272" s="11" t="str">
        <f aca="false">IF(A272="","",SUMIFS(ThuTien!$D$2:$D$2000,ThuTien!$B$2:$B$2000,A272))</f>
        <v/>
      </c>
      <c r="P272" s="11" t="str">
        <f aca="false">IF(A272="","",N272-O272)</f>
        <v/>
      </c>
      <c r="Q272" s="9"/>
      <c r="R272" s="10" t="str">
        <f aca="true">IF(A272="","",IF(AND(Q272&lt;&gt;"",P272&gt;0,TODAY()&gt;Q272),TODAY()-Q272,0))</f>
        <v/>
      </c>
      <c r="S272" s="10" t="str">
        <f aca="false">IF(A272="","",IF(N272=0,"Chưa có tiền hàng",IF(P272&lt;0,"Thu thừa",IF(P272=0,"Đã thu đủ",IF(O272&gt;0,"Thu một phần","Chưa thu")))))</f>
        <v/>
      </c>
      <c r="T272" s="10" t="str">
        <f aca="false">IF(A272="","",IF(AND(F272="Đã giao",H272&lt;&gt;"Đã xuất"),"Đã giao - CHƯA XUẤT HĐ",IF(AND(H272="Đã xuất",F272="Chưa giao"),"Đã xuất HĐ - chưa giao",IF(F272="","Chưa cập nhật giao hàng",IF(R272&gt;0,"Quá hạn "&amp;R272&amp;" ngày - đòi tiền",IF(P272&gt;0,"Chờ thu tiền",IF(P272&lt;0,"Kiểm tra thu thừa",IF(AND(F272="Đã giao",H272="Đã xuất"),"Hoàn tất","Theo dõi"))))))))</f>
        <v/>
      </c>
      <c r="U272" s="8"/>
    </row>
    <row r="273" customFormat="false" ht="15" hidden="false" customHeight="false" outlineLevel="0" collapsed="false">
      <c r="A273" s="8"/>
      <c r="B273" s="9"/>
      <c r="C273" s="8"/>
      <c r="D273" s="10" t="str">
        <f aca="false">IF(C273="","",IFERROR(VLOOKUP(C273,KhachHang!$A$2:$B$200,2,FALSE())&amp;"",""))</f>
        <v/>
      </c>
      <c r="E273" s="8"/>
      <c r="F273" s="8"/>
      <c r="G273" s="9"/>
      <c r="H273" s="8"/>
      <c r="I273" s="8"/>
      <c r="J273" s="9"/>
      <c r="K273" s="11" t="str">
        <f aca="false">IF(A273="","",SUMIFS(ChiTiet!$I$2:$I$2000,ChiTiet!$A$2:$A$2000,A273))</f>
        <v/>
      </c>
      <c r="L273" s="12"/>
      <c r="M273" s="11" t="str">
        <f aca="false">IF(A273="","",ROUND(K273*IF(L273="",0.08,L273),0))</f>
        <v/>
      </c>
      <c r="N273" s="11" t="str">
        <f aca="false">IF(A273="","",K273+M273)</f>
        <v/>
      </c>
      <c r="O273" s="11" t="str">
        <f aca="false">IF(A273="","",SUMIFS(ThuTien!$D$2:$D$2000,ThuTien!$B$2:$B$2000,A273))</f>
        <v/>
      </c>
      <c r="P273" s="11" t="str">
        <f aca="false">IF(A273="","",N273-O273)</f>
        <v/>
      </c>
      <c r="Q273" s="9"/>
      <c r="R273" s="10" t="str">
        <f aca="true">IF(A273="","",IF(AND(Q273&lt;&gt;"",P273&gt;0,TODAY()&gt;Q273),TODAY()-Q273,0))</f>
        <v/>
      </c>
      <c r="S273" s="10" t="str">
        <f aca="false">IF(A273="","",IF(N273=0,"Chưa có tiền hàng",IF(P273&lt;0,"Thu thừa",IF(P273=0,"Đã thu đủ",IF(O273&gt;0,"Thu một phần","Chưa thu")))))</f>
        <v/>
      </c>
      <c r="T273" s="10" t="str">
        <f aca="false">IF(A273="","",IF(AND(F273="Đã giao",H273&lt;&gt;"Đã xuất"),"Đã giao - CHƯA XUẤT HĐ",IF(AND(H273="Đã xuất",F273="Chưa giao"),"Đã xuất HĐ - chưa giao",IF(F273="","Chưa cập nhật giao hàng",IF(R273&gt;0,"Quá hạn "&amp;R273&amp;" ngày - đòi tiền",IF(P273&gt;0,"Chờ thu tiền",IF(P273&lt;0,"Kiểm tra thu thừa",IF(AND(F273="Đã giao",H273="Đã xuất"),"Hoàn tất","Theo dõi"))))))))</f>
        <v/>
      </c>
      <c r="U273" s="8"/>
    </row>
    <row r="274" customFormat="false" ht="15" hidden="false" customHeight="false" outlineLevel="0" collapsed="false">
      <c r="A274" s="8"/>
      <c r="B274" s="9"/>
      <c r="C274" s="8"/>
      <c r="D274" s="10" t="str">
        <f aca="false">IF(C274="","",IFERROR(VLOOKUP(C274,KhachHang!$A$2:$B$200,2,FALSE())&amp;"",""))</f>
        <v/>
      </c>
      <c r="E274" s="8"/>
      <c r="F274" s="8"/>
      <c r="G274" s="9"/>
      <c r="H274" s="8"/>
      <c r="I274" s="8"/>
      <c r="J274" s="9"/>
      <c r="K274" s="11" t="str">
        <f aca="false">IF(A274="","",SUMIFS(ChiTiet!$I$2:$I$2000,ChiTiet!$A$2:$A$2000,A274))</f>
        <v/>
      </c>
      <c r="L274" s="12"/>
      <c r="M274" s="11" t="str">
        <f aca="false">IF(A274="","",ROUND(K274*IF(L274="",0.08,L274),0))</f>
        <v/>
      </c>
      <c r="N274" s="11" t="str">
        <f aca="false">IF(A274="","",K274+M274)</f>
        <v/>
      </c>
      <c r="O274" s="11" t="str">
        <f aca="false">IF(A274="","",SUMIFS(ThuTien!$D$2:$D$2000,ThuTien!$B$2:$B$2000,A274))</f>
        <v/>
      </c>
      <c r="P274" s="11" t="str">
        <f aca="false">IF(A274="","",N274-O274)</f>
        <v/>
      </c>
      <c r="Q274" s="9"/>
      <c r="R274" s="10" t="str">
        <f aca="true">IF(A274="","",IF(AND(Q274&lt;&gt;"",P274&gt;0,TODAY()&gt;Q274),TODAY()-Q274,0))</f>
        <v/>
      </c>
      <c r="S274" s="10" t="str">
        <f aca="false">IF(A274="","",IF(N274=0,"Chưa có tiền hàng",IF(P274&lt;0,"Thu thừa",IF(P274=0,"Đã thu đủ",IF(O274&gt;0,"Thu một phần","Chưa thu")))))</f>
        <v/>
      </c>
      <c r="T274" s="10" t="str">
        <f aca="false">IF(A274="","",IF(AND(F274="Đã giao",H274&lt;&gt;"Đã xuất"),"Đã giao - CHƯA XUẤT HĐ",IF(AND(H274="Đã xuất",F274="Chưa giao"),"Đã xuất HĐ - chưa giao",IF(F274="","Chưa cập nhật giao hàng",IF(R274&gt;0,"Quá hạn "&amp;R274&amp;" ngày - đòi tiền",IF(P274&gt;0,"Chờ thu tiền",IF(P274&lt;0,"Kiểm tra thu thừa",IF(AND(F274="Đã giao",H274="Đã xuất"),"Hoàn tất","Theo dõi"))))))))</f>
        <v/>
      </c>
      <c r="U274" s="8"/>
    </row>
    <row r="275" customFormat="false" ht="15" hidden="false" customHeight="false" outlineLevel="0" collapsed="false">
      <c r="A275" s="8"/>
      <c r="B275" s="9"/>
      <c r="C275" s="8"/>
      <c r="D275" s="10" t="str">
        <f aca="false">IF(C275="","",IFERROR(VLOOKUP(C275,KhachHang!$A$2:$B$200,2,FALSE())&amp;"",""))</f>
        <v/>
      </c>
      <c r="E275" s="8"/>
      <c r="F275" s="8"/>
      <c r="G275" s="9"/>
      <c r="H275" s="8"/>
      <c r="I275" s="8"/>
      <c r="J275" s="9"/>
      <c r="K275" s="11" t="str">
        <f aca="false">IF(A275="","",SUMIFS(ChiTiet!$I$2:$I$2000,ChiTiet!$A$2:$A$2000,A275))</f>
        <v/>
      </c>
      <c r="L275" s="12"/>
      <c r="M275" s="11" t="str">
        <f aca="false">IF(A275="","",ROUND(K275*IF(L275="",0.08,L275),0))</f>
        <v/>
      </c>
      <c r="N275" s="11" t="str">
        <f aca="false">IF(A275="","",K275+M275)</f>
        <v/>
      </c>
      <c r="O275" s="11" t="str">
        <f aca="false">IF(A275="","",SUMIFS(ThuTien!$D$2:$D$2000,ThuTien!$B$2:$B$2000,A275))</f>
        <v/>
      </c>
      <c r="P275" s="11" t="str">
        <f aca="false">IF(A275="","",N275-O275)</f>
        <v/>
      </c>
      <c r="Q275" s="9"/>
      <c r="R275" s="10" t="str">
        <f aca="true">IF(A275="","",IF(AND(Q275&lt;&gt;"",P275&gt;0,TODAY()&gt;Q275),TODAY()-Q275,0))</f>
        <v/>
      </c>
      <c r="S275" s="10" t="str">
        <f aca="false">IF(A275="","",IF(N275=0,"Chưa có tiền hàng",IF(P275&lt;0,"Thu thừa",IF(P275=0,"Đã thu đủ",IF(O275&gt;0,"Thu một phần","Chưa thu")))))</f>
        <v/>
      </c>
      <c r="T275" s="10" t="str">
        <f aca="false">IF(A275="","",IF(AND(F275="Đã giao",H275&lt;&gt;"Đã xuất"),"Đã giao - CHƯA XUẤT HĐ",IF(AND(H275="Đã xuất",F275="Chưa giao"),"Đã xuất HĐ - chưa giao",IF(F275="","Chưa cập nhật giao hàng",IF(R275&gt;0,"Quá hạn "&amp;R275&amp;" ngày - đòi tiền",IF(P275&gt;0,"Chờ thu tiền",IF(P275&lt;0,"Kiểm tra thu thừa",IF(AND(F275="Đã giao",H275="Đã xuất"),"Hoàn tất","Theo dõi"))))))))</f>
        <v/>
      </c>
      <c r="U275" s="8"/>
    </row>
    <row r="276" customFormat="false" ht="15" hidden="false" customHeight="false" outlineLevel="0" collapsed="false">
      <c r="A276" s="8"/>
      <c r="B276" s="9"/>
      <c r="C276" s="8"/>
      <c r="D276" s="10" t="str">
        <f aca="false">IF(C276="","",IFERROR(VLOOKUP(C276,KhachHang!$A$2:$B$200,2,FALSE())&amp;"",""))</f>
        <v/>
      </c>
      <c r="E276" s="8"/>
      <c r="F276" s="8"/>
      <c r="G276" s="9"/>
      <c r="H276" s="8"/>
      <c r="I276" s="8"/>
      <c r="J276" s="9"/>
      <c r="K276" s="11" t="str">
        <f aca="false">IF(A276="","",SUMIFS(ChiTiet!$I$2:$I$2000,ChiTiet!$A$2:$A$2000,A276))</f>
        <v/>
      </c>
      <c r="L276" s="12"/>
      <c r="M276" s="11" t="str">
        <f aca="false">IF(A276="","",ROUND(K276*IF(L276="",0.08,L276),0))</f>
        <v/>
      </c>
      <c r="N276" s="11" t="str">
        <f aca="false">IF(A276="","",K276+M276)</f>
        <v/>
      </c>
      <c r="O276" s="11" t="str">
        <f aca="false">IF(A276="","",SUMIFS(ThuTien!$D$2:$D$2000,ThuTien!$B$2:$B$2000,A276))</f>
        <v/>
      </c>
      <c r="P276" s="11" t="str">
        <f aca="false">IF(A276="","",N276-O276)</f>
        <v/>
      </c>
      <c r="Q276" s="9"/>
      <c r="R276" s="10" t="str">
        <f aca="true">IF(A276="","",IF(AND(Q276&lt;&gt;"",P276&gt;0,TODAY()&gt;Q276),TODAY()-Q276,0))</f>
        <v/>
      </c>
      <c r="S276" s="10" t="str">
        <f aca="false">IF(A276="","",IF(N276=0,"Chưa có tiền hàng",IF(P276&lt;0,"Thu thừa",IF(P276=0,"Đã thu đủ",IF(O276&gt;0,"Thu một phần","Chưa thu")))))</f>
        <v/>
      </c>
      <c r="T276" s="10" t="str">
        <f aca="false">IF(A276="","",IF(AND(F276="Đã giao",H276&lt;&gt;"Đã xuất"),"Đã giao - CHƯA XUẤT HĐ",IF(AND(H276="Đã xuất",F276="Chưa giao"),"Đã xuất HĐ - chưa giao",IF(F276="","Chưa cập nhật giao hàng",IF(R276&gt;0,"Quá hạn "&amp;R276&amp;" ngày - đòi tiền",IF(P276&gt;0,"Chờ thu tiền",IF(P276&lt;0,"Kiểm tra thu thừa",IF(AND(F276="Đã giao",H276="Đã xuất"),"Hoàn tất","Theo dõi"))))))))</f>
        <v/>
      </c>
      <c r="U276" s="8"/>
    </row>
    <row r="277" customFormat="false" ht="15" hidden="false" customHeight="false" outlineLevel="0" collapsed="false">
      <c r="A277" s="8"/>
      <c r="B277" s="9"/>
      <c r="C277" s="8"/>
      <c r="D277" s="10" t="str">
        <f aca="false">IF(C277="","",IFERROR(VLOOKUP(C277,KhachHang!$A$2:$B$200,2,FALSE())&amp;"",""))</f>
        <v/>
      </c>
      <c r="E277" s="8"/>
      <c r="F277" s="8"/>
      <c r="G277" s="9"/>
      <c r="H277" s="8"/>
      <c r="I277" s="8"/>
      <c r="J277" s="9"/>
      <c r="K277" s="11" t="str">
        <f aca="false">IF(A277="","",SUMIFS(ChiTiet!$I$2:$I$2000,ChiTiet!$A$2:$A$2000,A277))</f>
        <v/>
      </c>
      <c r="L277" s="12"/>
      <c r="M277" s="11" t="str">
        <f aca="false">IF(A277="","",ROUND(K277*IF(L277="",0.08,L277),0))</f>
        <v/>
      </c>
      <c r="N277" s="11" t="str">
        <f aca="false">IF(A277="","",K277+M277)</f>
        <v/>
      </c>
      <c r="O277" s="11" t="str">
        <f aca="false">IF(A277="","",SUMIFS(ThuTien!$D$2:$D$2000,ThuTien!$B$2:$B$2000,A277))</f>
        <v/>
      </c>
      <c r="P277" s="11" t="str">
        <f aca="false">IF(A277="","",N277-O277)</f>
        <v/>
      </c>
      <c r="Q277" s="9"/>
      <c r="R277" s="10" t="str">
        <f aca="true">IF(A277="","",IF(AND(Q277&lt;&gt;"",P277&gt;0,TODAY()&gt;Q277),TODAY()-Q277,0))</f>
        <v/>
      </c>
      <c r="S277" s="10" t="str">
        <f aca="false">IF(A277="","",IF(N277=0,"Chưa có tiền hàng",IF(P277&lt;0,"Thu thừa",IF(P277=0,"Đã thu đủ",IF(O277&gt;0,"Thu một phần","Chưa thu")))))</f>
        <v/>
      </c>
      <c r="T277" s="10" t="str">
        <f aca="false">IF(A277="","",IF(AND(F277="Đã giao",H277&lt;&gt;"Đã xuất"),"Đã giao - CHƯA XUẤT HĐ",IF(AND(H277="Đã xuất",F277="Chưa giao"),"Đã xuất HĐ - chưa giao",IF(F277="","Chưa cập nhật giao hàng",IF(R277&gt;0,"Quá hạn "&amp;R277&amp;" ngày - đòi tiền",IF(P277&gt;0,"Chờ thu tiền",IF(P277&lt;0,"Kiểm tra thu thừa",IF(AND(F277="Đã giao",H277="Đã xuất"),"Hoàn tất","Theo dõi"))))))))</f>
        <v/>
      </c>
      <c r="U277" s="8"/>
    </row>
    <row r="278" customFormat="false" ht="15" hidden="false" customHeight="false" outlineLevel="0" collapsed="false">
      <c r="A278" s="8"/>
      <c r="B278" s="9"/>
      <c r="C278" s="8"/>
      <c r="D278" s="10" t="str">
        <f aca="false">IF(C278="","",IFERROR(VLOOKUP(C278,KhachHang!$A$2:$B$200,2,FALSE())&amp;"",""))</f>
        <v/>
      </c>
      <c r="E278" s="8"/>
      <c r="F278" s="8"/>
      <c r="G278" s="9"/>
      <c r="H278" s="8"/>
      <c r="I278" s="8"/>
      <c r="J278" s="9"/>
      <c r="K278" s="11" t="str">
        <f aca="false">IF(A278="","",SUMIFS(ChiTiet!$I$2:$I$2000,ChiTiet!$A$2:$A$2000,A278))</f>
        <v/>
      </c>
      <c r="L278" s="12"/>
      <c r="M278" s="11" t="str">
        <f aca="false">IF(A278="","",ROUND(K278*IF(L278="",0.08,L278),0))</f>
        <v/>
      </c>
      <c r="N278" s="11" t="str">
        <f aca="false">IF(A278="","",K278+M278)</f>
        <v/>
      </c>
      <c r="O278" s="11" t="str">
        <f aca="false">IF(A278="","",SUMIFS(ThuTien!$D$2:$D$2000,ThuTien!$B$2:$B$2000,A278))</f>
        <v/>
      </c>
      <c r="P278" s="11" t="str">
        <f aca="false">IF(A278="","",N278-O278)</f>
        <v/>
      </c>
      <c r="Q278" s="9"/>
      <c r="R278" s="10" t="str">
        <f aca="true">IF(A278="","",IF(AND(Q278&lt;&gt;"",P278&gt;0,TODAY()&gt;Q278),TODAY()-Q278,0))</f>
        <v/>
      </c>
      <c r="S278" s="10" t="str">
        <f aca="false">IF(A278="","",IF(N278=0,"Chưa có tiền hàng",IF(P278&lt;0,"Thu thừa",IF(P278=0,"Đã thu đủ",IF(O278&gt;0,"Thu một phần","Chưa thu")))))</f>
        <v/>
      </c>
      <c r="T278" s="10" t="str">
        <f aca="false">IF(A278="","",IF(AND(F278="Đã giao",H278&lt;&gt;"Đã xuất"),"Đã giao - CHƯA XUẤT HĐ",IF(AND(H278="Đã xuất",F278="Chưa giao"),"Đã xuất HĐ - chưa giao",IF(F278="","Chưa cập nhật giao hàng",IF(R278&gt;0,"Quá hạn "&amp;R278&amp;" ngày - đòi tiền",IF(P278&gt;0,"Chờ thu tiền",IF(P278&lt;0,"Kiểm tra thu thừa",IF(AND(F278="Đã giao",H278="Đã xuất"),"Hoàn tất","Theo dõi"))))))))</f>
        <v/>
      </c>
      <c r="U278" s="8"/>
    </row>
    <row r="279" customFormat="false" ht="15" hidden="false" customHeight="false" outlineLevel="0" collapsed="false">
      <c r="A279" s="8"/>
      <c r="B279" s="9"/>
      <c r="C279" s="8"/>
      <c r="D279" s="10" t="str">
        <f aca="false">IF(C279="","",IFERROR(VLOOKUP(C279,KhachHang!$A$2:$B$200,2,FALSE())&amp;"",""))</f>
        <v/>
      </c>
      <c r="E279" s="8"/>
      <c r="F279" s="8"/>
      <c r="G279" s="9"/>
      <c r="H279" s="8"/>
      <c r="I279" s="8"/>
      <c r="J279" s="9"/>
      <c r="K279" s="11" t="str">
        <f aca="false">IF(A279="","",SUMIFS(ChiTiet!$I$2:$I$2000,ChiTiet!$A$2:$A$2000,A279))</f>
        <v/>
      </c>
      <c r="L279" s="12"/>
      <c r="M279" s="11" t="str">
        <f aca="false">IF(A279="","",ROUND(K279*IF(L279="",0.08,L279),0))</f>
        <v/>
      </c>
      <c r="N279" s="11" t="str">
        <f aca="false">IF(A279="","",K279+M279)</f>
        <v/>
      </c>
      <c r="O279" s="11" t="str">
        <f aca="false">IF(A279="","",SUMIFS(ThuTien!$D$2:$D$2000,ThuTien!$B$2:$B$2000,A279))</f>
        <v/>
      </c>
      <c r="P279" s="11" t="str">
        <f aca="false">IF(A279="","",N279-O279)</f>
        <v/>
      </c>
      <c r="Q279" s="9"/>
      <c r="R279" s="10" t="str">
        <f aca="true">IF(A279="","",IF(AND(Q279&lt;&gt;"",P279&gt;0,TODAY()&gt;Q279),TODAY()-Q279,0))</f>
        <v/>
      </c>
      <c r="S279" s="10" t="str">
        <f aca="false">IF(A279="","",IF(N279=0,"Chưa có tiền hàng",IF(P279&lt;0,"Thu thừa",IF(P279=0,"Đã thu đủ",IF(O279&gt;0,"Thu một phần","Chưa thu")))))</f>
        <v/>
      </c>
      <c r="T279" s="10" t="str">
        <f aca="false">IF(A279="","",IF(AND(F279="Đã giao",H279&lt;&gt;"Đã xuất"),"Đã giao - CHƯA XUẤT HĐ",IF(AND(H279="Đã xuất",F279="Chưa giao"),"Đã xuất HĐ - chưa giao",IF(F279="","Chưa cập nhật giao hàng",IF(R279&gt;0,"Quá hạn "&amp;R279&amp;" ngày - đòi tiền",IF(P279&gt;0,"Chờ thu tiền",IF(P279&lt;0,"Kiểm tra thu thừa",IF(AND(F279="Đã giao",H279="Đã xuất"),"Hoàn tất","Theo dõi"))))))))</f>
        <v/>
      </c>
      <c r="U279" s="8"/>
    </row>
    <row r="280" customFormat="false" ht="15" hidden="false" customHeight="false" outlineLevel="0" collapsed="false">
      <c r="A280" s="8"/>
      <c r="B280" s="9"/>
      <c r="C280" s="8"/>
      <c r="D280" s="10" t="str">
        <f aca="false">IF(C280="","",IFERROR(VLOOKUP(C280,KhachHang!$A$2:$B$200,2,FALSE())&amp;"",""))</f>
        <v/>
      </c>
      <c r="E280" s="8"/>
      <c r="F280" s="8"/>
      <c r="G280" s="9"/>
      <c r="H280" s="8"/>
      <c r="I280" s="8"/>
      <c r="J280" s="9"/>
      <c r="K280" s="11" t="str">
        <f aca="false">IF(A280="","",SUMIFS(ChiTiet!$I$2:$I$2000,ChiTiet!$A$2:$A$2000,A280))</f>
        <v/>
      </c>
      <c r="L280" s="12"/>
      <c r="M280" s="11" t="str">
        <f aca="false">IF(A280="","",ROUND(K280*IF(L280="",0.08,L280),0))</f>
        <v/>
      </c>
      <c r="N280" s="11" t="str">
        <f aca="false">IF(A280="","",K280+M280)</f>
        <v/>
      </c>
      <c r="O280" s="11" t="str">
        <f aca="false">IF(A280="","",SUMIFS(ThuTien!$D$2:$D$2000,ThuTien!$B$2:$B$2000,A280))</f>
        <v/>
      </c>
      <c r="P280" s="11" t="str">
        <f aca="false">IF(A280="","",N280-O280)</f>
        <v/>
      </c>
      <c r="Q280" s="9"/>
      <c r="R280" s="10" t="str">
        <f aca="true">IF(A280="","",IF(AND(Q280&lt;&gt;"",P280&gt;0,TODAY()&gt;Q280),TODAY()-Q280,0))</f>
        <v/>
      </c>
      <c r="S280" s="10" t="str">
        <f aca="false">IF(A280="","",IF(N280=0,"Chưa có tiền hàng",IF(P280&lt;0,"Thu thừa",IF(P280=0,"Đã thu đủ",IF(O280&gt;0,"Thu một phần","Chưa thu")))))</f>
        <v/>
      </c>
      <c r="T280" s="10" t="str">
        <f aca="false">IF(A280="","",IF(AND(F280="Đã giao",H280&lt;&gt;"Đã xuất"),"Đã giao - CHƯA XUẤT HĐ",IF(AND(H280="Đã xuất",F280="Chưa giao"),"Đã xuất HĐ - chưa giao",IF(F280="","Chưa cập nhật giao hàng",IF(R280&gt;0,"Quá hạn "&amp;R280&amp;" ngày - đòi tiền",IF(P280&gt;0,"Chờ thu tiền",IF(P280&lt;0,"Kiểm tra thu thừa",IF(AND(F280="Đã giao",H280="Đã xuất"),"Hoàn tất","Theo dõi"))))))))</f>
        <v/>
      </c>
      <c r="U280" s="8"/>
    </row>
    <row r="281" customFormat="false" ht="15" hidden="false" customHeight="false" outlineLevel="0" collapsed="false">
      <c r="A281" s="8"/>
      <c r="B281" s="9"/>
      <c r="C281" s="8"/>
      <c r="D281" s="10" t="str">
        <f aca="false">IF(C281="","",IFERROR(VLOOKUP(C281,KhachHang!$A$2:$B$200,2,FALSE())&amp;"",""))</f>
        <v/>
      </c>
      <c r="E281" s="8"/>
      <c r="F281" s="8"/>
      <c r="G281" s="9"/>
      <c r="H281" s="8"/>
      <c r="I281" s="8"/>
      <c r="J281" s="9"/>
      <c r="K281" s="11" t="str">
        <f aca="false">IF(A281="","",SUMIFS(ChiTiet!$I$2:$I$2000,ChiTiet!$A$2:$A$2000,A281))</f>
        <v/>
      </c>
      <c r="L281" s="12"/>
      <c r="M281" s="11" t="str">
        <f aca="false">IF(A281="","",ROUND(K281*IF(L281="",0.08,L281),0))</f>
        <v/>
      </c>
      <c r="N281" s="11" t="str">
        <f aca="false">IF(A281="","",K281+M281)</f>
        <v/>
      </c>
      <c r="O281" s="11" t="str">
        <f aca="false">IF(A281="","",SUMIFS(ThuTien!$D$2:$D$2000,ThuTien!$B$2:$B$2000,A281))</f>
        <v/>
      </c>
      <c r="P281" s="11" t="str">
        <f aca="false">IF(A281="","",N281-O281)</f>
        <v/>
      </c>
      <c r="Q281" s="9"/>
      <c r="R281" s="10" t="str">
        <f aca="true">IF(A281="","",IF(AND(Q281&lt;&gt;"",P281&gt;0,TODAY()&gt;Q281),TODAY()-Q281,0))</f>
        <v/>
      </c>
      <c r="S281" s="10" t="str">
        <f aca="false">IF(A281="","",IF(N281=0,"Chưa có tiền hàng",IF(P281&lt;0,"Thu thừa",IF(P281=0,"Đã thu đủ",IF(O281&gt;0,"Thu một phần","Chưa thu")))))</f>
        <v/>
      </c>
      <c r="T281" s="10" t="str">
        <f aca="false">IF(A281="","",IF(AND(F281="Đã giao",H281&lt;&gt;"Đã xuất"),"Đã giao - CHƯA XUẤT HĐ",IF(AND(H281="Đã xuất",F281="Chưa giao"),"Đã xuất HĐ - chưa giao",IF(F281="","Chưa cập nhật giao hàng",IF(R281&gt;0,"Quá hạn "&amp;R281&amp;" ngày - đòi tiền",IF(P281&gt;0,"Chờ thu tiền",IF(P281&lt;0,"Kiểm tra thu thừa",IF(AND(F281="Đã giao",H281="Đã xuất"),"Hoàn tất","Theo dõi"))))))))</f>
        <v/>
      </c>
      <c r="U281" s="8"/>
    </row>
    <row r="282" customFormat="false" ht="15" hidden="false" customHeight="false" outlineLevel="0" collapsed="false">
      <c r="A282" s="8"/>
      <c r="B282" s="9"/>
      <c r="C282" s="8"/>
      <c r="D282" s="10" t="str">
        <f aca="false">IF(C282="","",IFERROR(VLOOKUP(C282,KhachHang!$A$2:$B$200,2,FALSE())&amp;"",""))</f>
        <v/>
      </c>
      <c r="E282" s="8"/>
      <c r="F282" s="8"/>
      <c r="G282" s="9"/>
      <c r="H282" s="8"/>
      <c r="I282" s="8"/>
      <c r="J282" s="9"/>
      <c r="K282" s="11" t="str">
        <f aca="false">IF(A282="","",SUMIFS(ChiTiet!$I$2:$I$2000,ChiTiet!$A$2:$A$2000,A282))</f>
        <v/>
      </c>
      <c r="L282" s="12"/>
      <c r="M282" s="11" t="str">
        <f aca="false">IF(A282="","",ROUND(K282*IF(L282="",0.08,L282),0))</f>
        <v/>
      </c>
      <c r="N282" s="11" t="str">
        <f aca="false">IF(A282="","",K282+M282)</f>
        <v/>
      </c>
      <c r="O282" s="11" t="str">
        <f aca="false">IF(A282="","",SUMIFS(ThuTien!$D$2:$D$2000,ThuTien!$B$2:$B$2000,A282))</f>
        <v/>
      </c>
      <c r="P282" s="11" t="str">
        <f aca="false">IF(A282="","",N282-O282)</f>
        <v/>
      </c>
      <c r="Q282" s="9"/>
      <c r="R282" s="10" t="str">
        <f aca="true">IF(A282="","",IF(AND(Q282&lt;&gt;"",P282&gt;0,TODAY()&gt;Q282),TODAY()-Q282,0))</f>
        <v/>
      </c>
      <c r="S282" s="10" t="str">
        <f aca="false">IF(A282="","",IF(N282=0,"Chưa có tiền hàng",IF(P282&lt;0,"Thu thừa",IF(P282=0,"Đã thu đủ",IF(O282&gt;0,"Thu một phần","Chưa thu")))))</f>
        <v/>
      </c>
      <c r="T282" s="10" t="str">
        <f aca="false">IF(A282="","",IF(AND(F282="Đã giao",H282&lt;&gt;"Đã xuất"),"Đã giao - CHƯA XUẤT HĐ",IF(AND(H282="Đã xuất",F282="Chưa giao"),"Đã xuất HĐ - chưa giao",IF(F282="","Chưa cập nhật giao hàng",IF(R282&gt;0,"Quá hạn "&amp;R282&amp;" ngày - đòi tiền",IF(P282&gt;0,"Chờ thu tiền",IF(P282&lt;0,"Kiểm tra thu thừa",IF(AND(F282="Đã giao",H282="Đã xuất"),"Hoàn tất","Theo dõi"))))))))</f>
        <v/>
      </c>
      <c r="U282" s="8"/>
    </row>
    <row r="283" customFormat="false" ht="15" hidden="false" customHeight="false" outlineLevel="0" collapsed="false">
      <c r="A283" s="8"/>
      <c r="B283" s="9"/>
      <c r="C283" s="8"/>
      <c r="D283" s="10" t="str">
        <f aca="false">IF(C283="","",IFERROR(VLOOKUP(C283,KhachHang!$A$2:$B$200,2,FALSE())&amp;"",""))</f>
        <v/>
      </c>
      <c r="E283" s="8"/>
      <c r="F283" s="8"/>
      <c r="G283" s="9"/>
      <c r="H283" s="8"/>
      <c r="I283" s="8"/>
      <c r="J283" s="9"/>
      <c r="K283" s="11" t="str">
        <f aca="false">IF(A283="","",SUMIFS(ChiTiet!$I$2:$I$2000,ChiTiet!$A$2:$A$2000,A283))</f>
        <v/>
      </c>
      <c r="L283" s="12"/>
      <c r="M283" s="11" t="str">
        <f aca="false">IF(A283="","",ROUND(K283*IF(L283="",0.08,L283),0))</f>
        <v/>
      </c>
      <c r="N283" s="11" t="str">
        <f aca="false">IF(A283="","",K283+M283)</f>
        <v/>
      </c>
      <c r="O283" s="11" t="str">
        <f aca="false">IF(A283="","",SUMIFS(ThuTien!$D$2:$D$2000,ThuTien!$B$2:$B$2000,A283))</f>
        <v/>
      </c>
      <c r="P283" s="11" t="str">
        <f aca="false">IF(A283="","",N283-O283)</f>
        <v/>
      </c>
      <c r="Q283" s="9"/>
      <c r="R283" s="10" t="str">
        <f aca="true">IF(A283="","",IF(AND(Q283&lt;&gt;"",P283&gt;0,TODAY()&gt;Q283),TODAY()-Q283,0))</f>
        <v/>
      </c>
      <c r="S283" s="10" t="str">
        <f aca="false">IF(A283="","",IF(N283=0,"Chưa có tiền hàng",IF(P283&lt;0,"Thu thừa",IF(P283=0,"Đã thu đủ",IF(O283&gt;0,"Thu một phần","Chưa thu")))))</f>
        <v/>
      </c>
      <c r="T283" s="10" t="str">
        <f aca="false">IF(A283="","",IF(AND(F283="Đã giao",H283&lt;&gt;"Đã xuất"),"Đã giao - CHƯA XUẤT HĐ",IF(AND(H283="Đã xuất",F283="Chưa giao"),"Đã xuất HĐ - chưa giao",IF(F283="","Chưa cập nhật giao hàng",IF(R283&gt;0,"Quá hạn "&amp;R283&amp;" ngày - đòi tiền",IF(P283&gt;0,"Chờ thu tiền",IF(P283&lt;0,"Kiểm tra thu thừa",IF(AND(F283="Đã giao",H283="Đã xuất"),"Hoàn tất","Theo dõi"))))))))</f>
        <v/>
      </c>
      <c r="U283" s="8"/>
    </row>
    <row r="284" customFormat="false" ht="15" hidden="false" customHeight="false" outlineLevel="0" collapsed="false">
      <c r="A284" s="8"/>
      <c r="B284" s="9"/>
      <c r="C284" s="8"/>
      <c r="D284" s="10" t="str">
        <f aca="false">IF(C284="","",IFERROR(VLOOKUP(C284,KhachHang!$A$2:$B$200,2,FALSE())&amp;"",""))</f>
        <v/>
      </c>
      <c r="E284" s="8"/>
      <c r="F284" s="8"/>
      <c r="G284" s="9"/>
      <c r="H284" s="8"/>
      <c r="I284" s="8"/>
      <c r="J284" s="9"/>
      <c r="K284" s="11" t="str">
        <f aca="false">IF(A284="","",SUMIFS(ChiTiet!$I$2:$I$2000,ChiTiet!$A$2:$A$2000,A284))</f>
        <v/>
      </c>
      <c r="L284" s="12"/>
      <c r="M284" s="11" t="str">
        <f aca="false">IF(A284="","",ROUND(K284*IF(L284="",0.08,L284),0))</f>
        <v/>
      </c>
      <c r="N284" s="11" t="str">
        <f aca="false">IF(A284="","",K284+M284)</f>
        <v/>
      </c>
      <c r="O284" s="11" t="str">
        <f aca="false">IF(A284="","",SUMIFS(ThuTien!$D$2:$D$2000,ThuTien!$B$2:$B$2000,A284))</f>
        <v/>
      </c>
      <c r="P284" s="11" t="str">
        <f aca="false">IF(A284="","",N284-O284)</f>
        <v/>
      </c>
      <c r="Q284" s="9"/>
      <c r="R284" s="10" t="str">
        <f aca="true">IF(A284="","",IF(AND(Q284&lt;&gt;"",P284&gt;0,TODAY()&gt;Q284),TODAY()-Q284,0))</f>
        <v/>
      </c>
      <c r="S284" s="10" t="str">
        <f aca="false">IF(A284="","",IF(N284=0,"Chưa có tiền hàng",IF(P284&lt;0,"Thu thừa",IF(P284=0,"Đã thu đủ",IF(O284&gt;0,"Thu một phần","Chưa thu")))))</f>
        <v/>
      </c>
      <c r="T284" s="10" t="str">
        <f aca="false">IF(A284="","",IF(AND(F284="Đã giao",H284&lt;&gt;"Đã xuất"),"Đã giao - CHƯA XUẤT HĐ",IF(AND(H284="Đã xuất",F284="Chưa giao"),"Đã xuất HĐ - chưa giao",IF(F284="","Chưa cập nhật giao hàng",IF(R284&gt;0,"Quá hạn "&amp;R284&amp;" ngày - đòi tiền",IF(P284&gt;0,"Chờ thu tiền",IF(P284&lt;0,"Kiểm tra thu thừa",IF(AND(F284="Đã giao",H284="Đã xuất"),"Hoàn tất","Theo dõi"))))))))</f>
        <v/>
      </c>
      <c r="U284" s="8"/>
    </row>
    <row r="285" customFormat="false" ht="15" hidden="false" customHeight="false" outlineLevel="0" collapsed="false">
      <c r="A285" s="8"/>
      <c r="B285" s="9"/>
      <c r="C285" s="8"/>
      <c r="D285" s="10" t="str">
        <f aca="false">IF(C285="","",IFERROR(VLOOKUP(C285,KhachHang!$A$2:$B$200,2,FALSE())&amp;"",""))</f>
        <v/>
      </c>
      <c r="E285" s="8"/>
      <c r="F285" s="8"/>
      <c r="G285" s="9"/>
      <c r="H285" s="8"/>
      <c r="I285" s="8"/>
      <c r="J285" s="9"/>
      <c r="K285" s="11" t="str">
        <f aca="false">IF(A285="","",SUMIFS(ChiTiet!$I$2:$I$2000,ChiTiet!$A$2:$A$2000,A285))</f>
        <v/>
      </c>
      <c r="L285" s="12"/>
      <c r="M285" s="11" t="str">
        <f aca="false">IF(A285="","",ROUND(K285*IF(L285="",0.08,L285),0))</f>
        <v/>
      </c>
      <c r="N285" s="11" t="str">
        <f aca="false">IF(A285="","",K285+M285)</f>
        <v/>
      </c>
      <c r="O285" s="11" t="str">
        <f aca="false">IF(A285="","",SUMIFS(ThuTien!$D$2:$D$2000,ThuTien!$B$2:$B$2000,A285))</f>
        <v/>
      </c>
      <c r="P285" s="11" t="str">
        <f aca="false">IF(A285="","",N285-O285)</f>
        <v/>
      </c>
      <c r="Q285" s="9"/>
      <c r="R285" s="10" t="str">
        <f aca="true">IF(A285="","",IF(AND(Q285&lt;&gt;"",P285&gt;0,TODAY()&gt;Q285),TODAY()-Q285,0))</f>
        <v/>
      </c>
      <c r="S285" s="10" t="str">
        <f aca="false">IF(A285="","",IF(N285=0,"Chưa có tiền hàng",IF(P285&lt;0,"Thu thừa",IF(P285=0,"Đã thu đủ",IF(O285&gt;0,"Thu một phần","Chưa thu")))))</f>
        <v/>
      </c>
      <c r="T285" s="10" t="str">
        <f aca="false">IF(A285="","",IF(AND(F285="Đã giao",H285&lt;&gt;"Đã xuất"),"Đã giao - CHƯA XUẤT HĐ",IF(AND(H285="Đã xuất",F285="Chưa giao"),"Đã xuất HĐ - chưa giao",IF(F285="","Chưa cập nhật giao hàng",IF(R285&gt;0,"Quá hạn "&amp;R285&amp;" ngày - đòi tiền",IF(P285&gt;0,"Chờ thu tiền",IF(P285&lt;0,"Kiểm tra thu thừa",IF(AND(F285="Đã giao",H285="Đã xuất"),"Hoàn tất","Theo dõi"))))))))</f>
        <v/>
      </c>
      <c r="U285" s="8"/>
    </row>
    <row r="286" customFormat="false" ht="15" hidden="false" customHeight="false" outlineLevel="0" collapsed="false">
      <c r="A286" s="8"/>
      <c r="B286" s="9"/>
      <c r="C286" s="8"/>
      <c r="D286" s="10" t="str">
        <f aca="false">IF(C286="","",IFERROR(VLOOKUP(C286,KhachHang!$A$2:$B$200,2,FALSE())&amp;"",""))</f>
        <v/>
      </c>
      <c r="E286" s="8"/>
      <c r="F286" s="8"/>
      <c r="G286" s="9"/>
      <c r="H286" s="8"/>
      <c r="I286" s="8"/>
      <c r="J286" s="9"/>
      <c r="K286" s="11" t="str">
        <f aca="false">IF(A286="","",SUMIFS(ChiTiet!$I$2:$I$2000,ChiTiet!$A$2:$A$2000,A286))</f>
        <v/>
      </c>
      <c r="L286" s="12"/>
      <c r="M286" s="11" t="str">
        <f aca="false">IF(A286="","",ROUND(K286*IF(L286="",0.08,L286),0))</f>
        <v/>
      </c>
      <c r="N286" s="11" t="str">
        <f aca="false">IF(A286="","",K286+M286)</f>
        <v/>
      </c>
      <c r="O286" s="11" t="str">
        <f aca="false">IF(A286="","",SUMIFS(ThuTien!$D$2:$D$2000,ThuTien!$B$2:$B$2000,A286))</f>
        <v/>
      </c>
      <c r="P286" s="11" t="str">
        <f aca="false">IF(A286="","",N286-O286)</f>
        <v/>
      </c>
      <c r="Q286" s="9"/>
      <c r="R286" s="10" t="str">
        <f aca="true">IF(A286="","",IF(AND(Q286&lt;&gt;"",P286&gt;0,TODAY()&gt;Q286),TODAY()-Q286,0))</f>
        <v/>
      </c>
      <c r="S286" s="10" t="str">
        <f aca="false">IF(A286="","",IF(N286=0,"Chưa có tiền hàng",IF(P286&lt;0,"Thu thừa",IF(P286=0,"Đã thu đủ",IF(O286&gt;0,"Thu một phần","Chưa thu")))))</f>
        <v/>
      </c>
      <c r="T286" s="10" t="str">
        <f aca="false">IF(A286="","",IF(AND(F286="Đã giao",H286&lt;&gt;"Đã xuất"),"Đã giao - CHƯA XUẤT HĐ",IF(AND(H286="Đã xuất",F286="Chưa giao"),"Đã xuất HĐ - chưa giao",IF(F286="","Chưa cập nhật giao hàng",IF(R286&gt;0,"Quá hạn "&amp;R286&amp;" ngày - đòi tiền",IF(P286&gt;0,"Chờ thu tiền",IF(P286&lt;0,"Kiểm tra thu thừa",IF(AND(F286="Đã giao",H286="Đã xuất"),"Hoàn tất","Theo dõi"))))))))</f>
        <v/>
      </c>
      <c r="U286" s="8"/>
    </row>
    <row r="287" customFormat="false" ht="15" hidden="false" customHeight="false" outlineLevel="0" collapsed="false">
      <c r="A287" s="8"/>
      <c r="B287" s="9"/>
      <c r="C287" s="8"/>
      <c r="D287" s="10" t="str">
        <f aca="false">IF(C287="","",IFERROR(VLOOKUP(C287,KhachHang!$A$2:$B$200,2,FALSE())&amp;"",""))</f>
        <v/>
      </c>
      <c r="E287" s="8"/>
      <c r="F287" s="8"/>
      <c r="G287" s="9"/>
      <c r="H287" s="8"/>
      <c r="I287" s="8"/>
      <c r="J287" s="9"/>
      <c r="K287" s="11" t="str">
        <f aca="false">IF(A287="","",SUMIFS(ChiTiet!$I$2:$I$2000,ChiTiet!$A$2:$A$2000,A287))</f>
        <v/>
      </c>
      <c r="L287" s="12"/>
      <c r="M287" s="11" t="str">
        <f aca="false">IF(A287="","",ROUND(K287*IF(L287="",0.08,L287),0))</f>
        <v/>
      </c>
      <c r="N287" s="11" t="str">
        <f aca="false">IF(A287="","",K287+M287)</f>
        <v/>
      </c>
      <c r="O287" s="11" t="str">
        <f aca="false">IF(A287="","",SUMIFS(ThuTien!$D$2:$D$2000,ThuTien!$B$2:$B$2000,A287))</f>
        <v/>
      </c>
      <c r="P287" s="11" t="str">
        <f aca="false">IF(A287="","",N287-O287)</f>
        <v/>
      </c>
      <c r="Q287" s="9"/>
      <c r="R287" s="10" t="str">
        <f aca="true">IF(A287="","",IF(AND(Q287&lt;&gt;"",P287&gt;0,TODAY()&gt;Q287),TODAY()-Q287,0))</f>
        <v/>
      </c>
      <c r="S287" s="10" t="str">
        <f aca="false">IF(A287="","",IF(N287=0,"Chưa có tiền hàng",IF(P287&lt;0,"Thu thừa",IF(P287=0,"Đã thu đủ",IF(O287&gt;0,"Thu một phần","Chưa thu")))))</f>
        <v/>
      </c>
      <c r="T287" s="10" t="str">
        <f aca="false">IF(A287="","",IF(AND(F287="Đã giao",H287&lt;&gt;"Đã xuất"),"Đã giao - CHƯA XUẤT HĐ",IF(AND(H287="Đã xuất",F287="Chưa giao"),"Đã xuất HĐ - chưa giao",IF(F287="","Chưa cập nhật giao hàng",IF(R287&gt;0,"Quá hạn "&amp;R287&amp;" ngày - đòi tiền",IF(P287&gt;0,"Chờ thu tiền",IF(P287&lt;0,"Kiểm tra thu thừa",IF(AND(F287="Đã giao",H287="Đã xuất"),"Hoàn tất","Theo dõi"))))))))</f>
        <v/>
      </c>
      <c r="U287" s="8"/>
    </row>
    <row r="288" customFormat="false" ht="15" hidden="false" customHeight="false" outlineLevel="0" collapsed="false">
      <c r="A288" s="8"/>
      <c r="B288" s="9"/>
      <c r="C288" s="8"/>
      <c r="D288" s="10" t="str">
        <f aca="false">IF(C288="","",IFERROR(VLOOKUP(C288,KhachHang!$A$2:$B$200,2,FALSE())&amp;"",""))</f>
        <v/>
      </c>
      <c r="E288" s="8"/>
      <c r="F288" s="8"/>
      <c r="G288" s="9"/>
      <c r="H288" s="8"/>
      <c r="I288" s="8"/>
      <c r="J288" s="9"/>
      <c r="K288" s="11" t="str">
        <f aca="false">IF(A288="","",SUMIFS(ChiTiet!$I$2:$I$2000,ChiTiet!$A$2:$A$2000,A288))</f>
        <v/>
      </c>
      <c r="L288" s="12"/>
      <c r="M288" s="11" t="str">
        <f aca="false">IF(A288="","",ROUND(K288*IF(L288="",0.08,L288),0))</f>
        <v/>
      </c>
      <c r="N288" s="11" t="str">
        <f aca="false">IF(A288="","",K288+M288)</f>
        <v/>
      </c>
      <c r="O288" s="11" t="str">
        <f aca="false">IF(A288="","",SUMIFS(ThuTien!$D$2:$D$2000,ThuTien!$B$2:$B$2000,A288))</f>
        <v/>
      </c>
      <c r="P288" s="11" t="str">
        <f aca="false">IF(A288="","",N288-O288)</f>
        <v/>
      </c>
      <c r="Q288" s="9"/>
      <c r="R288" s="10" t="str">
        <f aca="true">IF(A288="","",IF(AND(Q288&lt;&gt;"",P288&gt;0,TODAY()&gt;Q288),TODAY()-Q288,0))</f>
        <v/>
      </c>
      <c r="S288" s="10" t="str">
        <f aca="false">IF(A288="","",IF(N288=0,"Chưa có tiền hàng",IF(P288&lt;0,"Thu thừa",IF(P288=0,"Đã thu đủ",IF(O288&gt;0,"Thu một phần","Chưa thu")))))</f>
        <v/>
      </c>
      <c r="T288" s="10" t="str">
        <f aca="false">IF(A288="","",IF(AND(F288="Đã giao",H288&lt;&gt;"Đã xuất"),"Đã giao - CHƯA XUẤT HĐ",IF(AND(H288="Đã xuất",F288="Chưa giao"),"Đã xuất HĐ - chưa giao",IF(F288="","Chưa cập nhật giao hàng",IF(R288&gt;0,"Quá hạn "&amp;R288&amp;" ngày - đòi tiền",IF(P288&gt;0,"Chờ thu tiền",IF(P288&lt;0,"Kiểm tra thu thừa",IF(AND(F288="Đã giao",H288="Đã xuất"),"Hoàn tất","Theo dõi"))))))))</f>
        <v/>
      </c>
      <c r="U288" s="8"/>
    </row>
    <row r="289" customFormat="false" ht="15" hidden="false" customHeight="false" outlineLevel="0" collapsed="false">
      <c r="A289" s="8"/>
      <c r="B289" s="9"/>
      <c r="C289" s="8"/>
      <c r="D289" s="10" t="str">
        <f aca="false">IF(C289="","",IFERROR(VLOOKUP(C289,KhachHang!$A$2:$B$200,2,FALSE())&amp;"",""))</f>
        <v/>
      </c>
      <c r="E289" s="8"/>
      <c r="F289" s="8"/>
      <c r="G289" s="9"/>
      <c r="H289" s="8"/>
      <c r="I289" s="8"/>
      <c r="J289" s="9"/>
      <c r="K289" s="11" t="str">
        <f aca="false">IF(A289="","",SUMIFS(ChiTiet!$I$2:$I$2000,ChiTiet!$A$2:$A$2000,A289))</f>
        <v/>
      </c>
      <c r="L289" s="12"/>
      <c r="M289" s="11" t="str">
        <f aca="false">IF(A289="","",ROUND(K289*IF(L289="",0.08,L289),0))</f>
        <v/>
      </c>
      <c r="N289" s="11" t="str">
        <f aca="false">IF(A289="","",K289+M289)</f>
        <v/>
      </c>
      <c r="O289" s="11" t="str">
        <f aca="false">IF(A289="","",SUMIFS(ThuTien!$D$2:$D$2000,ThuTien!$B$2:$B$2000,A289))</f>
        <v/>
      </c>
      <c r="P289" s="11" t="str">
        <f aca="false">IF(A289="","",N289-O289)</f>
        <v/>
      </c>
      <c r="Q289" s="9"/>
      <c r="R289" s="10" t="str">
        <f aca="true">IF(A289="","",IF(AND(Q289&lt;&gt;"",P289&gt;0,TODAY()&gt;Q289),TODAY()-Q289,0))</f>
        <v/>
      </c>
      <c r="S289" s="10" t="str">
        <f aca="false">IF(A289="","",IF(N289=0,"Chưa có tiền hàng",IF(P289&lt;0,"Thu thừa",IF(P289=0,"Đã thu đủ",IF(O289&gt;0,"Thu một phần","Chưa thu")))))</f>
        <v/>
      </c>
      <c r="T289" s="10" t="str">
        <f aca="false">IF(A289="","",IF(AND(F289="Đã giao",H289&lt;&gt;"Đã xuất"),"Đã giao - CHƯA XUẤT HĐ",IF(AND(H289="Đã xuất",F289="Chưa giao"),"Đã xuất HĐ - chưa giao",IF(F289="","Chưa cập nhật giao hàng",IF(R289&gt;0,"Quá hạn "&amp;R289&amp;" ngày - đòi tiền",IF(P289&gt;0,"Chờ thu tiền",IF(P289&lt;0,"Kiểm tra thu thừa",IF(AND(F289="Đã giao",H289="Đã xuất"),"Hoàn tất","Theo dõi"))))))))</f>
        <v/>
      </c>
      <c r="U289" s="8"/>
    </row>
    <row r="290" customFormat="false" ht="15" hidden="false" customHeight="false" outlineLevel="0" collapsed="false">
      <c r="A290" s="8"/>
      <c r="B290" s="9"/>
      <c r="C290" s="8"/>
      <c r="D290" s="10" t="str">
        <f aca="false">IF(C290="","",IFERROR(VLOOKUP(C290,KhachHang!$A$2:$B$200,2,FALSE())&amp;"",""))</f>
        <v/>
      </c>
      <c r="E290" s="8"/>
      <c r="F290" s="8"/>
      <c r="G290" s="9"/>
      <c r="H290" s="8"/>
      <c r="I290" s="8"/>
      <c r="J290" s="9"/>
      <c r="K290" s="11" t="str">
        <f aca="false">IF(A290="","",SUMIFS(ChiTiet!$I$2:$I$2000,ChiTiet!$A$2:$A$2000,A290))</f>
        <v/>
      </c>
      <c r="L290" s="12"/>
      <c r="M290" s="11" t="str">
        <f aca="false">IF(A290="","",ROUND(K290*IF(L290="",0.08,L290),0))</f>
        <v/>
      </c>
      <c r="N290" s="11" t="str">
        <f aca="false">IF(A290="","",K290+M290)</f>
        <v/>
      </c>
      <c r="O290" s="11" t="str">
        <f aca="false">IF(A290="","",SUMIFS(ThuTien!$D$2:$D$2000,ThuTien!$B$2:$B$2000,A290))</f>
        <v/>
      </c>
      <c r="P290" s="11" t="str">
        <f aca="false">IF(A290="","",N290-O290)</f>
        <v/>
      </c>
      <c r="Q290" s="9"/>
      <c r="R290" s="10" t="str">
        <f aca="true">IF(A290="","",IF(AND(Q290&lt;&gt;"",P290&gt;0,TODAY()&gt;Q290),TODAY()-Q290,0))</f>
        <v/>
      </c>
      <c r="S290" s="10" t="str">
        <f aca="false">IF(A290="","",IF(N290=0,"Chưa có tiền hàng",IF(P290&lt;0,"Thu thừa",IF(P290=0,"Đã thu đủ",IF(O290&gt;0,"Thu một phần","Chưa thu")))))</f>
        <v/>
      </c>
      <c r="T290" s="10" t="str">
        <f aca="false">IF(A290="","",IF(AND(F290="Đã giao",H290&lt;&gt;"Đã xuất"),"Đã giao - CHƯA XUẤT HĐ",IF(AND(H290="Đã xuất",F290="Chưa giao"),"Đã xuất HĐ - chưa giao",IF(F290="","Chưa cập nhật giao hàng",IF(R290&gt;0,"Quá hạn "&amp;R290&amp;" ngày - đòi tiền",IF(P290&gt;0,"Chờ thu tiền",IF(P290&lt;0,"Kiểm tra thu thừa",IF(AND(F290="Đã giao",H290="Đã xuất"),"Hoàn tất","Theo dõi"))))))))</f>
        <v/>
      </c>
      <c r="U290" s="8"/>
    </row>
    <row r="291" customFormat="false" ht="15" hidden="false" customHeight="false" outlineLevel="0" collapsed="false">
      <c r="A291" s="8"/>
      <c r="B291" s="9"/>
      <c r="C291" s="8"/>
      <c r="D291" s="10" t="str">
        <f aca="false">IF(C291="","",IFERROR(VLOOKUP(C291,KhachHang!$A$2:$B$200,2,FALSE())&amp;"",""))</f>
        <v/>
      </c>
      <c r="E291" s="8"/>
      <c r="F291" s="8"/>
      <c r="G291" s="9"/>
      <c r="H291" s="8"/>
      <c r="I291" s="8"/>
      <c r="J291" s="9"/>
      <c r="K291" s="11" t="str">
        <f aca="false">IF(A291="","",SUMIFS(ChiTiet!$I$2:$I$2000,ChiTiet!$A$2:$A$2000,A291))</f>
        <v/>
      </c>
      <c r="L291" s="12"/>
      <c r="M291" s="11" t="str">
        <f aca="false">IF(A291="","",ROUND(K291*IF(L291="",0.08,L291),0))</f>
        <v/>
      </c>
      <c r="N291" s="11" t="str">
        <f aca="false">IF(A291="","",K291+M291)</f>
        <v/>
      </c>
      <c r="O291" s="11" t="str">
        <f aca="false">IF(A291="","",SUMIFS(ThuTien!$D$2:$D$2000,ThuTien!$B$2:$B$2000,A291))</f>
        <v/>
      </c>
      <c r="P291" s="11" t="str">
        <f aca="false">IF(A291="","",N291-O291)</f>
        <v/>
      </c>
      <c r="Q291" s="9"/>
      <c r="R291" s="10" t="str">
        <f aca="true">IF(A291="","",IF(AND(Q291&lt;&gt;"",P291&gt;0,TODAY()&gt;Q291),TODAY()-Q291,0))</f>
        <v/>
      </c>
      <c r="S291" s="10" t="str">
        <f aca="false">IF(A291="","",IF(N291=0,"Chưa có tiền hàng",IF(P291&lt;0,"Thu thừa",IF(P291=0,"Đã thu đủ",IF(O291&gt;0,"Thu một phần","Chưa thu")))))</f>
        <v/>
      </c>
      <c r="T291" s="10" t="str">
        <f aca="false">IF(A291="","",IF(AND(F291="Đã giao",H291&lt;&gt;"Đã xuất"),"Đã giao - CHƯA XUẤT HĐ",IF(AND(H291="Đã xuất",F291="Chưa giao"),"Đã xuất HĐ - chưa giao",IF(F291="","Chưa cập nhật giao hàng",IF(R291&gt;0,"Quá hạn "&amp;R291&amp;" ngày - đòi tiền",IF(P291&gt;0,"Chờ thu tiền",IF(P291&lt;0,"Kiểm tra thu thừa",IF(AND(F291="Đã giao",H291="Đã xuất"),"Hoàn tất","Theo dõi"))))))))</f>
        <v/>
      </c>
      <c r="U291" s="8"/>
    </row>
    <row r="292" customFormat="false" ht="15" hidden="false" customHeight="false" outlineLevel="0" collapsed="false">
      <c r="A292" s="8"/>
      <c r="B292" s="9"/>
      <c r="C292" s="8"/>
      <c r="D292" s="10" t="str">
        <f aca="false">IF(C292="","",IFERROR(VLOOKUP(C292,KhachHang!$A$2:$B$200,2,FALSE())&amp;"",""))</f>
        <v/>
      </c>
      <c r="E292" s="8"/>
      <c r="F292" s="8"/>
      <c r="G292" s="9"/>
      <c r="H292" s="8"/>
      <c r="I292" s="8"/>
      <c r="J292" s="9"/>
      <c r="K292" s="11" t="str">
        <f aca="false">IF(A292="","",SUMIFS(ChiTiet!$I$2:$I$2000,ChiTiet!$A$2:$A$2000,A292))</f>
        <v/>
      </c>
      <c r="L292" s="12"/>
      <c r="M292" s="11" t="str">
        <f aca="false">IF(A292="","",ROUND(K292*IF(L292="",0.08,L292),0))</f>
        <v/>
      </c>
      <c r="N292" s="11" t="str">
        <f aca="false">IF(A292="","",K292+M292)</f>
        <v/>
      </c>
      <c r="O292" s="11" t="str">
        <f aca="false">IF(A292="","",SUMIFS(ThuTien!$D$2:$D$2000,ThuTien!$B$2:$B$2000,A292))</f>
        <v/>
      </c>
      <c r="P292" s="11" t="str">
        <f aca="false">IF(A292="","",N292-O292)</f>
        <v/>
      </c>
      <c r="Q292" s="9"/>
      <c r="R292" s="10" t="str">
        <f aca="true">IF(A292="","",IF(AND(Q292&lt;&gt;"",P292&gt;0,TODAY()&gt;Q292),TODAY()-Q292,0))</f>
        <v/>
      </c>
      <c r="S292" s="10" t="str">
        <f aca="false">IF(A292="","",IF(N292=0,"Chưa có tiền hàng",IF(P292&lt;0,"Thu thừa",IF(P292=0,"Đã thu đủ",IF(O292&gt;0,"Thu một phần","Chưa thu")))))</f>
        <v/>
      </c>
      <c r="T292" s="10" t="str">
        <f aca="false">IF(A292="","",IF(AND(F292="Đã giao",H292&lt;&gt;"Đã xuất"),"Đã giao - CHƯA XUẤT HĐ",IF(AND(H292="Đã xuất",F292="Chưa giao"),"Đã xuất HĐ - chưa giao",IF(F292="","Chưa cập nhật giao hàng",IF(R292&gt;0,"Quá hạn "&amp;R292&amp;" ngày - đòi tiền",IF(P292&gt;0,"Chờ thu tiền",IF(P292&lt;0,"Kiểm tra thu thừa",IF(AND(F292="Đã giao",H292="Đã xuất"),"Hoàn tất","Theo dõi"))))))))</f>
        <v/>
      </c>
      <c r="U292" s="8"/>
    </row>
    <row r="293" customFormat="false" ht="15" hidden="false" customHeight="false" outlineLevel="0" collapsed="false">
      <c r="A293" s="8"/>
      <c r="B293" s="9"/>
      <c r="C293" s="8"/>
      <c r="D293" s="10" t="str">
        <f aca="false">IF(C293="","",IFERROR(VLOOKUP(C293,KhachHang!$A$2:$B$200,2,FALSE())&amp;"",""))</f>
        <v/>
      </c>
      <c r="E293" s="8"/>
      <c r="F293" s="8"/>
      <c r="G293" s="9"/>
      <c r="H293" s="8"/>
      <c r="I293" s="8"/>
      <c r="J293" s="9"/>
      <c r="K293" s="11" t="str">
        <f aca="false">IF(A293="","",SUMIFS(ChiTiet!$I$2:$I$2000,ChiTiet!$A$2:$A$2000,A293))</f>
        <v/>
      </c>
      <c r="L293" s="12"/>
      <c r="M293" s="11" t="str">
        <f aca="false">IF(A293="","",ROUND(K293*IF(L293="",0.08,L293),0))</f>
        <v/>
      </c>
      <c r="N293" s="11" t="str">
        <f aca="false">IF(A293="","",K293+M293)</f>
        <v/>
      </c>
      <c r="O293" s="11" t="str">
        <f aca="false">IF(A293="","",SUMIFS(ThuTien!$D$2:$D$2000,ThuTien!$B$2:$B$2000,A293))</f>
        <v/>
      </c>
      <c r="P293" s="11" t="str">
        <f aca="false">IF(A293="","",N293-O293)</f>
        <v/>
      </c>
      <c r="Q293" s="9"/>
      <c r="R293" s="10" t="str">
        <f aca="true">IF(A293="","",IF(AND(Q293&lt;&gt;"",P293&gt;0,TODAY()&gt;Q293),TODAY()-Q293,0))</f>
        <v/>
      </c>
      <c r="S293" s="10" t="str">
        <f aca="false">IF(A293="","",IF(N293=0,"Chưa có tiền hàng",IF(P293&lt;0,"Thu thừa",IF(P293=0,"Đã thu đủ",IF(O293&gt;0,"Thu một phần","Chưa thu")))))</f>
        <v/>
      </c>
      <c r="T293" s="10" t="str">
        <f aca="false">IF(A293="","",IF(AND(F293="Đã giao",H293&lt;&gt;"Đã xuất"),"Đã giao - CHƯA XUẤT HĐ",IF(AND(H293="Đã xuất",F293="Chưa giao"),"Đã xuất HĐ - chưa giao",IF(F293="","Chưa cập nhật giao hàng",IF(R293&gt;0,"Quá hạn "&amp;R293&amp;" ngày - đòi tiền",IF(P293&gt;0,"Chờ thu tiền",IF(P293&lt;0,"Kiểm tra thu thừa",IF(AND(F293="Đã giao",H293="Đã xuất"),"Hoàn tất","Theo dõi"))))))))</f>
        <v/>
      </c>
      <c r="U293" s="8"/>
    </row>
    <row r="294" customFormat="false" ht="15" hidden="false" customHeight="false" outlineLevel="0" collapsed="false">
      <c r="A294" s="8"/>
      <c r="B294" s="9"/>
      <c r="C294" s="8"/>
      <c r="D294" s="10" t="str">
        <f aca="false">IF(C294="","",IFERROR(VLOOKUP(C294,KhachHang!$A$2:$B$200,2,FALSE())&amp;"",""))</f>
        <v/>
      </c>
      <c r="E294" s="8"/>
      <c r="F294" s="8"/>
      <c r="G294" s="9"/>
      <c r="H294" s="8"/>
      <c r="I294" s="8"/>
      <c r="J294" s="9"/>
      <c r="K294" s="11" t="str">
        <f aca="false">IF(A294="","",SUMIFS(ChiTiet!$I$2:$I$2000,ChiTiet!$A$2:$A$2000,A294))</f>
        <v/>
      </c>
      <c r="L294" s="12"/>
      <c r="M294" s="11" t="str">
        <f aca="false">IF(A294="","",ROUND(K294*IF(L294="",0.08,L294),0))</f>
        <v/>
      </c>
      <c r="N294" s="11" t="str">
        <f aca="false">IF(A294="","",K294+M294)</f>
        <v/>
      </c>
      <c r="O294" s="11" t="str">
        <f aca="false">IF(A294="","",SUMIFS(ThuTien!$D$2:$D$2000,ThuTien!$B$2:$B$2000,A294))</f>
        <v/>
      </c>
      <c r="P294" s="11" t="str">
        <f aca="false">IF(A294="","",N294-O294)</f>
        <v/>
      </c>
      <c r="Q294" s="9"/>
      <c r="R294" s="10" t="str">
        <f aca="true">IF(A294="","",IF(AND(Q294&lt;&gt;"",P294&gt;0,TODAY()&gt;Q294),TODAY()-Q294,0))</f>
        <v/>
      </c>
      <c r="S294" s="10" t="str">
        <f aca="false">IF(A294="","",IF(N294=0,"Chưa có tiền hàng",IF(P294&lt;0,"Thu thừa",IF(P294=0,"Đã thu đủ",IF(O294&gt;0,"Thu một phần","Chưa thu")))))</f>
        <v/>
      </c>
      <c r="T294" s="10" t="str">
        <f aca="false">IF(A294="","",IF(AND(F294="Đã giao",H294&lt;&gt;"Đã xuất"),"Đã giao - CHƯA XUẤT HĐ",IF(AND(H294="Đã xuất",F294="Chưa giao"),"Đã xuất HĐ - chưa giao",IF(F294="","Chưa cập nhật giao hàng",IF(R294&gt;0,"Quá hạn "&amp;R294&amp;" ngày - đòi tiền",IF(P294&gt;0,"Chờ thu tiền",IF(P294&lt;0,"Kiểm tra thu thừa",IF(AND(F294="Đã giao",H294="Đã xuất"),"Hoàn tất","Theo dõi"))))))))</f>
        <v/>
      </c>
      <c r="U294" s="8"/>
    </row>
    <row r="295" customFormat="false" ht="15" hidden="false" customHeight="false" outlineLevel="0" collapsed="false">
      <c r="A295" s="8"/>
      <c r="B295" s="9"/>
      <c r="C295" s="8"/>
      <c r="D295" s="10" t="str">
        <f aca="false">IF(C295="","",IFERROR(VLOOKUP(C295,KhachHang!$A$2:$B$200,2,FALSE())&amp;"",""))</f>
        <v/>
      </c>
      <c r="E295" s="8"/>
      <c r="F295" s="8"/>
      <c r="G295" s="9"/>
      <c r="H295" s="8"/>
      <c r="I295" s="8"/>
      <c r="J295" s="9"/>
      <c r="K295" s="11" t="str">
        <f aca="false">IF(A295="","",SUMIFS(ChiTiet!$I$2:$I$2000,ChiTiet!$A$2:$A$2000,A295))</f>
        <v/>
      </c>
      <c r="L295" s="12"/>
      <c r="M295" s="11" t="str">
        <f aca="false">IF(A295="","",ROUND(K295*IF(L295="",0.08,L295),0))</f>
        <v/>
      </c>
      <c r="N295" s="11" t="str">
        <f aca="false">IF(A295="","",K295+M295)</f>
        <v/>
      </c>
      <c r="O295" s="11" t="str">
        <f aca="false">IF(A295="","",SUMIFS(ThuTien!$D$2:$D$2000,ThuTien!$B$2:$B$2000,A295))</f>
        <v/>
      </c>
      <c r="P295" s="11" t="str">
        <f aca="false">IF(A295="","",N295-O295)</f>
        <v/>
      </c>
      <c r="Q295" s="9"/>
      <c r="R295" s="10" t="str">
        <f aca="true">IF(A295="","",IF(AND(Q295&lt;&gt;"",P295&gt;0,TODAY()&gt;Q295),TODAY()-Q295,0))</f>
        <v/>
      </c>
      <c r="S295" s="10" t="str">
        <f aca="false">IF(A295="","",IF(N295=0,"Chưa có tiền hàng",IF(P295&lt;0,"Thu thừa",IF(P295=0,"Đã thu đủ",IF(O295&gt;0,"Thu một phần","Chưa thu")))))</f>
        <v/>
      </c>
      <c r="T295" s="10" t="str">
        <f aca="false">IF(A295="","",IF(AND(F295="Đã giao",H295&lt;&gt;"Đã xuất"),"Đã giao - CHƯA XUẤT HĐ",IF(AND(H295="Đã xuất",F295="Chưa giao"),"Đã xuất HĐ - chưa giao",IF(F295="","Chưa cập nhật giao hàng",IF(R295&gt;0,"Quá hạn "&amp;R295&amp;" ngày - đòi tiền",IF(P295&gt;0,"Chờ thu tiền",IF(P295&lt;0,"Kiểm tra thu thừa",IF(AND(F295="Đã giao",H295="Đã xuất"),"Hoàn tất","Theo dõi"))))))))</f>
        <v/>
      </c>
      <c r="U295" s="8"/>
    </row>
    <row r="296" customFormat="false" ht="15" hidden="false" customHeight="false" outlineLevel="0" collapsed="false">
      <c r="A296" s="8"/>
      <c r="B296" s="9"/>
      <c r="C296" s="8"/>
      <c r="D296" s="10" t="str">
        <f aca="false">IF(C296="","",IFERROR(VLOOKUP(C296,KhachHang!$A$2:$B$200,2,FALSE())&amp;"",""))</f>
        <v/>
      </c>
      <c r="E296" s="8"/>
      <c r="F296" s="8"/>
      <c r="G296" s="9"/>
      <c r="H296" s="8"/>
      <c r="I296" s="8"/>
      <c r="J296" s="9"/>
      <c r="K296" s="11" t="str">
        <f aca="false">IF(A296="","",SUMIFS(ChiTiet!$I$2:$I$2000,ChiTiet!$A$2:$A$2000,A296))</f>
        <v/>
      </c>
      <c r="L296" s="12"/>
      <c r="M296" s="11" t="str">
        <f aca="false">IF(A296="","",ROUND(K296*IF(L296="",0.08,L296),0))</f>
        <v/>
      </c>
      <c r="N296" s="11" t="str">
        <f aca="false">IF(A296="","",K296+M296)</f>
        <v/>
      </c>
      <c r="O296" s="11" t="str">
        <f aca="false">IF(A296="","",SUMIFS(ThuTien!$D$2:$D$2000,ThuTien!$B$2:$B$2000,A296))</f>
        <v/>
      </c>
      <c r="P296" s="11" t="str">
        <f aca="false">IF(A296="","",N296-O296)</f>
        <v/>
      </c>
      <c r="Q296" s="9"/>
      <c r="R296" s="10" t="str">
        <f aca="true">IF(A296="","",IF(AND(Q296&lt;&gt;"",P296&gt;0,TODAY()&gt;Q296),TODAY()-Q296,0))</f>
        <v/>
      </c>
      <c r="S296" s="10" t="str">
        <f aca="false">IF(A296="","",IF(N296=0,"Chưa có tiền hàng",IF(P296&lt;0,"Thu thừa",IF(P296=0,"Đã thu đủ",IF(O296&gt;0,"Thu một phần","Chưa thu")))))</f>
        <v/>
      </c>
      <c r="T296" s="10" t="str">
        <f aca="false">IF(A296="","",IF(AND(F296="Đã giao",H296&lt;&gt;"Đã xuất"),"Đã giao - CHƯA XUẤT HĐ",IF(AND(H296="Đã xuất",F296="Chưa giao"),"Đã xuất HĐ - chưa giao",IF(F296="","Chưa cập nhật giao hàng",IF(R296&gt;0,"Quá hạn "&amp;R296&amp;" ngày - đòi tiền",IF(P296&gt;0,"Chờ thu tiền",IF(P296&lt;0,"Kiểm tra thu thừa",IF(AND(F296="Đã giao",H296="Đã xuất"),"Hoàn tất","Theo dõi"))))))))</f>
        <v/>
      </c>
      <c r="U296" s="8"/>
    </row>
    <row r="297" customFormat="false" ht="15" hidden="false" customHeight="false" outlineLevel="0" collapsed="false">
      <c r="A297" s="8"/>
      <c r="B297" s="9"/>
      <c r="C297" s="8"/>
      <c r="D297" s="10" t="str">
        <f aca="false">IF(C297="","",IFERROR(VLOOKUP(C297,KhachHang!$A$2:$B$200,2,FALSE())&amp;"",""))</f>
        <v/>
      </c>
      <c r="E297" s="8"/>
      <c r="F297" s="8"/>
      <c r="G297" s="9"/>
      <c r="H297" s="8"/>
      <c r="I297" s="8"/>
      <c r="J297" s="9"/>
      <c r="K297" s="11" t="str">
        <f aca="false">IF(A297="","",SUMIFS(ChiTiet!$I$2:$I$2000,ChiTiet!$A$2:$A$2000,A297))</f>
        <v/>
      </c>
      <c r="L297" s="12"/>
      <c r="M297" s="11" t="str">
        <f aca="false">IF(A297="","",ROUND(K297*IF(L297="",0.08,L297),0))</f>
        <v/>
      </c>
      <c r="N297" s="11" t="str">
        <f aca="false">IF(A297="","",K297+M297)</f>
        <v/>
      </c>
      <c r="O297" s="11" t="str">
        <f aca="false">IF(A297="","",SUMIFS(ThuTien!$D$2:$D$2000,ThuTien!$B$2:$B$2000,A297))</f>
        <v/>
      </c>
      <c r="P297" s="11" t="str">
        <f aca="false">IF(A297="","",N297-O297)</f>
        <v/>
      </c>
      <c r="Q297" s="9"/>
      <c r="R297" s="10" t="str">
        <f aca="true">IF(A297="","",IF(AND(Q297&lt;&gt;"",P297&gt;0,TODAY()&gt;Q297),TODAY()-Q297,0))</f>
        <v/>
      </c>
      <c r="S297" s="10" t="str">
        <f aca="false">IF(A297="","",IF(N297=0,"Chưa có tiền hàng",IF(P297&lt;0,"Thu thừa",IF(P297=0,"Đã thu đủ",IF(O297&gt;0,"Thu một phần","Chưa thu")))))</f>
        <v/>
      </c>
      <c r="T297" s="10" t="str">
        <f aca="false">IF(A297="","",IF(AND(F297="Đã giao",H297&lt;&gt;"Đã xuất"),"Đã giao - CHƯA XUẤT HĐ",IF(AND(H297="Đã xuất",F297="Chưa giao"),"Đã xuất HĐ - chưa giao",IF(F297="","Chưa cập nhật giao hàng",IF(R297&gt;0,"Quá hạn "&amp;R297&amp;" ngày - đòi tiền",IF(P297&gt;0,"Chờ thu tiền",IF(P297&lt;0,"Kiểm tra thu thừa",IF(AND(F297="Đã giao",H297="Đã xuất"),"Hoàn tất","Theo dõi"))))))))</f>
        <v/>
      </c>
      <c r="U297" s="8"/>
    </row>
    <row r="298" customFormat="false" ht="15" hidden="false" customHeight="false" outlineLevel="0" collapsed="false">
      <c r="A298" s="8"/>
      <c r="B298" s="9"/>
      <c r="C298" s="8"/>
      <c r="D298" s="10" t="str">
        <f aca="false">IF(C298="","",IFERROR(VLOOKUP(C298,KhachHang!$A$2:$B$200,2,FALSE())&amp;"",""))</f>
        <v/>
      </c>
      <c r="E298" s="8"/>
      <c r="F298" s="8"/>
      <c r="G298" s="9"/>
      <c r="H298" s="8"/>
      <c r="I298" s="8"/>
      <c r="J298" s="9"/>
      <c r="K298" s="11" t="str">
        <f aca="false">IF(A298="","",SUMIFS(ChiTiet!$I$2:$I$2000,ChiTiet!$A$2:$A$2000,A298))</f>
        <v/>
      </c>
      <c r="L298" s="12"/>
      <c r="M298" s="11" t="str">
        <f aca="false">IF(A298="","",ROUND(K298*IF(L298="",0.08,L298),0))</f>
        <v/>
      </c>
      <c r="N298" s="11" t="str">
        <f aca="false">IF(A298="","",K298+M298)</f>
        <v/>
      </c>
      <c r="O298" s="11" t="str">
        <f aca="false">IF(A298="","",SUMIFS(ThuTien!$D$2:$D$2000,ThuTien!$B$2:$B$2000,A298))</f>
        <v/>
      </c>
      <c r="P298" s="11" t="str">
        <f aca="false">IF(A298="","",N298-O298)</f>
        <v/>
      </c>
      <c r="Q298" s="9"/>
      <c r="R298" s="10" t="str">
        <f aca="true">IF(A298="","",IF(AND(Q298&lt;&gt;"",P298&gt;0,TODAY()&gt;Q298),TODAY()-Q298,0))</f>
        <v/>
      </c>
      <c r="S298" s="10" t="str">
        <f aca="false">IF(A298="","",IF(N298=0,"Chưa có tiền hàng",IF(P298&lt;0,"Thu thừa",IF(P298=0,"Đã thu đủ",IF(O298&gt;0,"Thu một phần","Chưa thu")))))</f>
        <v/>
      </c>
      <c r="T298" s="10" t="str">
        <f aca="false">IF(A298="","",IF(AND(F298="Đã giao",H298&lt;&gt;"Đã xuất"),"Đã giao - CHƯA XUẤT HĐ",IF(AND(H298="Đã xuất",F298="Chưa giao"),"Đã xuất HĐ - chưa giao",IF(F298="","Chưa cập nhật giao hàng",IF(R298&gt;0,"Quá hạn "&amp;R298&amp;" ngày - đòi tiền",IF(P298&gt;0,"Chờ thu tiền",IF(P298&lt;0,"Kiểm tra thu thừa",IF(AND(F298="Đã giao",H298="Đã xuất"),"Hoàn tất","Theo dõi"))))))))</f>
        <v/>
      </c>
      <c r="U298" s="8"/>
    </row>
    <row r="299" customFormat="false" ht="15" hidden="false" customHeight="false" outlineLevel="0" collapsed="false">
      <c r="A299" s="8"/>
      <c r="B299" s="9"/>
      <c r="C299" s="8"/>
      <c r="D299" s="10" t="str">
        <f aca="false">IF(C299="","",IFERROR(VLOOKUP(C299,KhachHang!$A$2:$B$200,2,FALSE())&amp;"",""))</f>
        <v/>
      </c>
      <c r="E299" s="8"/>
      <c r="F299" s="8"/>
      <c r="G299" s="9"/>
      <c r="H299" s="8"/>
      <c r="I299" s="8"/>
      <c r="J299" s="9"/>
      <c r="K299" s="11" t="str">
        <f aca="false">IF(A299="","",SUMIFS(ChiTiet!$I$2:$I$2000,ChiTiet!$A$2:$A$2000,A299))</f>
        <v/>
      </c>
      <c r="L299" s="12"/>
      <c r="M299" s="11" t="str">
        <f aca="false">IF(A299="","",ROUND(K299*IF(L299="",0.08,L299),0))</f>
        <v/>
      </c>
      <c r="N299" s="11" t="str">
        <f aca="false">IF(A299="","",K299+M299)</f>
        <v/>
      </c>
      <c r="O299" s="11" t="str">
        <f aca="false">IF(A299="","",SUMIFS(ThuTien!$D$2:$D$2000,ThuTien!$B$2:$B$2000,A299))</f>
        <v/>
      </c>
      <c r="P299" s="11" t="str">
        <f aca="false">IF(A299="","",N299-O299)</f>
        <v/>
      </c>
      <c r="Q299" s="9"/>
      <c r="R299" s="10" t="str">
        <f aca="true">IF(A299="","",IF(AND(Q299&lt;&gt;"",P299&gt;0,TODAY()&gt;Q299),TODAY()-Q299,0))</f>
        <v/>
      </c>
      <c r="S299" s="10" t="str">
        <f aca="false">IF(A299="","",IF(N299=0,"Chưa có tiền hàng",IF(P299&lt;0,"Thu thừa",IF(P299=0,"Đã thu đủ",IF(O299&gt;0,"Thu một phần","Chưa thu")))))</f>
        <v/>
      </c>
      <c r="T299" s="10" t="str">
        <f aca="false">IF(A299="","",IF(AND(F299="Đã giao",H299&lt;&gt;"Đã xuất"),"Đã giao - CHƯA XUẤT HĐ",IF(AND(H299="Đã xuất",F299="Chưa giao"),"Đã xuất HĐ - chưa giao",IF(F299="","Chưa cập nhật giao hàng",IF(R299&gt;0,"Quá hạn "&amp;R299&amp;" ngày - đòi tiền",IF(P299&gt;0,"Chờ thu tiền",IF(P299&lt;0,"Kiểm tra thu thừa",IF(AND(F299="Đã giao",H299="Đã xuất"),"Hoàn tất","Theo dõi"))))))))</f>
        <v/>
      </c>
      <c r="U299" s="8"/>
    </row>
    <row r="300" customFormat="false" ht="15" hidden="false" customHeight="false" outlineLevel="0" collapsed="false">
      <c r="A300" s="8"/>
      <c r="B300" s="9"/>
      <c r="C300" s="8"/>
      <c r="D300" s="10" t="str">
        <f aca="false">IF(C300="","",IFERROR(VLOOKUP(C300,KhachHang!$A$2:$B$200,2,FALSE())&amp;"",""))</f>
        <v/>
      </c>
      <c r="E300" s="8"/>
      <c r="F300" s="8"/>
      <c r="G300" s="9"/>
      <c r="H300" s="8"/>
      <c r="I300" s="8"/>
      <c r="J300" s="9"/>
      <c r="K300" s="11" t="str">
        <f aca="false">IF(A300="","",SUMIFS(ChiTiet!$I$2:$I$2000,ChiTiet!$A$2:$A$2000,A300))</f>
        <v/>
      </c>
      <c r="L300" s="12"/>
      <c r="M300" s="11" t="str">
        <f aca="false">IF(A300="","",ROUND(K300*IF(L300="",0.08,L300),0))</f>
        <v/>
      </c>
      <c r="N300" s="11" t="str">
        <f aca="false">IF(A300="","",K300+M300)</f>
        <v/>
      </c>
      <c r="O300" s="11" t="str">
        <f aca="false">IF(A300="","",SUMIFS(ThuTien!$D$2:$D$2000,ThuTien!$B$2:$B$2000,A300))</f>
        <v/>
      </c>
      <c r="P300" s="11" t="str">
        <f aca="false">IF(A300="","",N300-O300)</f>
        <v/>
      </c>
      <c r="Q300" s="9"/>
      <c r="R300" s="10" t="str">
        <f aca="true">IF(A300="","",IF(AND(Q300&lt;&gt;"",P300&gt;0,TODAY()&gt;Q300),TODAY()-Q300,0))</f>
        <v/>
      </c>
      <c r="S300" s="10" t="str">
        <f aca="false">IF(A300="","",IF(N300=0,"Chưa có tiền hàng",IF(P300&lt;0,"Thu thừa",IF(P300=0,"Đã thu đủ",IF(O300&gt;0,"Thu một phần","Chưa thu")))))</f>
        <v/>
      </c>
      <c r="T300" s="10" t="str">
        <f aca="false">IF(A300="","",IF(AND(F300="Đã giao",H300&lt;&gt;"Đã xuất"),"Đã giao - CHƯA XUẤT HĐ",IF(AND(H300="Đã xuất",F300="Chưa giao"),"Đã xuất HĐ - chưa giao",IF(F300="","Chưa cập nhật giao hàng",IF(R300&gt;0,"Quá hạn "&amp;R300&amp;" ngày - đòi tiền",IF(P300&gt;0,"Chờ thu tiền",IF(P300&lt;0,"Kiểm tra thu thừa",IF(AND(F300="Đã giao",H300="Đã xuất"),"Hoàn tất","Theo dõi"))))))))</f>
        <v/>
      </c>
      <c r="U300" s="8"/>
    </row>
    <row r="301" customFormat="false" ht="15" hidden="false" customHeight="false" outlineLevel="0" collapsed="false">
      <c r="A301" s="8"/>
      <c r="B301" s="9"/>
      <c r="C301" s="8"/>
      <c r="D301" s="10" t="str">
        <f aca="false">IF(C301="","",IFERROR(VLOOKUP(C301,KhachHang!$A$2:$B$200,2,FALSE())&amp;"",""))</f>
        <v/>
      </c>
      <c r="E301" s="8"/>
      <c r="F301" s="8"/>
      <c r="G301" s="9"/>
      <c r="H301" s="8"/>
      <c r="I301" s="8"/>
      <c r="J301" s="9"/>
      <c r="K301" s="11" t="str">
        <f aca="false">IF(A301="","",SUMIFS(ChiTiet!$I$2:$I$2000,ChiTiet!$A$2:$A$2000,A301))</f>
        <v/>
      </c>
      <c r="L301" s="12"/>
      <c r="M301" s="11" t="str">
        <f aca="false">IF(A301="","",ROUND(K301*IF(L301="",0.08,L301),0))</f>
        <v/>
      </c>
      <c r="N301" s="11" t="str">
        <f aca="false">IF(A301="","",K301+M301)</f>
        <v/>
      </c>
      <c r="O301" s="11" t="str">
        <f aca="false">IF(A301="","",SUMIFS(ThuTien!$D$2:$D$2000,ThuTien!$B$2:$B$2000,A301))</f>
        <v/>
      </c>
      <c r="P301" s="11" t="str">
        <f aca="false">IF(A301="","",N301-O301)</f>
        <v/>
      </c>
      <c r="Q301" s="9"/>
      <c r="R301" s="10" t="str">
        <f aca="true">IF(A301="","",IF(AND(Q301&lt;&gt;"",P301&gt;0,TODAY()&gt;Q301),TODAY()-Q301,0))</f>
        <v/>
      </c>
      <c r="S301" s="10" t="str">
        <f aca="false">IF(A301="","",IF(N301=0,"Chưa có tiền hàng",IF(P301&lt;0,"Thu thừa",IF(P301=0,"Đã thu đủ",IF(O301&gt;0,"Thu một phần","Chưa thu")))))</f>
        <v/>
      </c>
      <c r="T301" s="10" t="str">
        <f aca="false">IF(A301="","",IF(AND(F301="Đã giao",H301&lt;&gt;"Đã xuất"),"Đã giao - CHƯA XUẤT HĐ",IF(AND(H301="Đã xuất",F301="Chưa giao"),"Đã xuất HĐ - chưa giao",IF(F301="","Chưa cập nhật giao hàng",IF(R301&gt;0,"Quá hạn "&amp;R301&amp;" ngày - đòi tiền",IF(P301&gt;0,"Chờ thu tiền",IF(P301&lt;0,"Kiểm tra thu thừa",IF(AND(F301="Đã giao",H301="Đã xuất"),"Hoàn tất","Theo dõi"))))))))</f>
        <v/>
      </c>
      <c r="U301" s="8"/>
    </row>
    <row r="302" customFormat="false" ht="15" hidden="false" customHeight="false" outlineLevel="0" collapsed="false">
      <c r="A302" s="8"/>
      <c r="B302" s="9"/>
      <c r="C302" s="8"/>
      <c r="D302" s="10" t="str">
        <f aca="false">IF(C302="","",IFERROR(VLOOKUP(C302,KhachHang!$A$2:$B$200,2,FALSE())&amp;"",""))</f>
        <v/>
      </c>
      <c r="E302" s="8"/>
      <c r="F302" s="8"/>
      <c r="G302" s="9"/>
      <c r="H302" s="8"/>
      <c r="I302" s="8"/>
      <c r="J302" s="9"/>
      <c r="K302" s="11" t="str">
        <f aca="false">IF(A302="","",SUMIFS(ChiTiet!$I$2:$I$2000,ChiTiet!$A$2:$A$2000,A302))</f>
        <v/>
      </c>
      <c r="L302" s="12"/>
      <c r="M302" s="11" t="str">
        <f aca="false">IF(A302="","",ROUND(K302*IF(L302="",0.08,L302),0))</f>
        <v/>
      </c>
      <c r="N302" s="11" t="str">
        <f aca="false">IF(A302="","",K302+M302)</f>
        <v/>
      </c>
      <c r="O302" s="11" t="str">
        <f aca="false">IF(A302="","",SUMIFS(ThuTien!$D$2:$D$2000,ThuTien!$B$2:$B$2000,A302))</f>
        <v/>
      </c>
      <c r="P302" s="11" t="str">
        <f aca="false">IF(A302="","",N302-O302)</f>
        <v/>
      </c>
      <c r="Q302" s="9"/>
      <c r="R302" s="10" t="str">
        <f aca="true">IF(A302="","",IF(AND(Q302&lt;&gt;"",P302&gt;0,TODAY()&gt;Q302),TODAY()-Q302,0))</f>
        <v/>
      </c>
      <c r="S302" s="10" t="str">
        <f aca="false">IF(A302="","",IF(N302=0,"Chưa có tiền hàng",IF(P302&lt;0,"Thu thừa",IF(P302=0,"Đã thu đủ",IF(O302&gt;0,"Thu một phần","Chưa thu")))))</f>
        <v/>
      </c>
      <c r="T302" s="10" t="str">
        <f aca="false">IF(A302="","",IF(AND(F302="Đã giao",H302&lt;&gt;"Đã xuất"),"Đã giao - CHƯA XUẤT HĐ",IF(AND(H302="Đã xuất",F302="Chưa giao"),"Đã xuất HĐ - chưa giao",IF(F302="","Chưa cập nhật giao hàng",IF(R302&gt;0,"Quá hạn "&amp;R302&amp;" ngày - đòi tiền",IF(P302&gt;0,"Chờ thu tiền",IF(P302&lt;0,"Kiểm tra thu thừa",IF(AND(F302="Đã giao",H302="Đã xuất"),"Hoàn tất","Theo dõi"))))))))</f>
        <v/>
      </c>
      <c r="U302" s="8"/>
    </row>
    <row r="303" customFormat="false" ht="15" hidden="false" customHeight="false" outlineLevel="0" collapsed="false">
      <c r="A303" s="8"/>
      <c r="B303" s="9"/>
      <c r="C303" s="8"/>
      <c r="D303" s="10" t="str">
        <f aca="false">IF(C303="","",IFERROR(VLOOKUP(C303,KhachHang!$A$2:$B$200,2,FALSE())&amp;"",""))</f>
        <v/>
      </c>
      <c r="E303" s="8"/>
      <c r="F303" s="8"/>
      <c r="G303" s="9"/>
      <c r="H303" s="8"/>
      <c r="I303" s="8"/>
      <c r="J303" s="9"/>
      <c r="K303" s="11" t="str">
        <f aca="false">IF(A303="","",SUMIFS(ChiTiet!$I$2:$I$2000,ChiTiet!$A$2:$A$2000,A303))</f>
        <v/>
      </c>
      <c r="L303" s="12"/>
      <c r="M303" s="11" t="str">
        <f aca="false">IF(A303="","",ROUND(K303*IF(L303="",0.08,L303),0))</f>
        <v/>
      </c>
      <c r="N303" s="11" t="str">
        <f aca="false">IF(A303="","",K303+M303)</f>
        <v/>
      </c>
      <c r="O303" s="11" t="str">
        <f aca="false">IF(A303="","",SUMIFS(ThuTien!$D$2:$D$2000,ThuTien!$B$2:$B$2000,A303))</f>
        <v/>
      </c>
      <c r="P303" s="11" t="str">
        <f aca="false">IF(A303="","",N303-O303)</f>
        <v/>
      </c>
      <c r="Q303" s="9"/>
      <c r="R303" s="10" t="str">
        <f aca="true">IF(A303="","",IF(AND(Q303&lt;&gt;"",P303&gt;0,TODAY()&gt;Q303),TODAY()-Q303,0))</f>
        <v/>
      </c>
      <c r="S303" s="10" t="str">
        <f aca="false">IF(A303="","",IF(N303=0,"Chưa có tiền hàng",IF(P303&lt;0,"Thu thừa",IF(P303=0,"Đã thu đủ",IF(O303&gt;0,"Thu một phần","Chưa thu")))))</f>
        <v/>
      </c>
      <c r="T303" s="10" t="str">
        <f aca="false">IF(A303="","",IF(AND(F303="Đã giao",H303&lt;&gt;"Đã xuất"),"Đã giao - CHƯA XUẤT HĐ",IF(AND(H303="Đã xuất",F303="Chưa giao"),"Đã xuất HĐ - chưa giao",IF(F303="","Chưa cập nhật giao hàng",IF(R303&gt;0,"Quá hạn "&amp;R303&amp;" ngày - đòi tiền",IF(P303&gt;0,"Chờ thu tiền",IF(P303&lt;0,"Kiểm tra thu thừa",IF(AND(F303="Đã giao",H303="Đã xuất"),"Hoàn tất","Theo dõi"))))))))</f>
        <v/>
      </c>
      <c r="U303" s="8"/>
    </row>
    <row r="304" customFormat="false" ht="15" hidden="false" customHeight="false" outlineLevel="0" collapsed="false">
      <c r="A304" s="8"/>
      <c r="B304" s="9"/>
      <c r="C304" s="8"/>
      <c r="D304" s="10" t="str">
        <f aca="false">IF(C304="","",IFERROR(VLOOKUP(C304,KhachHang!$A$2:$B$200,2,FALSE())&amp;"",""))</f>
        <v/>
      </c>
      <c r="E304" s="8"/>
      <c r="F304" s="8"/>
      <c r="G304" s="9"/>
      <c r="H304" s="8"/>
      <c r="I304" s="8"/>
      <c r="J304" s="9"/>
      <c r="K304" s="11" t="str">
        <f aca="false">IF(A304="","",SUMIFS(ChiTiet!$I$2:$I$2000,ChiTiet!$A$2:$A$2000,A304))</f>
        <v/>
      </c>
      <c r="L304" s="12"/>
      <c r="M304" s="11" t="str">
        <f aca="false">IF(A304="","",ROUND(K304*IF(L304="",0.08,L304),0))</f>
        <v/>
      </c>
      <c r="N304" s="11" t="str">
        <f aca="false">IF(A304="","",K304+M304)</f>
        <v/>
      </c>
      <c r="O304" s="11" t="str">
        <f aca="false">IF(A304="","",SUMIFS(ThuTien!$D$2:$D$2000,ThuTien!$B$2:$B$2000,A304))</f>
        <v/>
      </c>
      <c r="P304" s="11" t="str">
        <f aca="false">IF(A304="","",N304-O304)</f>
        <v/>
      </c>
      <c r="Q304" s="9"/>
      <c r="R304" s="10" t="str">
        <f aca="true">IF(A304="","",IF(AND(Q304&lt;&gt;"",P304&gt;0,TODAY()&gt;Q304),TODAY()-Q304,0))</f>
        <v/>
      </c>
      <c r="S304" s="10" t="str">
        <f aca="false">IF(A304="","",IF(N304=0,"Chưa có tiền hàng",IF(P304&lt;0,"Thu thừa",IF(P304=0,"Đã thu đủ",IF(O304&gt;0,"Thu một phần","Chưa thu")))))</f>
        <v/>
      </c>
      <c r="T304" s="10" t="str">
        <f aca="false">IF(A304="","",IF(AND(F304="Đã giao",H304&lt;&gt;"Đã xuất"),"Đã giao - CHƯA XUẤT HĐ",IF(AND(H304="Đã xuất",F304="Chưa giao"),"Đã xuất HĐ - chưa giao",IF(F304="","Chưa cập nhật giao hàng",IF(R304&gt;0,"Quá hạn "&amp;R304&amp;" ngày - đòi tiền",IF(P304&gt;0,"Chờ thu tiền",IF(P304&lt;0,"Kiểm tra thu thừa",IF(AND(F304="Đã giao",H304="Đã xuất"),"Hoàn tất","Theo dõi"))))))))</f>
        <v/>
      </c>
      <c r="U304" s="8"/>
    </row>
    <row r="305" customFormat="false" ht="15" hidden="false" customHeight="false" outlineLevel="0" collapsed="false">
      <c r="A305" s="8"/>
      <c r="B305" s="9"/>
      <c r="C305" s="8"/>
      <c r="D305" s="10" t="str">
        <f aca="false">IF(C305="","",IFERROR(VLOOKUP(C305,KhachHang!$A$2:$B$200,2,FALSE())&amp;"",""))</f>
        <v/>
      </c>
      <c r="E305" s="8"/>
      <c r="F305" s="8"/>
      <c r="G305" s="9"/>
      <c r="H305" s="8"/>
      <c r="I305" s="8"/>
      <c r="J305" s="9"/>
      <c r="K305" s="11" t="str">
        <f aca="false">IF(A305="","",SUMIFS(ChiTiet!$I$2:$I$2000,ChiTiet!$A$2:$A$2000,A305))</f>
        <v/>
      </c>
      <c r="L305" s="12"/>
      <c r="M305" s="11" t="str">
        <f aca="false">IF(A305="","",ROUND(K305*IF(L305="",0.08,L305),0))</f>
        <v/>
      </c>
      <c r="N305" s="11" t="str">
        <f aca="false">IF(A305="","",K305+M305)</f>
        <v/>
      </c>
      <c r="O305" s="11" t="str">
        <f aca="false">IF(A305="","",SUMIFS(ThuTien!$D$2:$D$2000,ThuTien!$B$2:$B$2000,A305))</f>
        <v/>
      </c>
      <c r="P305" s="11" t="str">
        <f aca="false">IF(A305="","",N305-O305)</f>
        <v/>
      </c>
      <c r="Q305" s="9"/>
      <c r="R305" s="10" t="str">
        <f aca="true">IF(A305="","",IF(AND(Q305&lt;&gt;"",P305&gt;0,TODAY()&gt;Q305),TODAY()-Q305,0))</f>
        <v/>
      </c>
      <c r="S305" s="10" t="str">
        <f aca="false">IF(A305="","",IF(N305=0,"Chưa có tiền hàng",IF(P305&lt;0,"Thu thừa",IF(P305=0,"Đã thu đủ",IF(O305&gt;0,"Thu một phần","Chưa thu")))))</f>
        <v/>
      </c>
      <c r="T305" s="10" t="str">
        <f aca="false">IF(A305="","",IF(AND(F305="Đã giao",H305&lt;&gt;"Đã xuất"),"Đã giao - CHƯA XUẤT HĐ",IF(AND(H305="Đã xuất",F305="Chưa giao"),"Đã xuất HĐ - chưa giao",IF(F305="","Chưa cập nhật giao hàng",IF(R305&gt;0,"Quá hạn "&amp;R305&amp;" ngày - đòi tiền",IF(P305&gt;0,"Chờ thu tiền",IF(P305&lt;0,"Kiểm tra thu thừa",IF(AND(F305="Đã giao",H305="Đã xuất"),"Hoàn tất","Theo dõi"))))))))</f>
        <v/>
      </c>
      <c r="U305" s="8"/>
    </row>
    <row r="306" customFormat="false" ht="15" hidden="false" customHeight="false" outlineLevel="0" collapsed="false">
      <c r="A306" s="8"/>
      <c r="B306" s="9"/>
      <c r="C306" s="8"/>
      <c r="D306" s="10" t="str">
        <f aca="false">IF(C306="","",IFERROR(VLOOKUP(C306,KhachHang!$A$2:$B$200,2,FALSE())&amp;"",""))</f>
        <v/>
      </c>
      <c r="E306" s="8"/>
      <c r="F306" s="8"/>
      <c r="G306" s="9"/>
      <c r="H306" s="8"/>
      <c r="I306" s="8"/>
      <c r="J306" s="9"/>
      <c r="K306" s="11" t="str">
        <f aca="false">IF(A306="","",SUMIFS(ChiTiet!$I$2:$I$2000,ChiTiet!$A$2:$A$2000,A306))</f>
        <v/>
      </c>
      <c r="L306" s="12"/>
      <c r="M306" s="11" t="str">
        <f aca="false">IF(A306="","",ROUND(K306*IF(L306="",0.08,L306),0))</f>
        <v/>
      </c>
      <c r="N306" s="11" t="str">
        <f aca="false">IF(A306="","",K306+M306)</f>
        <v/>
      </c>
      <c r="O306" s="11" t="str">
        <f aca="false">IF(A306="","",SUMIFS(ThuTien!$D$2:$D$2000,ThuTien!$B$2:$B$2000,A306))</f>
        <v/>
      </c>
      <c r="P306" s="11" t="str">
        <f aca="false">IF(A306="","",N306-O306)</f>
        <v/>
      </c>
      <c r="Q306" s="9"/>
      <c r="R306" s="10" t="str">
        <f aca="true">IF(A306="","",IF(AND(Q306&lt;&gt;"",P306&gt;0,TODAY()&gt;Q306),TODAY()-Q306,0))</f>
        <v/>
      </c>
      <c r="S306" s="10" t="str">
        <f aca="false">IF(A306="","",IF(N306=0,"Chưa có tiền hàng",IF(P306&lt;0,"Thu thừa",IF(P306=0,"Đã thu đủ",IF(O306&gt;0,"Thu một phần","Chưa thu")))))</f>
        <v/>
      </c>
      <c r="T306" s="10" t="str">
        <f aca="false">IF(A306="","",IF(AND(F306="Đã giao",H306&lt;&gt;"Đã xuất"),"Đã giao - CHƯA XUẤT HĐ",IF(AND(H306="Đã xuất",F306="Chưa giao"),"Đã xuất HĐ - chưa giao",IF(F306="","Chưa cập nhật giao hàng",IF(R306&gt;0,"Quá hạn "&amp;R306&amp;" ngày - đòi tiền",IF(P306&gt;0,"Chờ thu tiền",IF(P306&lt;0,"Kiểm tra thu thừa",IF(AND(F306="Đã giao",H306="Đã xuất"),"Hoàn tất","Theo dõi"))))))))</f>
        <v/>
      </c>
      <c r="U306" s="8"/>
    </row>
    <row r="307" customFormat="false" ht="15" hidden="false" customHeight="false" outlineLevel="0" collapsed="false">
      <c r="A307" s="8"/>
      <c r="B307" s="9"/>
      <c r="C307" s="8"/>
      <c r="D307" s="10" t="str">
        <f aca="false">IF(C307="","",IFERROR(VLOOKUP(C307,KhachHang!$A$2:$B$200,2,FALSE())&amp;"",""))</f>
        <v/>
      </c>
      <c r="E307" s="8"/>
      <c r="F307" s="8"/>
      <c r="G307" s="9"/>
      <c r="H307" s="8"/>
      <c r="I307" s="8"/>
      <c r="J307" s="9"/>
      <c r="K307" s="11" t="str">
        <f aca="false">IF(A307="","",SUMIFS(ChiTiet!$I$2:$I$2000,ChiTiet!$A$2:$A$2000,A307))</f>
        <v/>
      </c>
      <c r="L307" s="12"/>
      <c r="M307" s="11" t="str">
        <f aca="false">IF(A307="","",ROUND(K307*IF(L307="",0.08,L307),0))</f>
        <v/>
      </c>
      <c r="N307" s="11" t="str">
        <f aca="false">IF(A307="","",K307+M307)</f>
        <v/>
      </c>
      <c r="O307" s="11" t="str">
        <f aca="false">IF(A307="","",SUMIFS(ThuTien!$D$2:$D$2000,ThuTien!$B$2:$B$2000,A307))</f>
        <v/>
      </c>
      <c r="P307" s="11" t="str">
        <f aca="false">IF(A307="","",N307-O307)</f>
        <v/>
      </c>
      <c r="Q307" s="9"/>
      <c r="R307" s="10" t="str">
        <f aca="true">IF(A307="","",IF(AND(Q307&lt;&gt;"",P307&gt;0,TODAY()&gt;Q307),TODAY()-Q307,0))</f>
        <v/>
      </c>
      <c r="S307" s="10" t="str">
        <f aca="false">IF(A307="","",IF(N307=0,"Chưa có tiền hàng",IF(P307&lt;0,"Thu thừa",IF(P307=0,"Đã thu đủ",IF(O307&gt;0,"Thu một phần","Chưa thu")))))</f>
        <v/>
      </c>
      <c r="T307" s="10" t="str">
        <f aca="false">IF(A307="","",IF(AND(F307="Đã giao",H307&lt;&gt;"Đã xuất"),"Đã giao - CHƯA XUẤT HĐ",IF(AND(H307="Đã xuất",F307="Chưa giao"),"Đã xuất HĐ - chưa giao",IF(F307="","Chưa cập nhật giao hàng",IF(R307&gt;0,"Quá hạn "&amp;R307&amp;" ngày - đòi tiền",IF(P307&gt;0,"Chờ thu tiền",IF(P307&lt;0,"Kiểm tra thu thừa",IF(AND(F307="Đã giao",H307="Đã xuất"),"Hoàn tất","Theo dõi"))))))))</f>
        <v/>
      </c>
      <c r="U307" s="8"/>
    </row>
    <row r="308" customFormat="false" ht="15" hidden="false" customHeight="false" outlineLevel="0" collapsed="false">
      <c r="A308" s="8"/>
      <c r="B308" s="9"/>
      <c r="C308" s="8"/>
      <c r="D308" s="10" t="str">
        <f aca="false">IF(C308="","",IFERROR(VLOOKUP(C308,KhachHang!$A$2:$B$200,2,FALSE())&amp;"",""))</f>
        <v/>
      </c>
      <c r="E308" s="8"/>
      <c r="F308" s="8"/>
      <c r="G308" s="9"/>
      <c r="H308" s="8"/>
      <c r="I308" s="8"/>
      <c r="J308" s="9"/>
      <c r="K308" s="11" t="str">
        <f aca="false">IF(A308="","",SUMIFS(ChiTiet!$I$2:$I$2000,ChiTiet!$A$2:$A$2000,A308))</f>
        <v/>
      </c>
      <c r="L308" s="12"/>
      <c r="M308" s="11" t="str">
        <f aca="false">IF(A308="","",ROUND(K308*IF(L308="",0.08,L308),0))</f>
        <v/>
      </c>
      <c r="N308" s="11" t="str">
        <f aca="false">IF(A308="","",K308+M308)</f>
        <v/>
      </c>
      <c r="O308" s="11" t="str">
        <f aca="false">IF(A308="","",SUMIFS(ThuTien!$D$2:$D$2000,ThuTien!$B$2:$B$2000,A308))</f>
        <v/>
      </c>
      <c r="P308" s="11" t="str">
        <f aca="false">IF(A308="","",N308-O308)</f>
        <v/>
      </c>
      <c r="Q308" s="9"/>
      <c r="R308" s="10" t="str">
        <f aca="true">IF(A308="","",IF(AND(Q308&lt;&gt;"",P308&gt;0,TODAY()&gt;Q308),TODAY()-Q308,0))</f>
        <v/>
      </c>
      <c r="S308" s="10" t="str">
        <f aca="false">IF(A308="","",IF(N308=0,"Chưa có tiền hàng",IF(P308&lt;0,"Thu thừa",IF(P308=0,"Đã thu đủ",IF(O308&gt;0,"Thu một phần","Chưa thu")))))</f>
        <v/>
      </c>
      <c r="T308" s="10" t="str">
        <f aca="false">IF(A308="","",IF(AND(F308="Đã giao",H308&lt;&gt;"Đã xuất"),"Đã giao - CHƯA XUẤT HĐ",IF(AND(H308="Đã xuất",F308="Chưa giao"),"Đã xuất HĐ - chưa giao",IF(F308="","Chưa cập nhật giao hàng",IF(R308&gt;0,"Quá hạn "&amp;R308&amp;" ngày - đòi tiền",IF(P308&gt;0,"Chờ thu tiền",IF(P308&lt;0,"Kiểm tra thu thừa",IF(AND(F308="Đã giao",H308="Đã xuất"),"Hoàn tất","Theo dõi"))))))))</f>
        <v/>
      </c>
      <c r="U308" s="8"/>
    </row>
    <row r="309" customFormat="false" ht="15" hidden="false" customHeight="false" outlineLevel="0" collapsed="false">
      <c r="A309" s="8"/>
      <c r="B309" s="9"/>
      <c r="C309" s="8"/>
      <c r="D309" s="10" t="str">
        <f aca="false">IF(C309="","",IFERROR(VLOOKUP(C309,KhachHang!$A$2:$B$200,2,FALSE())&amp;"",""))</f>
        <v/>
      </c>
      <c r="E309" s="8"/>
      <c r="F309" s="8"/>
      <c r="G309" s="9"/>
      <c r="H309" s="8"/>
      <c r="I309" s="8"/>
      <c r="J309" s="9"/>
      <c r="K309" s="11" t="str">
        <f aca="false">IF(A309="","",SUMIFS(ChiTiet!$I$2:$I$2000,ChiTiet!$A$2:$A$2000,A309))</f>
        <v/>
      </c>
      <c r="L309" s="12"/>
      <c r="M309" s="11" t="str">
        <f aca="false">IF(A309="","",ROUND(K309*IF(L309="",0.08,L309),0))</f>
        <v/>
      </c>
      <c r="N309" s="11" t="str">
        <f aca="false">IF(A309="","",K309+M309)</f>
        <v/>
      </c>
      <c r="O309" s="11" t="str">
        <f aca="false">IF(A309="","",SUMIFS(ThuTien!$D$2:$D$2000,ThuTien!$B$2:$B$2000,A309))</f>
        <v/>
      </c>
      <c r="P309" s="11" t="str">
        <f aca="false">IF(A309="","",N309-O309)</f>
        <v/>
      </c>
      <c r="Q309" s="9"/>
      <c r="R309" s="10" t="str">
        <f aca="true">IF(A309="","",IF(AND(Q309&lt;&gt;"",P309&gt;0,TODAY()&gt;Q309),TODAY()-Q309,0))</f>
        <v/>
      </c>
      <c r="S309" s="10" t="str">
        <f aca="false">IF(A309="","",IF(N309=0,"Chưa có tiền hàng",IF(P309&lt;0,"Thu thừa",IF(P309=0,"Đã thu đủ",IF(O309&gt;0,"Thu một phần","Chưa thu")))))</f>
        <v/>
      </c>
      <c r="T309" s="10" t="str">
        <f aca="false">IF(A309="","",IF(AND(F309="Đã giao",H309&lt;&gt;"Đã xuất"),"Đã giao - CHƯA XUẤT HĐ",IF(AND(H309="Đã xuất",F309="Chưa giao"),"Đã xuất HĐ - chưa giao",IF(F309="","Chưa cập nhật giao hàng",IF(R309&gt;0,"Quá hạn "&amp;R309&amp;" ngày - đòi tiền",IF(P309&gt;0,"Chờ thu tiền",IF(P309&lt;0,"Kiểm tra thu thừa",IF(AND(F309="Đã giao",H309="Đã xuất"),"Hoàn tất","Theo dõi"))))))))</f>
        <v/>
      </c>
      <c r="U309" s="8"/>
    </row>
    <row r="310" customFormat="false" ht="15" hidden="false" customHeight="false" outlineLevel="0" collapsed="false">
      <c r="A310" s="8"/>
      <c r="B310" s="9"/>
      <c r="C310" s="8"/>
      <c r="D310" s="10" t="str">
        <f aca="false">IF(C310="","",IFERROR(VLOOKUP(C310,KhachHang!$A$2:$B$200,2,FALSE())&amp;"",""))</f>
        <v/>
      </c>
      <c r="E310" s="8"/>
      <c r="F310" s="8"/>
      <c r="G310" s="9"/>
      <c r="H310" s="8"/>
      <c r="I310" s="8"/>
      <c r="J310" s="9"/>
      <c r="K310" s="11" t="str">
        <f aca="false">IF(A310="","",SUMIFS(ChiTiet!$I$2:$I$2000,ChiTiet!$A$2:$A$2000,A310))</f>
        <v/>
      </c>
      <c r="L310" s="12"/>
      <c r="M310" s="11" t="str">
        <f aca="false">IF(A310="","",ROUND(K310*IF(L310="",0.08,L310),0))</f>
        <v/>
      </c>
      <c r="N310" s="11" t="str">
        <f aca="false">IF(A310="","",K310+M310)</f>
        <v/>
      </c>
      <c r="O310" s="11" t="str">
        <f aca="false">IF(A310="","",SUMIFS(ThuTien!$D$2:$D$2000,ThuTien!$B$2:$B$2000,A310))</f>
        <v/>
      </c>
      <c r="P310" s="11" t="str">
        <f aca="false">IF(A310="","",N310-O310)</f>
        <v/>
      </c>
      <c r="Q310" s="9"/>
      <c r="R310" s="10" t="str">
        <f aca="true">IF(A310="","",IF(AND(Q310&lt;&gt;"",P310&gt;0,TODAY()&gt;Q310),TODAY()-Q310,0))</f>
        <v/>
      </c>
      <c r="S310" s="10" t="str">
        <f aca="false">IF(A310="","",IF(N310=0,"Chưa có tiền hàng",IF(P310&lt;0,"Thu thừa",IF(P310=0,"Đã thu đủ",IF(O310&gt;0,"Thu một phần","Chưa thu")))))</f>
        <v/>
      </c>
      <c r="T310" s="10" t="str">
        <f aca="false">IF(A310="","",IF(AND(F310="Đã giao",H310&lt;&gt;"Đã xuất"),"Đã giao - CHƯA XUẤT HĐ",IF(AND(H310="Đã xuất",F310="Chưa giao"),"Đã xuất HĐ - chưa giao",IF(F310="","Chưa cập nhật giao hàng",IF(R310&gt;0,"Quá hạn "&amp;R310&amp;" ngày - đòi tiền",IF(P310&gt;0,"Chờ thu tiền",IF(P310&lt;0,"Kiểm tra thu thừa",IF(AND(F310="Đã giao",H310="Đã xuất"),"Hoàn tất","Theo dõi"))))))))</f>
        <v/>
      </c>
      <c r="U310" s="8"/>
    </row>
    <row r="311" customFormat="false" ht="15" hidden="false" customHeight="false" outlineLevel="0" collapsed="false">
      <c r="A311" s="8"/>
      <c r="B311" s="9"/>
      <c r="C311" s="8"/>
      <c r="D311" s="10" t="str">
        <f aca="false">IF(C311="","",IFERROR(VLOOKUP(C311,KhachHang!$A$2:$B$200,2,FALSE())&amp;"",""))</f>
        <v/>
      </c>
      <c r="E311" s="8"/>
      <c r="F311" s="8"/>
      <c r="G311" s="9"/>
      <c r="H311" s="8"/>
      <c r="I311" s="8"/>
      <c r="J311" s="9"/>
      <c r="K311" s="11" t="str">
        <f aca="false">IF(A311="","",SUMIFS(ChiTiet!$I$2:$I$2000,ChiTiet!$A$2:$A$2000,A311))</f>
        <v/>
      </c>
      <c r="L311" s="12"/>
      <c r="M311" s="11" t="str">
        <f aca="false">IF(A311="","",ROUND(K311*IF(L311="",0.08,L311),0))</f>
        <v/>
      </c>
      <c r="N311" s="11" t="str">
        <f aca="false">IF(A311="","",K311+M311)</f>
        <v/>
      </c>
      <c r="O311" s="11" t="str">
        <f aca="false">IF(A311="","",SUMIFS(ThuTien!$D$2:$D$2000,ThuTien!$B$2:$B$2000,A311))</f>
        <v/>
      </c>
      <c r="P311" s="11" t="str">
        <f aca="false">IF(A311="","",N311-O311)</f>
        <v/>
      </c>
      <c r="Q311" s="9"/>
      <c r="R311" s="10" t="str">
        <f aca="true">IF(A311="","",IF(AND(Q311&lt;&gt;"",P311&gt;0,TODAY()&gt;Q311),TODAY()-Q311,0))</f>
        <v/>
      </c>
      <c r="S311" s="10" t="str">
        <f aca="false">IF(A311="","",IF(N311=0,"Chưa có tiền hàng",IF(P311&lt;0,"Thu thừa",IF(P311=0,"Đã thu đủ",IF(O311&gt;0,"Thu một phần","Chưa thu")))))</f>
        <v/>
      </c>
      <c r="T311" s="10" t="str">
        <f aca="false">IF(A311="","",IF(AND(F311="Đã giao",H311&lt;&gt;"Đã xuất"),"Đã giao - CHƯA XUẤT HĐ",IF(AND(H311="Đã xuất",F311="Chưa giao"),"Đã xuất HĐ - chưa giao",IF(F311="","Chưa cập nhật giao hàng",IF(R311&gt;0,"Quá hạn "&amp;R311&amp;" ngày - đòi tiền",IF(P311&gt;0,"Chờ thu tiền",IF(P311&lt;0,"Kiểm tra thu thừa",IF(AND(F311="Đã giao",H311="Đã xuất"),"Hoàn tất","Theo dõi"))))))))</f>
        <v/>
      </c>
      <c r="U311" s="8"/>
    </row>
    <row r="312" customFormat="false" ht="15" hidden="false" customHeight="false" outlineLevel="0" collapsed="false">
      <c r="A312" s="8"/>
      <c r="B312" s="9"/>
      <c r="C312" s="8"/>
      <c r="D312" s="10" t="str">
        <f aca="false">IF(C312="","",IFERROR(VLOOKUP(C312,KhachHang!$A$2:$B$200,2,FALSE())&amp;"",""))</f>
        <v/>
      </c>
      <c r="E312" s="8"/>
      <c r="F312" s="8"/>
      <c r="G312" s="9"/>
      <c r="H312" s="8"/>
      <c r="I312" s="8"/>
      <c r="J312" s="9"/>
      <c r="K312" s="11" t="str">
        <f aca="false">IF(A312="","",SUMIFS(ChiTiet!$I$2:$I$2000,ChiTiet!$A$2:$A$2000,A312))</f>
        <v/>
      </c>
      <c r="L312" s="12"/>
      <c r="M312" s="11" t="str">
        <f aca="false">IF(A312="","",ROUND(K312*IF(L312="",0.08,L312),0))</f>
        <v/>
      </c>
      <c r="N312" s="11" t="str">
        <f aca="false">IF(A312="","",K312+M312)</f>
        <v/>
      </c>
      <c r="O312" s="11" t="str">
        <f aca="false">IF(A312="","",SUMIFS(ThuTien!$D$2:$D$2000,ThuTien!$B$2:$B$2000,A312))</f>
        <v/>
      </c>
      <c r="P312" s="11" t="str">
        <f aca="false">IF(A312="","",N312-O312)</f>
        <v/>
      </c>
      <c r="Q312" s="9"/>
      <c r="R312" s="10" t="str">
        <f aca="true">IF(A312="","",IF(AND(Q312&lt;&gt;"",P312&gt;0,TODAY()&gt;Q312),TODAY()-Q312,0))</f>
        <v/>
      </c>
      <c r="S312" s="10" t="str">
        <f aca="false">IF(A312="","",IF(N312=0,"Chưa có tiền hàng",IF(P312&lt;0,"Thu thừa",IF(P312=0,"Đã thu đủ",IF(O312&gt;0,"Thu một phần","Chưa thu")))))</f>
        <v/>
      </c>
      <c r="T312" s="10" t="str">
        <f aca="false">IF(A312="","",IF(AND(F312="Đã giao",H312&lt;&gt;"Đã xuất"),"Đã giao - CHƯA XUẤT HĐ",IF(AND(H312="Đã xuất",F312="Chưa giao"),"Đã xuất HĐ - chưa giao",IF(F312="","Chưa cập nhật giao hàng",IF(R312&gt;0,"Quá hạn "&amp;R312&amp;" ngày - đòi tiền",IF(P312&gt;0,"Chờ thu tiền",IF(P312&lt;0,"Kiểm tra thu thừa",IF(AND(F312="Đã giao",H312="Đã xuất"),"Hoàn tất","Theo dõi"))))))))</f>
        <v/>
      </c>
      <c r="U312" s="8"/>
    </row>
    <row r="313" customFormat="false" ht="15" hidden="false" customHeight="false" outlineLevel="0" collapsed="false">
      <c r="A313" s="8"/>
      <c r="B313" s="9"/>
      <c r="C313" s="8"/>
      <c r="D313" s="10" t="str">
        <f aca="false">IF(C313="","",IFERROR(VLOOKUP(C313,KhachHang!$A$2:$B$200,2,FALSE())&amp;"",""))</f>
        <v/>
      </c>
      <c r="E313" s="8"/>
      <c r="F313" s="8"/>
      <c r="G313" s="9"/>
      <c r="H313" s="8"/>
      <c r="I313" s="8"/>
      <c r="J313" s="9"/>
      <c r="K313" s="11" t="str">
        <f aca="false">IF(A313="","",SUMIFS(ChiTiet!$I$2:$I$2000,ChiTiet!$A$2:$A$2000,A313))</f>
        <v/>
      </c>
      <c r="L313" s="12"/>
      <c r="M313" s="11" t="str">
        <f aca="false">IF(A313="","",ROUND(K313*IF(L313="",0.08,L313),0))</f>
        <v/>
      </c>
      <c r="N313" s="11" t="str">
        <f aca="false">IF(A313="","",K313+M313)</f>
        <v/>
      </c>
      <c r="O313" s="11" t="str">
        <f aca="false">IF(A313="","",SUMIFS(ThuTien!$D$2:$D$2000,ThuTien!$B$2:$B$2000,A313))</f>
        <v/>
      </c>
      <c r="P313" s="11" t="str">
        <f aca="false">IF(A313="","",N313-O313)</f>
        <v/>
      </c>
      <c r="Q313" s="9"/>
      <c r="R313" s="10" t="str">
        <f aca="true">IF(A313="","",IF(AND(Q313&lt;&gt;"",P313&gt;0,TODAY()&gt;Q313),TODAY()-Q313,0))</f>
        <v/>
      </c>
      <c r="S313" s="10" t="str">
        <f aca="false">IF(A313="","",IF(N313=0,"Chưa có tiền hàng",IF(P313&lt;0,"Thu thừa",IF(P313=0,"Đã thu đủ",IF(O313&gt;0,"Thu một phần","Chưa thu")))))</f>
        <v/>
      </c>
      <c r="T313" s="10" t="str">
        <f aca="false">IF(A313="","",IF(AND(F313="Đã giao",H313&lt;&gt;"Đã xuất"),"Đã giao - CHƯA XUẤT HĐ",IF(AND(H313="Đã xuất",F313="Chưa giao"),"Đã xuất HĐ - chưa giao",IF(F313="","Chưa cập nhật giao hàng",IF(R313&gt;0,"Quá hạn "&amp;R313&amp;" ngày - đòi tiền",IF(P313&gt;0,"Chờ thu tiền",IF(P313&lt;0,"Kiểm tra thu thừa",IF(AND(F313="Đã giao",H313="Đã xuất"),"Hoàn tất","Theo dõi"))))))))</f>
        <v/>
      </c>
      <c r="U313" s="8"/>
    </row>
    <row r="314" customFormat="false" ht="15" hidden="false" customHeight="false" outlineLevel="0" collapsed="false">
      <c r="A314" s="8"/>
      <c r="B314" s="9"/>
      <c r="C314" s="8"/>
      <c r="D314" s="10" t="str">
        <f aca="false">IF(C314="","",IFERROR(VLOOKUP(C314,KhachHang!$A$2:$B$200,2,FALSE())&amp;"",""))</f>
        <v/>
      </c>
      <c r="E314" s="8"/>
      <c r="F314" s="8"/>
      <c r="G314" s="9"/>
      <c r="H314" s="8"/>
      <c r="I314" s="8"/>
      <c r="J314" s="9"/>
      <c r="K314" s="11" t="str">
        <f aca="false">IF(A314="","",SUMIFS(ChiTiet!$I$2:$I$2000,ChiTiet!$A$2:$A$2000,A314))</f>
        <v/>
      </c>
      <c r="L314" s="12"/>
      <c r="M314" s="11" t="str">
        <f aca="false">IF(A314="","",ROUND(K314*IF(L314="",0.08,L314),0))</f>
        <v/>
      </c>
      <c r="N314" s="11" t="str">
        <f aca="false">IF(A314="","",K314+M314)</f>
        <v/>
      </c>
      <c r="O314" s="11" t="str">
        <f aca="false">IF(A314="","",SUMIFS(ThuTien!$D$2:$D$2000,ThuTien!$B$2:$B$2000,A314))</f>
        <v/>
      </c>
      <c r="P314" s="11" t="str">
        <f aca="false">IF(A314="","",N314-O314)</f>
        <v/>
      </c>
      <c r="Q314" s="9"/>
      <c r="R314" s="10" t="str">
        <f aca="true">IF(A314="","",IF(AND(Q314&lt;&gt;"",P314&gt;0,TODAY()&gt;Q314),TODAY()-Q314,0))</f>
        <v/>
      </c>
      <c r="S314" s="10" t="str">
        <f aca="false">IF(A314="","",IF(N314=0,"Chưa có tiền hàng",IF(P314&lt;0,"Thu thừa",IF(P314=0,"Đã thu đủ",IF(O314&gt;0,"Thu một phần","Chưa thu")))))</f>
        <v/>
      </c>
      <c r="T314" s="10" t="str">
        <f aca="false">IF(A314="","",IF(AND(F314="Đã giao",H314&lt;&gt;"Đã xuất"),"Đã giao - CHƯA XUẤT HĐ",IF(AND(H314="Đã xuất",F314="Chưa giao"),"Đã xuất HĐ - chưa giao",IF(F314="","Chưa cập nhật giao hàng",IF(R314&gt;0,"Quá hạn "&amp;R314&amp;" ngày - đòi tiền",IF(P314&gt;0,"Chờ thu tiền",IF(P314&lt;0,"Kiểm tra thu thừa",IF(AND(F314="Đã giao",H314="Đã xuất"),"Hoàn tất","Theo dõi"))))))))</f>
        <v/>
      </c>
      <c r="U314" s="8"/>
    </row>
    <row r="315" customFormat="false" ht="15" hidden="false" customHeight="false" outlineLevel="0" collapsed="false">
      <c r="A315" s="8"/>
      <c r="B315" s="9"/>
      <c r="C315" s="8"/>
      <c r="D315" s="10" t="str">
        <f aca="false">IF(C315="","",IFERROR(VLOOKUP(C315,KhachHang!$A$2:$B$200,2,FALSE())&amp;"",""))</f>
        <v/>
      </c>
      <c r="E315" s="8"/>
      <c r="F315" s="8"/>
      <c r="G315" s="9"/>
      <c r="H315" s="8"/>
      <c r="I315" s="8"/>
      <c r="J315" s="9"/>
      <c r="K315" s="11" t="str">
        <f aca="false">IF(A315="","",SUMIFS(ChiTiet!$I$2:$I$2000,ChiTiet!$A$2:$A$2000,A315))</f>
        <v/>
      </c>
      <c r="L315" s="12"/>
      <c r="M315" s="11" t="str">
        <f aca="false">IF(A315="","",ROUND(K315*IF(L315="",0.08,L315),0))</f>
        <v/>
      </c>
      <c r="N315" s="11" t="str">
        <f aca="false">IF(A315="","",K315+M315)</f>
        <v/>
      </c>
      <c r="O315" s="11" t="str">
        <f aca="false">IF(A315="","",SUMIFS(ThuTien!$D$2:$D$2000,ThuTien!$B$2:$B$2000,A315))</f>
        <v/>
      </c>
      <c r="P315" s="11" t="str">
        <f aca="false">IF(A315="","",N315-O315)</f>
        <v/>
      </c>
      <c r="Q315" s="9"/>
      <c r="R315" s="10" t="str">
        <f aca="true">IF(A315="","",IF(AND(Q315&lt;&gt;"",P315&gt;0,TODAY()&gt;Q315),TODAY()-Q315,0))</f>
        <v/>
      </c>
      <c r="S315" s="10" t="str">
        <f aca="false">IF(A315="","",IF(N315=0,"Chưa có tiền hàng",IF(P315&lt;0,"Thu thừa",IF(P315=0,"Đã thu đủ",IF(O315&gt;0,"Thu một phần","Chưa thu")))))</f>
        <v/>
      </c>
      <c r="T315" s="10" t="str">
        <f aca="false">IF(A315="","",IF(AND(F315="Đã giao",H315&lt;&gt;"Đã xuất"),"Đã giao - CHƯA XUẤT HĐ",IF(AND(H315="Đã xuất",F315="Chưa giao"),"Đã xuất HĐ - chưa giao",IF(F315="","Chưa cập nhật giao hàng",IF(R315&gt;0,"Quá hạn "&amp;R315&amp;" ngày - đòi tiền",IF(P315&gt;0,"Chờ thu tiền",IF(P315&lt;0,"Kiểm tra thu thừa",IF(AND(F315="Đã giao",H315="Đã xuất"),"Hoàn tất","Theo dõi"))))))))</f>
        <v/>
      </c>
      <c r="U315" s="8"/>
    </row>
    <row r="316" customFormat="false" ht="15" hidden="false" customHeight="false" outlineLevel="0" collapsed="false">
      <c r="A316" s="8"/>
      <c r="B316" s="9"/>
      <c r="C316" s="8"/>
      <c r="D316" s="10" t="str">
        <f aca="false">IF(C316="","",IFERROR(VLOOKUP(C316,KhachHang!$A$2:$B$200,2,FALSE())&amp;"",""))</f>
        <v/>
      </c>
      <c r="E316" s="8"/>
      <c r="F316" s="8"/>
      <c r="G316" s="9"/>
      <c r="H316" s="8"/>
      <c r="I316" s="8"/>
      <c r="J316" s="9"/>
      <c r="K316" s="11" t="str">
        <f aca="false">IF(A316="","",SUMIFS(ChiTiet!$I$2:$I$2000,ChiTiet!$A$2:$A$2000,A316))</f>
        <v/>
      </c>
      <c r="L316" s="12"/>
      <c r="M316" s="11" t="str">
        <f aca="false">IF(A316="","",ROUND(K316*IF(L316="",0.08,L316),0))</f>
        <v/>
      </c>
      <c r="N316" s="11" t="str">
        <f aca="false">IF(A316="","",K316+M316)</f>
        <v/>
      </c>
      <c r="O316" s="11" t="str">
        <f aca="false">IF(A316="","",SUMIFS(ThuTien!$D$2:$D$2000,ThuTien!$B$2:$B$2000,A316))</f>
        <v/>
      </c>
      <c r="P316" s="11" t="str">
        <f aca="false">IF(A316="","",N316-O316)</f>
        <v/>
      </c>
      <c r="Q316" s="9"/>
      <c r="R316" s="10" t="str">
        <f aca="true">IF(A316="","",IF(AND(Q316&lt;&gt;"",P316&gt;0,TODAY()&gt;Q316),TODAY()-Q316,0))</f>
        <v/>
      </c>
      <c r="S316" s="10" t="str">
        <f aca="false">IF(A316="","",IF(N316=0,"Chưa có tiền hàng",IF(P316&lt;0,"Thu thừa",IF(P316=0,"Đã thu đủ",IF(O316&gt;0,"Thu một phần","Chưa thu")))))</f>
        <v/>
      </c>
      <c r="T316" s="10" t="str">
        <f aca="false">IF(A316="","",IF(AND(F316="Đã giao",H316&lt;&gt;"Đã xuất"),"Đã giao - CHƯA XUẤT HĐ",IF(AND(H316="Đã xuất",F316="Chưa giao"),"Đã xuất HĐ - chưa giao",IF(F316="","Chưa cập nhật giao hàng",IF(R316&gt;0,"Quá hạn "&amp;R316&amp;" ngày - đòi tiền",IF(P316&gt;0,"Chờ thu tiền",IF(P316&lt;0,"Kiểm tra thu thừa",IF(AND(F316="Đã giao",H316="Đã xuất"),"Hoàn tất","Theo dõi"))))))))</f>
        <v/>
      </c>
      <c r="U316" s="8"/>
    </row>
    <row r="317" customFormat="false" ht="15" hidden="false" customHeight="false" outlineLevel="0" collapsed="false">
      <c r="A317" s="8"/>
      <c r="B317" s="9"/>
      <c r="C317" s="8"/>
      <c r="D317" s="10" t="str">
        <f aca="false">IF(C317="","",IFERROR(VLOOKUP(C317,KhachHang!$A$2:$B$200,2,FALSE())&amp;"",""))</f>
        <v/>
      </c>
      <c r="E317" s="8"/>
      <c r="F317" s="8"/>
      <c r="G317" s="9"/>
      <c r="H317" s="8"/>
      <c r="I317" s="8"/>
      <c r="J317" s="9"/>
      <c r="K317" s="11" t="str">
        <f aca="false">IF(A317="","",SUMIFS(ChiTiet!$I$2:$I$2000,ChiTiet!$A$2:$A$2000,A317))</f>
        <v/>
      </c>
      <c r="L317" s="12"/>
      <c r="M317" s="11" t="str">
        <f aca="false">IF(A317="","",ROUND(K317*IF(L317="",0.08,L317),0))</f>
        <v/>
      </c>
      <c r="N317" s="11" t="str">
        <f aca="false">IF(A317="","",K317+M317)</f>
        <v/>
      </c>
      <c r="O317" s="11" t="str">
        <f aca="false">IF(A317="","",SUMIFS(ThuTien!$D$2:$D$2000,ThuTien!$B$2:$B$2000,A317))</f>
        <v/>
      </c>
      <c r="P317" s="11" t="str">
        <f aca="false">IF(A317="","",N317-O317)</f>
        <v/>
      </c>
      <c r="Q317" s="9"/>
      <c r="R317" s="10" t="str">
        <f aca="true">IF(A317="","",IF(AND(Q317&lt;&gt;"",P317&gt;0,TODAY()&gt;Q317),TODAY()-Q317,0))</f>
        <v/>
      </c>
      <c r="S317" s="10" t="str">
        <f aca="false">IF(A317="","",IF(N317=0,"Chưa có tiền hàng",IF(P317&lt;0,"Thu thừa",IF(P317=0,"Đã thu đủ",IF(O317&gt;0,"Thu một phần","Chưa thu")))))</f>
        <v/>
      </c>
      <c r="T317" s="10" t="str">
        <f aca="false">IF(A317="","",IF(AND(F317="Đã giao",H317&lt;&gt;"Đã xuất"),"Đã giao - CHƯA XUẤT HĐ",IF(AND(H317="Đã xuất",F317="Chưa giao"),"Đã xuất HĐ - chưa giao",IF(F317="","Chưa cập nhật giao hàng",IF(R317&gt;0,"Quá hạn "&amp;R317&amp;" ngày - đòi tiền",IF(P317&gt;0,"Chờ thu tiền",IF(P317&lt;0,"Kiểm tra thu thừa",IF(AND(F317="Đã giao",H317="Đã xuất"),"Hoàn tất","Theo dõi"))))))))</f>
        <v/>
      </c>
      <c r="U317" s="8"/>
    </row>
    <row r="318" customFormat="false" ht="15" hidden="false" customHeight="false" outlineLevel="0" collapsed="false">
      <c r="A318" s="8"/>
      <c r="B318" s="9"/>
      <c r="C318" s="8"/>
      <c r="D318" s="10" t="str">
        <f aca="false">IF(C318="","",IFERROR(VLOOKUP(C318,KhachHang!$A$2:$B$200,2,FALSE())&amp;"",""))</f>
        <v/>
      </c>
      <c r="E318" s="8"/>
      <c r="F318" s="8"/>
      <c r="G318" s="9"/>
      <c r="H318" s="8"/>
      <c r="I318" s="8"/>
      <c r="J318" s="9"/>
      <c r="K318" s="11" t="str">
        <f aca="false">IF(A318="","",SUMIFS(ChiTiet!$I$2:$I$2000,ChiTiet!$A$2:$A$2000,A318))</f>
        <v/>
      </c>
      <c r="L318" s="12"/>
      <c r="M318" s="11" t="str">
        <f aca="false">IF(A318="","",ROUND(K318*IF(L318="",0.08,L318),0))</f>
        <v/>
      </c>
      <c r="N318" s="11" t="str">
        <f aca="false">IF(A318="","",K318+M318)</f>
        <v/>
      </c>
      <c r="O318" s="11" t="str">
        <f aca="false">IF(A318="","",SUMIFS(ThuTien!$D$2:$D$2000,ThuTien!$B$2:$B$2000,A318))</f>
        <v/>
      </c>
      <c r="P318" s="11" t="str">
        <f aca="false">IF(A318="","",N318-O318)</f>
        <v/>
      </c>
      <c r="Q318" s="9"/>
      <c r="R318" s="10" t="str">
        <f aca="true">IF(A318="","",IF(AND(Q318&lt;&gt;"",P318&gt;0,TODAY()&gt;Q318),TODAY()-Q318,0))</f>
        <v/>
      </c>
      <c r="S318" s="10" t="str">
        <f aca="false">IF(A318="","",IF(N318=0,"Chưa có tiền hàng",IF(P318&lt;0,"Thu thừa",IF(P318=0,"Đã thu đủ",IF(O318&gt;0,"Thu một phần","Chưa thu")))))</f>
        <v/>
      </c>
      <c r="T318" s="10" t="str">
        <f aca="false">IF(A318="","",IF(AND(F318="Đã giao",H318&lt;&gt;"Đã xuất"),"Đã giao - CHƯA XUẤT HĐ",IF(AND(H318="Đã xuất",F318="Chưa giao"),"Đã xuất HĐ - chưa giao",IF(F318="","Chưa cập nhật giao hàng",IF(R318&gt;0,"Quá hạn "&amp;R318&amp;" ngày - đòi tiền",IF(P318&gt;0,"Chờ thu tiền",IF(P318&lt;0,"Kiểm tra thu thừa",IF(AND(F318="Đã giao",H318="Đã xuất"),"Hoàn tất","Theo dõi"))))))))</f>
        <v/>
      </c>
      <c r="U318" s="8"/>
    </row>
    <row r="319" customFormat="false" ht="15" hidden="false" customHeight="false" outlineLevel="0" collapsed="false">
      <c r="A319" s="8"/>
      <c r="B319" s="9"/>
      <c r="C319" s="8"/>
      <c r="D319" s="10" t="str">
        <f aca="false">IF(C319="","",IFERROR(VLOOKUP(C319,KhachHang!$A$2:$B$200,2,FALSE())&amp;"",""))</f>
        <v/>
      </c>
      <c r="E319" s="8"/>
      <c r="F319" s="8"/>
      <c r="G319" s="9"/>
      <c r="H319" s="8"/>
      <c r="I319" s="8"/>
      <c r="J319" s="9"/>
      <c r="K319" s="11" t="str">
        <f aca="false">IF(A319="","",SUMIFS(ChiTiet!$I$2:$I$2000,ChiTiet!$A$2:$A$2000,A319))</f>
        <v/>
      </c>
      <c r="L319" s="12"/>
      <c r="M319" s="11" t="str">
        <f aca="false">IF(A319="","",ROUND(K319*IF(L319="",0.08,L319),0))</f>
        <v/>
      </c>
      <c r="N319" s="11" t="str">
        <f aca="false">IF(A319="","",K319+M319)</f>
        <v/>
      </c>
      <c r="O319" s="11" t="str">
        <f aca="false">IF(A319="","",SUMIFS(ThuTien!$D$2:$D$2000,ThuTien!$B$2:$B$2000,A319))</f>
        <v/>
      </c>
      <c r="P319" s="11" t="str">
        <f aca="false">IF(A319="","",N319-O319)</f>
        <v/>
      </c>
      <c r="Q319" s="9"/>
      <c r="R319" s="10" t="str">
        <f aca="true">IF(A319="","",IF(AND(Q319&lt;&gt;"",P319&gt;0,TODAY()&gt;Q319),TODAY()-Q319,0))</f>
        <v/>
      </c>
      <c r="S319" s="10" t="str">
        <f aca="false">IF(A319="","",IF(N319=0,"Chưa có tiền hàng",IF(P319&lt;0,"Thu thừa",IF(P319=0,"Đã thu đủ",IF(O319&gt;0,"Thu một phần","Chưa thu")))))</f>
        <v/>
      </c>
      <c r="T319" s="10" t="str">
        <f aca="false">IF(A319="","",IF(AND(F319="Đã giao",H319&lt;&gt;"Đã xuất"),"Đã giao - CHƯA XUẤT HĐ",IF(AND(H319="Đã xuất",F319="Chưa giao"),"Đã xuất HĐ - chưa giao",IF(F319="","Chưa cập nhật giao hàng",IF(R319&gt;0,"Quá hạn "&amp;R319&amp;" ngày - đòi tiền",IF(P319&gt;0,"Chờ thu tiền",IF(P319&lt;0,"Kiểm tra thu thừa",IF(AND(F319="Đã giao",H319="Đã xuất"),"Hoàn tất","Theo dõi"))))))))</f>
        <v/>
      </c>
      <c r="U319" s="8"/>
    </row>
    <row r="320" customFormat="false" ht="15" hidden="false" customHeight="false" outlineLevel="0" collapsed="false">
      <c r="A320" s="8"/>
      <c r="B320" s="9"/>
      <c r="C320" s="8"/>
      <c r="D320" s="10" t="str">
        <f aca="false">IF(C320="","",IFERROR(VLOOKUP(C320,KhachHang!$A$2:$B$200,2,FALSE())&amp;"",""))</f>
        <v/>
      </c>
      <c r="E320" s="8"/>
      <c r="F320" s="8"/>
      <c r="G320" s="9"/>
      <c r="H320" s="8"/>
      <c r="I320" s="8"/>
      <c r="J320" s="9"/>
      <c r="K320" s="11" t="str">
        <f aca="false">IF(A320="","",SUMIFS(ChiTiet!$I$2:$I$2000,ChiTiet!$A$2:$A$2000,A320))</f>
        <v/>
      </c>
      <c r="L320" s="12"/>
      <c r="M320" s="11" t="str">
        <f aca="false">IF(A320="","",ROUND(K320*IF(L320="",0.08,L320),0))</f>
        <v/>
      </c>
      <c r="N320" s="11" t="str">
        <f aca="false">IF(A320="","",K320+M320)</f>
        <v/>
      </c>
      <c r="O320" s="11" t="str">
        <f aca="false">IF(A320="","",SUMIFS(ThuTien!$D$2:$D$2000,ThuTien!$B$2:$B$2000,A320))</f>
        <v/>
      </c>
      <c r="P320" s="11" t="str">
        <f aca="false">IF(A320="","",N320-O320)</f>
        <v/>
      </c>
      <c r="Q320" s="9"/>
      <c r="R320" s="10" t="str">
        <f aca="true">IF(A320="","",IF(AND(Q320&lt;&gt;"",P320&gt;0,TODAY()&gt;Q320),TODAY()-Q320,0))</f>
        <v/>
      </c>
      <c r="S320" s="10" t="str">
        <f aca="false">IF(A320="","",IF(N320=0,"Chưa có tiền hàng",IF(P320&lt;0,"Thu thừa",IF(P320=0,"Đã thu đủ",IF(O320&gt;0,"Thu một phần","Chưa thu")))))</f>
        <v/>
      </c>
      <c r="T320" s="10" t="str">
        <f aca="false">IF(A320="","",IF(AND(F320="Đã giao",H320&lt;&gt;"Đã xuất"),"Đã giao - CHƯA XUẤT HĐ",IF(AND(H320="Đã xuất",F320="Chưa giao"),"Đã xuất HĐ - chưa giao",IF(F320="","Chưa cập nhật giao hàng",IF(R320&gt;0,"Quá hạn "&amp;R320&amp;" ngày - đòi tiền",IF(P320&gt;0,"Chờ thu tiền",IF(P320&lt;0,"Kiểm tra thu thừa",IF(AND(F320="Đã giao",H320="Đã xuất"),"Hoàn tất","Theo dõi"))))))))</f>
        <v/>
      </c>
      <c r="U320" s="8"/>
    </row>
    <row r="321" customFormat="false" ht="15" hidden="false" customHeight="false" outlineLevel="0" collapsed="false">
      <c r="A321" s="8"/>
      <c r="B321" s="9"/>
      <c r="C321" s="8"/>
      <c r="D321" s="10" t="str">
        <f aca="false">IF(C321="","",IFERROR(VLOOKUP(C321,KhachHang!$A$2:$B$200,2,FALSE())&amp;"",""))</f>
        <v/>
      </c>
      <c r="E321" s="8"/>
      <c r="F321" s="8"/>
      <c r="G321" s="9"/>
      <c r="H321" s="8"/>
      <c r="I321" s="8"/>
      <c r="J321" s="9"/>
      <c r="K321" s="11" t="str">
        <f aca="false">IF(A321="","",SUMIFS(ChiTiet!$I$2:$I$2000,ChiTiet!$A$2:$A$2000,A321))</f>
        <v/>
      </c>
      <c r="L321" s="12"/>
      <c r="M321" s="11" t="str">
        <f aca="false">IF(A321="","",ROUND(K321*IF(L321="",0.08,L321),0))</f>
        <v/>
      </c>
      <c r="N321" s="11" t="str">
        <f aca="false">IF(A321="","",K321+M321)</f>
        <v/>
      </c>
      <c r="O321" s="11" t="str">
        <f aca="false">IF(A321="","",SUMIFS(ThuTien!$D$2:$D$2000,ThuTien!$B$2:$B$2000,A321))</f>
        <v/>
      </c>
      <c r="P321" s="11" t="str">
        <f aca="false">IF(A321="","",N321-O321)</f>
        <v/>
      </c>
      <c r="Q321" s="9"/>
      <c r="R321" s="10" t="str">
        <f aca="true">IF(A321="","",IF(AND(Q321&lt;&gt;"",P321&gt;0,TODAY()&gt;Q321),TODAY()-Q321,0))</f>
        <v/>
      </c>
      <c r="S321" s="10" t="str">
        <f aca="false">IF(A321="","",IF(N321=0,"Chưa có tiền hàng",IF(P321&lt;0,"Thu thừa",IF(P321=0,"Đã thu đủ",IF(O321&gt;0,"Thu một phần","Chưa thu")))))</f>
        <v/>
      </c>
      <c r="T321" s="10" t="str">
        <f aca="false">IF(A321="","",IF(AND(F321="Đã giao",H321&lt;&gt;"Đã xuất"),"Đã giao - CHƯA XUẤT HĐ",IF(AND(H321="Đã xuất",F321="Chưa giao"),"Đã xuất HĐ - chưa giao",IF(F321="","Chưa cập nhật giao hàng",IF(R321&gt;0,"Quá hạn "&amp;R321&amp;" ngày - đòi tiền",IF(P321&gt;0,"Chờ thu tiền",IF(P321&lt;0,"Kiểm tra thu thừa",IF(AND(F321="Đã giao",H321="Đã xuất"),"Hoàn tất","Theo dõi"))))))))</f>
        <v/>
      </c>
      <c r="U321" s="8"/>
    </row>
    <row r="322" customFormat="false" ht="15" hidden="false" customHeight="false" outlineLevel="0" collapsed="false">
      <c r="A322" s="8"/>
      <c r="B322" s="9"/>
      <c r="C322" s="8"/>
      <c r="D322" s="10" t="str">
        <f aca="false">IF(C322="","",IFERROR(VLOOKUP(C322,KhachHang!$A$2:$B$200,2,FALSE())&amp;"",""))</f>
        <v/>
      </c>
      <c r="E322" s="8"/>
      <c r="F322" s="8"/>
      <c r="G322" s="9"/>
      <c r="H322" s="8"/>
      <c r="I322" s="8"/>
      <c r="J322" s="9"/>
      <c r="K322" s="11" t="str">
        <f aca="false">IF(A322="","",SUMIFS(ChiTiet!$I$2:$I$2000,ChiTiet!$A$2:$A$2000,A322))</f>
        <v/>
      </c>
      <c r="L322" s="12"/>
      <c r="M322" s="11" t="str">
        <f aca="false">IF(A322="","",ROUND(K322*IF(L322="",0.08,L322),0))</f>
        <v/>
      </c>
      <c r="N322" s="11" t="str">
        <f aca="false">IF(A322="","",K322+M322)</f>
        <v/>
      </c>
      <c r="O322" s="11" t="str">
        <f aca="false">IF(A322="","",SUMIFS(ThuTien!$D$2:$D$2000,ThuTien!$B$2:$B$2000,A322))</f>
        <v/>
      </c>
      <c r="P322" s="11" t="str">
        <f aca="false">IF(A322="","",N322-O322)</f>
        <v/>
      </c>
      <c r="Q322" s="9"/>
      <c r="R322" s="10" t="str">
        <f aca="true">IF(A322="","",IF(AND(Q322&lt;&gt;"",P322&gt;0,TODAY()&gt;Q322),TODAY()-Q322,0))</f>
        <v/>
      </c>
      <c r="S322" s="10" t="str">
        <f aca="false">IF(A322="","",IF(N322=0,"Chưa có tiền hàng",IF(P322&lt;0,"Thu thừa",IF(P322=0,"Đã thu đủ",IF(O322&gt;0,"Thu một phần","Chưa thu")))))</f>
        <v/>
      </c>
      <c r="T322" s="10" t="str">
        <f aca="false">IF(A322="","",IF(AND(F322="Đã giao",H322&lt;&gt;"Đã xuất"),"Đã giao - CHƯA XUẤT HĐ",IF(AND(H322="Đã xuất",F322="Chưa giao"),"Đã xuất HĐ - chưa giao",IF(F322="","Chưa cập nhật giao hàng",IF(R322&gt;0,"Quá hạn "&amp;R322&amp;" ngày - đòi tiền",IF(P322&gt;0,"Chờ thu tiền",IF(P322&lt;0,"Kiểm tra thu thừa",IF(AND(F322="Đã giao",H322="Đã xuất"),"Hoàn tất","Theo dõi"))))))))</f>
        <v/>
      </c>
      <c r="U322" s="8"/>
    </row>
    <row r="323" customFormat="false" ht="15" hidden="false" customHeight="false" outlineLevel="0" collapsed="false">
      <c r="A323" s="8"/>
      <c r="B323" s="9"/>
      <c r="C323" s="8"/>
      <c r="D323" s="10" t="str">
        <f aca="false">IF(C323="","",IFERROR(VLOOKUP(C323,KhachHang!$A$2:$B$200,2,FALSE())&amp;"",""))</f>
        <v/>
      </c>
      <c r="E323" s="8"/>
      <c r="F323" s="8"/>
      <c r="G323" s="9"/>
      <c r="H323" s="8"/>
      <c r="I323" s="8"/>
      <c r="J323" s="9"/>
      <c r="K323" s="11" t="str">
        <f aca="false">IF(A323="","",SUMIFS(ChiTiet!$I$2:$I$2000,ChiTiet!$A$2:$A$2000,A323))</f>
        <v/>
      </c>
      <c r="L323" s="12"/>
      <c r="M323" s="11" t="str">
        <f aca="false">IF(A323="","",ROUND(K323*IF(L323="",0.08,L323),0))</f>
        <v/>
      </c>
      <c r="N323" s="11" t="str">
        <f aca="false">IF(A323="","",K323+M323)</f>
        <v/>
      </c>
      <c r="O323" s="11" t="str">
        <f aca="false">IF(A323="","",SUMIFS(ThuTien!$D$2:$D$2000,ThuTien!$B$2:$B$2000,A323))</f>
        <v/>
      </c>
      <c r="P323" s="11" t="str">
        <f aca="false">IF(A323="","",N323-O323)</f>
        <v/>
      </c>
      <c r="Q323" s="9"/>
      <c r="R323" s="10" t="str">
        <f aca="true">IF(A323="","",IF(AND(Q323&lt;&gt;"",P323&gt;0,TODAY()&gt;Q323),TODAY()-Q323,0))</f>
        <v/>
      </c>
      <c r="S323" s="10" t="str">
        <f aca="false">IF(A323="","",IF(N323=0,"Chưa có tiền hàng",IF(P323&lt;0,"Thu thừa",IF(P323=0,"Đã thu đủ",IF(O323&gt;0,"Thu một phần","Chưa thu")))))</f>
        <v/>
      </c>
      <c r="T323" s="10" t="str">
        <f aca="false">IF(A323="","",IF(AND(F323="Đã giao",H323&lt;&gt;"Đã xuất"),"Đã giao - CHƯA XUẤT HĐ",IF(AND(H323="Đã xuất",F323="Chưa giao"),"Đã xuất HĐ - chưa giao",IF(F323="","Chưa cập nhật giao hàng",IF(R323&gt;0,"Quá hạn "&amp;R323&amp;" ngày - đòi tiền",IF(P323&gt;0,"Chờ thu tiền",IF(P323&lt;0,"Kiểm tra thu thừa",IF(AND(F323="Đã giao",H323="Đã xuất"),"Hoàn tất","Theo dõi"))))))))</f>
        <v/>
      </c>
      <c r="U323" s="8"/>
    </row>
    <row r="324" customFormat="false" ht="15" hidden="false" customHeight="false" outlineLevel="0" collapsed="false">
      <c r="A324" s="8"/>
      <c r="B324" s="9"/>
      <c r="C324" s="8"/>
      <c r="D324" s="10" t="str">
        <f aca="false">IF(C324="","",IFERROR(VLOOKUP(C324,KhachHang!$A$2:$B$200,2,FALSE())&amp;"",""))</f>
        <v/>
      </c>
      <c r="E324" s="8"/>
      <c r="F324" s="8"/>
      <c r="G324" s="9"/>
      <c r="H324" s="8"/>
      <c r="I324" s="8"/>
      <c r="J324" s="9"/>
      <c r="K324" s="11" t="str">
        <f aca="false">IF(A324="","",SUMIFS(ChiTiet!$I$2:$I$2000,ChiTiet!$A$2:$A$2000,A324))</f>
        <v/>
      </c>
      <c r="L324" s="12"/>
      <c r="M324" s="11" t="str">
        <f aca="false">IF(A324="","",ROUND(K324*IF(L324="",0.08,L324),0))</f>
        <v/>
      </c>
      <c r="N324" s="11" t="str">
        <f aca="false">IF(A324="","",K324+M324)</f>
        <v/>
      </c>
      <c r="O324" s="11" t="str">
        <f aca="false">IF(A324="","",SUMIFS(ThuTien!$D$2:$D$2000,ThuTien!$B$2:$B$2000,A324))</f>
        <v/>
      </c>
      <c r="P324" s="11" t="str">
        <f aca="false">IF(A324="","",N324-O324)</f>
        <v/>
      </c>
      <c r="Q324" s="9"/>
      <c r="R324" s="10" t="str">
        <f aca="true">IF(A324="","",IF(AND(Q324&lt;&gt;"",P324&gt;0,TODAY()&gt;Q324),TODAY()-Q324,0))</f>
        <v/>
      </c>
      <c r="S324" s="10" t="str">
        <f aca="false">IF(A324="","",IF(N324=0,"Chưa có tiền hàng",IF(P324&lt;0,"Thu thừa",IF(P324=0,"Đã thu đủ",IF(O324&gt;0,"Thu một phần","Chưa thu")))))</f>
        <v/>
      </c>
      <c r="T324" s="10" t="str">
        <f aca="false">IF(A324="","",IF(AND(F324="Đã giao",H324&lt;&gt;"Đã xuất"),"Đã giao - CHƯA XUẤT HĐ",IF(AND(H324="Đã xuất",F324="Chưa giao"),"Đã xuất HĐ - chưa giao",IF(F324="","Chưa cập nhật giao hàng",IF(R324&gt;0,"Quá hạn "&amp;R324&amp;" ngày - đòi tiền",IF(P324&gt;0,"Chờ thu tiền",IF(P324&lt;0,"Kiểm tra thu thừa",IF(AND(F324="Đã giao",H324="Đã xuất"),"Hoàn tất","Theo dõi"))))))))</f>
        <v/>
      </c>
      <c r="U324" s="8"/>
    </row>
    <row r="325" customFormat="false" ht="15" hidden="false" customHeight="false" outlineLevel="0" collapsed="false">
      <c r="A325" s="8"/>
      <c r="B325" s="9"/>
      <c r="C325" s="8"/>
      <c r="D325" s="10" t="str">
        <f aca="false">IF(C325="","",IFERROR(VLOOKUP(C325,KhachHang!$A$2:$B$200,2,FALSE())&amp;"",""))</f>
        <v/>
      </c>
      <c r="E325" s="8"/>
      <c r="F325" s="8"/>
      <c r="G325" s="9"/>
      <c r="H325" s="8"/>
      <c r="I325" s="8"/>
      <c r="J325" s="9"/>
      <c r="K325" s="11" t="str">
        <f aca="false">IF(A325="","",SUMIFS(ChiTiet!$I$2:$I$2000,ChiTiet!$A$2:$A$2000,A325))</f>
        <v/>
      </c>
      <c r="L325" s="12"/>
      <c r="M325" s="11" t="str">
        <f aca="false">IF(A325="","",ROUND(K325*IF(L325="",0.08,L325),0))</f>
        <v/>
      </c>
      <c r="N325" s="11" t="str">
        <f aca="false">IF(A325="","",K325+M325)</f>
        <v/>
      </c>
      <c r="O325" s="11" t="str">
        <f aca="false">IF(A325="","",SUMIFS(ThuTien!$D$2:$D$2000,ThuTien!$B$2:$B$2000,A325))</f>
        <v/>
      </c>
      <c r="P325" s="11" t="str">
        <f aca="false">IF(A325="","",N325-O325)</f>
        <v/>
      </c>
      <c r="Q325" s="9"/>
      <c r="R325" s="10" t="str">
        <f aca="true">IF(A325="","",IF(AND(Q325&lt;&gt;"",P325&gt;0,TODAY()&gt;Q325),TODAY()-Q325,0))</f>
        <v/>
      </c>
      <c r="S325" s="10" t="str">
        <f aca="false">IF(A325="","",IF(N325=0,"Chưa có tiền hàng",IF(P325&lt;0,"Thu thừa",IF(P325=0,"Đã thu đủ",IF(O325&gt;0,"Thu một phần","Chưa thu")))))</f>
        <v/>
      </c>
      <c r="T325" s="10" t="str">
        <f aca="false">IF(A325="","",IF(AND(F325="Đã giao",H325&lt;&gt;"Đã xuất"),"Đã giao - CHƯA XUẤT HĐ",IF(AND(H325="Đã xuất",F325="Chưa giao"),"Đã xuất HĐ - chưa giao",IF(F325="","Chưa cập nhật giao hàng",IF(R325&gt;0,"Quá hạn "&amp;R325&amp;" ngày - đòi tiền",IF(P325&gt;0,"Chờ thu tiền",IF(P325&lt;0,"Kiểm tra thu thừa",IF(AND(F325="Đã giao",H325="Đã xuất"),"Hoàn tất","Theo dõi"))))))))</f>
        <v/>
      </c>
      <c r="U325" s="8"/>
    </row>
    <row r="326" customFormat="false" ht="15" hidden="false" customHeight="false" outlineLevel="0" collapsed="false">
      <c r="A326" s="8"/>
      <c r="B326" s="9"/>
      <c r="C326" s="8"/>
      <c r="D326" s="10" t="str">
        <f aca="false">IF(C326="","",IFERROR(VLOOKUP(C326,KhachHang!$A$2:$B$200,2,FALSE())&amp;"",""))</f>
        <v/>
      </c>
      <c r="E326" s="8"/>
      <c r="F326" s="8"/>
      <c r="G326" s="9"/>
      <c r="H326" s="8"/>
      <c r="I326" s="8"/>
      <c r="J326" s="9"/>
      <c r="K326" s="11" t="str">
        <f aca="false">IF(A326="","",SUMIFS(ChiTiet!$I$2:$I$2000,ChiTiet!$A$2:$A$2000,A326))</f>
        <v/>
      </c>
      <c r="L326" s="12"/>
      <c r="M326" s="11" t="str">
        <f aca="false">IF(A326="","",ROUND(K326*IF(L326="",0.08,L326),0))</f>
        <v/>
      </c>
      <c r="N326" s="11" t="str">
        <f aca="false">IF(A326="","",K326+M326)</f>
        <v/>
      </c>
      <c r="O326" s="11" t="str">
        <f aca="false">IF(A326="","",SUMIFS(ThuTien!$D$2:$D$2000,ThuTien!$B$2:$B$2000,A326))</f>
        <v/>
      </c>
      <c r="P326" s="11" t="str">
        <f aca="false">IF(A326="","",N326-O326)</f>
        <v/>
      </c>
      <c r="Q326" s="9"/>
      <c r="R326" s="10" t="str">
        <f aca="true">IF(A326="","",IF(AND(Q326&lt;&gt;"",P326&gt;0,TODAY()&gt;Q326),TODAY()-Q326,0))</f>
        <v/>
      </c>
      <c r="S326" s="10" t="str">
        <f aca="false">IF(A326="","",IF(N326=0,"Chưa có tiền hàng",IF(P326&lt;0,"Thu thừa",IF(P326=0,"Đã thu đủ",IF(O326&gt;0,"Thu một phần","Chưa thu")))))</f>
        <v/>
      </c>
      <c r="T326" s="10" t="str">
        <f aca="false">IF(A326="","",IF(AND(F326="Đã giao",H326&lt;&gt;"Đã xuất"),"Đã giao - CHƯA XUẤT HĐ",IF(AND(H326="Đã xuất",F326="Chưa giao"),"Đã xuất HĐ - chưa giao",IF(F326="","Chưa cập nhật giao hàng",IF(R326&gt;0,"Quá hạn "&amp;R326&amp;" ngày - đòi tiền",IF(P326&gt;0,"Chờ thu tiền",IF(P326&lt;0,"Kiểm tra thu thừa",IF(AND(F326="Đã giao",H326="Đã xuất"),"Hoàn tất","Theo dõi"))))))))</f>
        <v/>
      </c>
      <c r="U326" s="8"/>
    </row>
    <row r="327" customFormat="false" ht="15" hidden="false" customHeight="false" outlineLevel="0" collapsed="false">
      <c r="A327" s="8"/>
      <c r="B327" s="9"/>
      <c r="C327" s="8"/>
      <c r="D327" s="10" t="str">
        <f aca="false">IF(C327="","",IFERROR(VLOOKUP(C327,KhachHang!$A$2:$B$200,2,FALSE())&amp;"",""))</f>
        <v/>
      </c>
      <c r="E327" s="8"/>
      <c r="F327" s="8"/>
      <c r="G327" s="9"/>
      <c r="H327" s="8"/>
      <c r="I327" s="8"/>
      <c r="J327" s="9"/>
      <c r="K327" s="11" t="str">
        <f aca="false">IF(A327="","",SUMIFS(ChiTiet!$I$2:$I$2000,ChiTiet!$A$2:$A$2000,A327))</f>
        <v/>
      </c>
      <c r="L327" s="12"/>
      <c r="M327" s="11" t="str">
        <f aca="false">IF(A327="","",ROUND(K327*IF(L327="",0.08,L327),0))</f>
        <v/>
      </c>
      <c r="N327" s="11" t="str">
        <f aca="false">IF(A327="","",K327+M327)</f>
        <v/>
      </c>
      <c r="O327" s="11" t="str">
        <f aca="false">IF(A327="","",SUMIFS(ThuTien!$D$2:$D$2000,ThuTien!$B$2:$B$2000,A327))</f>
        <v/>
      </c>
      <c r="P327" s="11" t="str">
        <f aca="false">IF(A327="","",N327-O327)</f>
        <v/>
      </c>
      <c r="Q327" s="9"/>
      <c r="R327" s="10" t="str">
        <f aca="true">IF(A327="","",IF(AND(Q327&lt;&gt;"",P327&gt;0,TODAY()&gt;Q327),TODAY()-Q327,0))</f>
        <v/>
      </c>
      <c r="S327" s="10" t="str">
        <f aca="false">IF(A327="","",IF(N327=0,"Chưa có tiền hàng",IF(P327&lt;0,"Thu thừa",IF(P327=0,"Đã thu đủ",IF(O327&gt;0,"Thu một phần","Chưa thu")))))</f>
        <v/>
      </c>
      <c r="T327" s="10" t="str">
        <f aca="false">IF(A327="","",IF(AND(F327="Đã giao",H327&lt;&gt;"Đã xuất"),"Đã giao - CHƯA XUẤT HĐ",IF(AND(H327="Đã xuất",F327="Chưa giao"),"Đã xuất HĐ - chưa giao",IF(F327="","Chưa cập nhật giao hàng",IF(R327&gt;0,"Quá hạn "&amp;R327&amp;" ngày - đòi tiền",IF(P327&gt;0,"Chờ thu tiền",IF(P327&lt;0,"Kiểm tra thu thừa",IF(AND(F327="Đã giao",H327="Đã xuất"),"Hoàn tất","Theo dõi"))))))))</f>
        <v/>
      </c>
      <c r="U327" s="8"/>
    </row>
    <row r="328" customFormat="false" ht="15" hidden="false" customHeight="false" outlineLevel="0" collapsed="false">
      <c r="A328" s="8"/>
      <c r="B328" s="9"/>
      <c r="C328" s="8"/>
      <c r="D328" s="10" t="str">
        <f aca="false">IF(C328="","",IFERROR(VLOOKUP(C328,KhachHang!$A$2:$B$200,2,FALSE())&amp;"",""))</f>
        <v/>
      </c>
      <c r="E328" s="8"/>
      <c r="F328" s="8"/>
      <c r="G328" s="9"/>
      <c r="H328" s="8"/>
      <c r="I328" s="8"/>
      <c r="J328" s="9"/>
      <c r="K328" s="11" t="str">
        <f aca="false">IF(A328="","",SUMIFS(ChiTiet!$I$2:$I$2000,ChiTiet!$A$2:$A$2000,A328))</f>
        <v/>
      </c>
      <c r="L328" s="12"/>
      <c r="M328" s="11" t="str">
        <f aca="false">IF(A328="","",ROUND(K328*IF(L328="",0.08,L328),0))</f>
        <v/>
      </c>
      <c r="N328" s="11" t="str">
        <f aca="false">IF(A328="","",K328+M328)</f>
        <v/>
      </c>
      <c r="O328" s="11" t="str">
        <f aca="false">IF(A328="","",SUMIFS(ThuTien!$D$2:$D$2000,ThuTien!$B$2:$B$2000,A328))</f>
        <v/>
      </c>
      <c r="P328" s="11" t="str">
        <f aca="false">IF(A328="","",N328-O328)</f>
        <v/>
      </c>
      <c r="Q328" s="9"/>
      <c r="R328" s="10" t="str">
        <f aca="true">IF(A328="","",IF(AND(Q328&lt;&gt;"",P328&gt;0,TODAY()&gt;Q328),TODAY()-Q328,0))</f>
        <v/>
      </c>
      <c r="S328" s="10" t="str">
        <f aca="false">IF(A328="","",IF(N328=0,"Chưa có tiền hàng",IF(P328&lt;0,"Thu thừa",IF(P328=0,"Đã thu đủ",IF(O328&gt;0,"Thu một phần","Chưa thu")))))</f>
        <v/>
      </c>
      <c r="T328" s="10" t="str">
        <f aca="false">IF(A328="","",IF(AND(F328="Đã giao",H328&lt;&gt;"Đã xuất"),"Đã giao - CHƯA XUẤT HĐ",IF(AND(H328="Đã xuất",F328="Chưa giao"),"Đã xuất HĐ - chưa giao",IF(F328="","Chưa cập nhật giao hàng",IF(R328&gt;0,"Quá hạn "&amp;R328&amp;" ngày - đòi tiền",IF(P328&gt;0,"Chờ thu tiền",IF(P328&lt;0,"Kiểm tra thu thừa",IF(AND(F328="Đã giao",H328="Đã xuất"),"Hoàn tất","Theo dõi"))))))))</f>
        <v/>
      </c>
      <c r="U328" s="8"/>
    </row>
    <row r="329" customFormat="false" ht="15" hidden="false" customHeight="false" outlineLevel="0" collapsed="false">
      <c r="A329" s="8"/>
      <c r="B329" s="9"/>
      <c r="C329" s="8"/>
      <c r="D329" s="10" t="str">
        <f aca="false">IF(C329="","",IFERROR(VLOOKUP(C329,KhachHang!$A$2:$B$200,2,FALSE())&amp;"",""))</f>
        <v/>
      </c>
      <c r="E329" s="8"/>
      <c r="F329" s="8"/>
      <c r="G329" s="9"/>
      <c r="H329" s="8"/>
      <c r="I329" s="8"/>
      <c r="J329" s="9"/>
      <c r="K329" s="11" t="str">
        <f aca="false">IF(A329="","",SUMIFS(ChiTiet!$I$2:$I$2000,ChiTiet!$A$2:$A$2000,A329))</f>
        <v/>
      </c>
      <c r="L329" s="12"/>
      <c r="M329" s="11" t="str">
        <f aca="false">IF(A329="","",ROUND(K329*IF(L329="",0.08,L329),0))</f>
        <v/>
      </c>
      <c r="N329" s="11" t="str">
        <f aca="false">IF(A329="","",K329+M329)</f>
        <v/>
      </c>
      <c r="O329" s="11" t="str">
        <f aca="false">IF(A329="","",SUMIFS(ThuTien!$D$2:$D$2000,ThuTien!$B$2:$B$2000,A329))</f>
        <v/>
      </c>
      <c r="P329" s="11" t="str">
        <f aca="false">IF(A329="","",N329-O329)</f>
        <v/>
      </c>
      <c r="Q329" s="9"/>
      <c r="R329" s="10" t="str">
        <f aca="true">IF(A329="","",IF(AND(Q329&lt;&gt;"",P329&gt;0,TODAY()&gt;Q329),TODAY()-Q329,0))</f>
        <v/>
      </c>
      <c r="S329" s="10" t="str">
        <f aca="false">IF(A329="","",IF(N329=0,"Chưa có tiền hàng",IF(P329&lt;0,"Thu thừa",IF(P329=0,"Đã thu đủ",IF(O329&gt;0,"Thu một phần","Chưa thu")))))</f>
        <v/>
      </c>
      <c r="T329" s="10" t="str">
        <f aca="false">IF(A329="","",IF(AND(F329="Đã giao",H329&lt;&gt;"Đã xuất"),"Đã giao - CHƯA XUẤT HĐ",IF(AND(H329="Đã xuất",F329="Chưa giao"),"Đã xuất HĐ - chưa giao",IF(F329="","Chưa cập nhật giao hàng",IF(R329&gt;0,"Quá hạn "&amp;R329&amp;" ngày - đòi tiền",IF(P329&gt;0,"Chờ thu tiền",IF(P329&lt;0,"Kiểm tra thu thừa",IF(AND(F329="Đã giao",H329="Đã xuất"),"Hoàn tất","Theo dõi"))))))))</f>
        <v/>
      </c>
      <c r="U329" s="8"/>
    </row>
    <row r="330" customFormat="false" ht="15" hidden="false" customHeight="false" outlineLevel="0" collapsed="false">
      <c r="A330" s="8"/>
      <c r="B330" s="9"/>
      <c r="C330" s="8"/>
      <c r="D330" s="10" t="str">
        <f aca="false">IF(C330="","",IFERROR(VLOOKUP(C330,KhachHang!$A$2:$B$200,2,FALSE())&amp;"",""))</f>
        <v/>
      </c>
      <c r="E330" s="8"/>
      <c r="F330" s="8"/>
      <c r="G330" s="9"/>
      <c r="H330" s="8"/>
      <c r="I330" s="8"/>
      <c r="J330" s="9"/>
      <c r="K330" s="11" t="str">
        <f aca="false">IF(A330="","",SUMIFS(ChiTiet!$I$2:$I$2000,ChiTiet!$A$2:$A$2000,A330))</f>
        <v/>
      </c>
      <c r="L330" s="12"/>
      <c r="M330" s="11" t="str">
        <f aca="false">IF(A330="","",ROUND(K330*IF(L330="",0.08,L330),0))</f>
        <v/>
      </c>
      <c r="N330" s="11" t="str">
        <f aca="false">IF(A330="","",K330+M330)</f>
        <v/>
      </c>
      <c r="O330" s="11" t="str">
        <f aca="false">IF(A330="","",SUMIFS(ThuTien!$D$2:$D$2000,ThuTien!$B$2:$B$2000,A330))</f>
        <v/>
      </c>
      <c r="P330" s="11" t="str">
        <f aca="false">IF(A330="","",N330-O330)</f>
        <v/>
      </c>
      <c r="Q330" s="9"/>
      <c r="R330" s="10" t="str">
        <f aca="true">IF(A330="","",IF(AND(Q330&lt;&gt;"",P330&gt;0,TODAY()&gt;Q330),TODAY()-Q330,0))</f>
        <v/>
      </c>
      <c r="S330" s="10" t="str">
        <f aca="false">IF(A330="","",IF(N330=0,"Chưa có tiền hàng",IF(P330&lt;0,"Thu thừa",IF(P330=0,"Đã thu đủ",IF(O330&gt;0,"Thu một phần","Chưa thu")))))</f>
        <v/>
      </c>
      <c r="T330" s="10" t="str">
        <f aca="false">IF(A330="","",IF(AND(F330="Đã giao",H330&lt;&gt;"Đã xuất"),"Đã giao - CHƯA XUẤT HĐ",IF(AND(H330="Đã xuất",F330="Chưa giao"),"Đã xuất HĐ - chưa giao",IF(F330="","Chưa cập nhật giao hàng",IF(R330&gt;0,"Quá hạn "&amp;R330&amp;" ngày - đòi tiền",IF(P330&gt;0,"Chờ thu tiền",IF(P330&lt;0,"Kiểm tra thu thừa",IF(AND(F330="Đã giao",H330="Đã xuất"),"Hoàn tất","Theo dõi"))))))))</f>
        <v/>
      </c>
      <c r="U330" s="8"/>
    </row>
    <row r="331" customFormat="false" ht="15" hidden="false" customHeight="false" outlineLevel="0" collapsed="false">
      <c r="A331" s="8"/>
      <c r="B331" s="9"/>
      <c r="C331" s="8"/>
      <c r="D331" s="10" t="str">
        <f aca="false">IF(C331="","",IFERROR(VLOOKUP(C331,KhachHang!$A$2:$B$200,2,FALSE())&amp;"",""))</f>
        <v/>
      </c>
      <c r="E331" s="8"/>
      <c r="F331" s="8"/>
      <c r="G331" s="9"/>
      <c r="H331" s="8"/>
      <c r="I331" s="8"/>
      <c r="J331" s="9"/>
      <c r="K331" s="11" t="str">
        <f aca="false">IF(A331="","",SUMIFS(ChiTiet!$I$2:$I$2000,ChiTiet!$A$2:$A$2000,A331))</f>
        <v/>
      </c>
      <c r="L331" s="12"/>
      <c r="M331" s="11" t="str">
        <f aca="false">IF(A331="","",ROUND(K331*IF(L331="",0.08,L331),0))</f>
        <v/>
      </c>
      <c r="N331" s="11" t="str">
        <f aca="false">IF(A331="","",K331+M331)</f>
        <v/>
      </c>
      <c r="O331" s="11" t="str">
        <f aca="false">IF(A331="","",SUMIFS(ThuTien!$D$2:$D$2000,ThuTien!$B$2:$B$2000,A331))</f>
        <v/>
      </c>
      <c r="P331" s="11" t="str">
        <f aca="false">IF(A331="","",N331-O331)</f>
        <v/>
      </c>
      <c r="Q331" s="9"/>
      <c r="R331" s="10" t="str">
        <f aca="true">IF(A331="","",IF(AND(Q331&lt;&gt;"",P331&gt;0,TODAY()&gt;Q331),TODAY()-Q331,0))</f>
        <v/>
      </c>
      <c r="S331" s="10" t="str">
        <f aca="false">IF(A331="","",IF(N331=0,"Chưa có tiền hàng",IF(P331&lt;0,"Thu thừa",IF(P331=0,"Đã thu đủ",IF(O331&gt;0,"Thu một phần","Chưa thu")))))</f>
        <v/>
      </c>
      <c r="T331" s="10" t="str">
        <f aca="false">IF(A331="","",IF(AND(F331="Đã giao",H331&lt;&gt;"Đã xuất"),"Đã giao - CHƯA XUẤT HĐ",IF(AND(H331="Đã xuất",F331="Chưa giao"),"Đã xuất HĐ - chưa giao",IF(F331="","Chưa cập nhật giao hàng",IF(R331&gt;0,"Quá hạn "&amp;R331&amp;" ngày - đòi tiền",IF(P331&gt;0,"Chờ thu tiền",IF(P331&lt;0,"Kiểm tra thu thừa",IF(AND(F331="Đã giao",H331="Đã xuất"),"Hoàn tất","Theo dõi"))))))))</f>
        <v/>
      </c>
      <c r="U331" s="8"/>
    </row>
    <row r="332" customFormat="false" ht="15" hidden="false" customHeight="false" outlineLevel="0" collapsed="false">
      <c r="A332" s="8"/>
      <c r="B332" s="9"/>
      <c r="C332" s="8"/>
      <c r="D332" s="10" t="str">
        <f aca="false">IF(C332="","",IFERROR(VLOOKUP(C332,KhachHang!$A$2:$B$200,2,FALSE())&amp;"",""))</f>
        <v/>
      </c>
      <c r="E332" s="8"/>
      <c r="F332" s="8"/>
      <c r="G332" s="9"/>
      <c r="H332" s="8"/>
      <c r="I332" s="8"/>
      <c r="J332" s="9"/>
      <c r="K332" s="11" t="str">
        <f aca="false">IF(A332="","",SUMIFS(ChiTiet!$I$2:$I$2000,ChiTiet!$A$2:$A$2000,A332))</f>
        <v/>
      </c>
      <c r="L332" s="12"/>
      <c r="M332" s="11" t="str">
        <f aca="false">IF(A332="","",ROUND(K332*IF(L332="",0.08,L332),0))</f>
        <v/>
      </c>
      <c r="N332" s="11" t="str">
        <f aca="false">IF(A332="","",K332+M332)</f>
        <v/>
      </c>
      <c r="O332" s="11" t="str">
        <f aca="false">IF(A332="","",SUMIFS(ThuTien!$D$2:$D$2000,ThuTien!$B$2:$B$2000,A332))</f>
        <v/>
      </c>
      <c r="P332" s="11" t="str">
        <f aca="false">IF(A332="","",N332-O332)</f>
        <v/>
      </c>
      <c r="Q332" s="9"/>
      <c r="R332" s="10" t="str">
        <f aca="true">IF(A332="","",IF(AND(Q332&lt;&gt;"",P332&gt;0,TODAY()&gt;Q332),TODAY()-Q332,0))</f>
        <v/>
      </c>
      <c r="S332" s="10" t="str">
        <f aca="false">IF(A332="","",IF(N332=0,"Chưa có tiền hàng",IF(P332&lt;0,"Thu thừa",IF(P332=0,"Đã thu đủ",IF(O332&gt;0,"Thu một phần","Chưa thu")))))</f>
        <v/>
      </c>
      <c r="T332" s="10" t="str">
        <f aca="false">IF(A332="","",IF(AND(F332="Đã giao",H332&lt;&gt;"Đã xuất"),"Đã giao - CHƯA XUẤT HĐ",IF(AND(H332="Đã xuất",F332="Chưa giao"),"Đã xuất HĐ - chưa giao",IF(F332="","Chưa cập nhật giao hàng",IF(R332&gt;0,"Quá hạn "&amp;R332&amp;" ngày - đòi tiền",IF(P332&gt;0,"Chờ thu tiền",IF(P332&lt;0,"Kiểm tra thu thừa",IF(AND(F332="Đã giao",H332="Đã xuất"),"Hoàn tất","Theo dõi"))))))))</f>
        <v/>
      </c>
      <c r="U332" s="8"/>
    </row>
    <row r="333" customFormat="false" ht="15" hidden="false" customHeight="false" outlineLevel="0" collapsed="false">
      <c r="A333" s="8"/>
      <c r="B333" s="9"/>
      <c r="C333" s="8"/>
      <c r="D333" s="10" t="str">
        <f aca="false">IF(C333="","",IFERROR(VLOOKUP(C333,KhachHang!$A$2:$B$200,2,FALSE())&amp;"",""))</f>
        <v/>
      </c>
      <c r="E333" s="8"/>
      <c r="F333" s="8"/>
      <c r="G333" s="9"/>
      <c r="H333" s="8"/>
      <c r="I333" s="8"/>
      <c r="J333" s="9"/>
      <c r="K333" s="11" t="str">
        <f aca="false">IF(A333="","",SUMIFS(ChiTiet!$I$2:$I$2000,ChiTiet!$A$2:$A$2000,A333))</f>
        <v/>
      </c>
      <c r="L333" s="12"/>
      <c r="M333" s="11" t="str">
        <f aca="false">IF(A333="","",ROUND(K333*IF(L333="",0.08,L333),0))</f>
        <v/>
      </c>
      <c r="N333" s="11" t="str">
        <f aca="false">IF(A333="","",K333+M333)</f>
        <v/>
      </c>
      <c r="O333" s="11" t="str">
        <f aca="false">IF(A333="","",SUMIFS(ThuTien!$D$2:$D$2000,ThuTien!$B$2:$B$2000,A333))</f>
        <v/>
      </c>
      <c r="P333" s="11" t="str">
        <f aca="false">IF(A333="","",N333-O333)</f>
        <v/>
      </c>
      <c r="Q333" s="9"/>
      <c r="R333" s="10" t="str">
        <f aca="true">IF(A333="","",IF(AND(Q333&lt;&gt;"",P333&gt;0,TODAY()&gt;Q333),TODAY()-Q333,0))</f>
        <v/>
      </c>
      <c r="S333" s="10" t="str">
        <f aca="false">IF(A333="","",IF(N333=0,"Chưa có tiền hàng",IF(P333&lt;0,"Thu thừa",IF(P333=0,"Đã thu đủ",IF(O333&gt;0,"Thu một phần","Chưa thu")))))</f>
        <v/>
      </c>
      <c r="T333" s="10" t="str">
        <f aca="false">IF(A333="","",IF(AND(F333="Đã giao",H333&lt;&gt;"Đã xuất"),"Đã giao - CHƯA XUẤT HĐ",IF(AND(H333="Đã xuất",F333="Chưa giao"),"Đã xuất HĐ - chưa giao",IF(F333="","Chưa cập nhật giao hàng",IF(R333&gt;0,"Quá hạn "&amp;R333&amp;" ngày - đòi tiền",IF(P333&gt;0,"Chờ thu tiền",IF(P333&lt;0,"Kiểm tra thu thừa",IF(AND(F333="Đã giao",H333="Đã xuất"),"Hoàn tất","Theo dõi"))))))))</f>
        <v/>
      </c>
      <c r="U333" s="8"/>
    </row>
    <row r="334" customFormat="false" ht="15" hidden="false" customHeight="false" outlineLevel="0" collapsed="false">
      <c r="A334" s="8"/>
      <c r="B334" s="9"/>
      <c r="C334" s="8"/>
      <c r="D334" s="10" t="str">
        <f aca="false">IF(C334="","",IFERROR(VLOOKUP(C334,KhachHang!$A$2:$B$200,2,FALSE())&amp;"",""))</f>
        <v/>
      </c>
      <c r="E334" s="8"/>
      <c r="F334" s="8"/>
      <c r="G334" s="9"/>
      <c r="H334" s="8"/>
      <c r="I334" s="8"/>
      <c r="J334" s="9"/>
      <c r="K334" s="11" t="str">
        <f aca="false">IF(A334="","",SUMIFS(ChiTiet!$I$2:$I$2000,ChiTiet!$A$2:$A$2000,A334))</f>
        <v/>
      </c>
      <c r="L334" s="12"/>
      <c r="M334" s="11" t="str">
        <f aca="false">IF(A334="","",ROUND(K334*IF(L334="",0.08,L334),0))</f>
        <v/>
      </c>
      <c r="N334" s="11" t="str">
        <f aca="false">IF(A334="","",K334+M334)</f>
        <v/>
      </c>
      <c r="O334" s="11" t="str">
        <f aca="false">IF(A334="","",SUMIFS(ThuTien!$D$2:$D$2000,ThuTien!$B$2:$B$2000,A334))</f>
        <v/>
      </c>
      <c r="P334" s="11" t="str">
        <f aca="false">IF(A334="","",N334-O334)</f>
        <v/>
      </c>
      <c r="Q334" s="9"/>
      <c r="R334" s="10" t="str">
        <f aca="true">IF(A334="","",IF(AND(Q334&lt;&gt;"",P334&gt;0,TODAY()&gt;Q334),TODAY()-Q334,0))</f>
        <v/>
      </c>
      <c r="S334" s="10" t="str">
        <f aca="false">IF(A334="","",IF(N334=0,"Chưa có tiền hàng",IF(P334&lt;0,"Thu thừa",IF(P334=0,"Đã thu đủ",IF(O334&gt;0,"Thu một phần","Chưa thu")))))</f>
        <v/>
      </c>
      <c r="T334" s="10" t="str">
        <f aca="false">IF(A334="","",IF(AND(F334="Đã giao",H334&lt;&gt;"Đã xuất"),"Đã giao - CHƯA XUẤT HĐ",IF(AND(H334="Đã xuất",F334="Chưa giao"),"Đã xuất HĐ - chưa giao",IF(F334="","Chưa cập nhật giao hàng",IF(R334&gt;0,"Quá hạn "&amp;R334&amp;" ngày - đòi tiền",IF(P334&gt;0,"Chờ thu tiền",IF(P334&lt;0,"Kiểm tra thu thừa",IF(AND(F334="Đã giao",H334="Đã xuất"),"Hoàn tất","Theo dõi"))))))))</f>
        <v/>
      </c>
      <c r="U334" s="8"/>
    </row>
    <row r="335" customFormat="false" ht="15" hidden="false" customHeight="false" outlineLevel="0" collapsed="false">
      <c r="A335" s="8"/>
      <c r="B335" s="9"/>
      <c r="C335" s="8"/>
      <c r="D335" s="10" t="str">
        <f aca="false">IF(C335="","",IFERROR(VLOOKUP(C335,KhachHang!$A$2:$B$200,2,FALSE())&amp;"",""))</f>
        <v/>
      </c>
      <c r="E335" s="8"/>
      <c r="F335" s="8"/>
      <c r="G335" s="9"/>
      <c r="H335" s="8"/>
      <c r="I335" s="8"/>
      <c r="J335" s="9"/>
      <c r="K335" s="11" t="str">
        <f aca="false">IF(A335="","",SUMIFS(ChiTiet!$I$2:$I$2000,ChiTiet!$A$2:$A$2000,A335))</f>
        <v/>
      </c>
      <c r="L335" s="12"/>
      <c r="M335" s="11" t="str">
        <f aca="false">IF(A335="","",ROUND(K335*IF(L335="",0.08,L335),0))</f>
        <v/>
      </c>
      <c r="N335" s="11" t="str">
        <f aca="false">IF(A335="","",K335+M335)</f>
        <v/>
      </c>
      <c r="O335" s="11" t="str">
        <f aca="false">IF(A335="","",SUMIFS(ThuTien!$D$2:$D$2000,ThuTien!$B$2:$B$2000,A335))</f>
        <v/>
      </c>
      <c r="P335" s="11" t="str">
        <f aca="false">IF(A335="","",N335-O335)</f>
        <v/>
      </c>
      <c r="Q335" s="9"/>
      <c r="R335" s="10" t="str">
        <f aca="true">IF(A335="","",IF(AND(Q335&lt;&gt;"",P335&gt;0,TODAY()&gt;Q335),TODAY()-Q335,0))</f>
        <v/>
      </c>
      <c r="S335" s="10" t="str">
        <f aca="false">IF(A335="","",IF(N335=0,"Chưa có tiền hàng",IF(P335&lt;0,"Thu thừa",IF(P335=0,"Đã thu đủ",IF(O335&gt;0,"Thu một phần","Chưa thu")))))</f>
        <v/>
      </c>
      <c r="T335" s="10" t="str">
        <f aca="false">IF(A335="","",IF(AND(F335="Đã giao",H335&lt;&gt;"Đã xuất"),"Đã giao - CHƯA XUẤT HĐ",IF(AND(H335="Đã xuất",F335="Chưa giao"),"Đã xuất HĐ - chưa giao",IF(F335="","Chưa cập nhật giao hàng",IF(R335&gt;0,"Quá hạn "&amp;R335&amp;" ngày - đòi tiền",IF(P335&gt;0,"Chờ thu tiền",IF(P335&lt;0,"Kiểm tra thu thừa",IF(AND(F335="Đã giao",H335="Đã xuất"),"Hoàn tất","Theo dõi"))))))))</f>
        <v/>
      </c>
      <c r="U335" s="8"/>
    </row>
    <row r="336" customFormat="false" ht="15" hidden="false" customHeight="false" outlineLevel="0" collapsed="false">
      <c r="A336" s="8"/>
      <c r="B336" s="9"/>
      <c r="C336" s="8"/>
      <c r="D336" s="10" t="str">
        <f aca="false">IF(C336="","",IFERROR(VLOOKUP(C336,KhachHang!$A$2:$B$200,2,FALSE())&amp;"",""))</f>
        <v/>
      </c>
      <c r="E336" s="8"/>
      <c r="F336" s="8"/>
      <c r="G336" s="9"/>
      <c r="H336" s="8"/>
      <c r="I336" s="8"/>
      <c r="J336" s="9"/>
      <c r="K336" s="11" t="str">
        <f aca="false">IF(A336="","",SUMIFS(ChiTiet!$I$2:$I$2000,ChiTiet!$A$2:$A$2000,A336))</f>
        <v/>
      </c>
      <c r="L336" s="12"/>
      <c r="M336" s="11" t="str">
        <f aca="false">IF(A336="","",ROUND(K336*IF(L336="",0.08,L336),0))</f>
        <v/>
      </c>
      <c r="N336" s="11" t="str">
        <f aca="false">IF(A336="","",K336+M336)</f>
        <v/>
      </c>
      <c r="O336" s="11" t="str">
        <f aca="false">IF(A336="","",SUMIFS(ThuTien!$D$2:$D$2000,ThuTien!$B$2:$B$2000,A336))</f>
        <v/>
      </c>
      <c r="P336" s="11" t="str">
        <f aca="false">IF(A336="","",N336-O336)</f>
        <v/>
      </c>
      <c r="Q336" s="9"/>
      <c r="R336" s="10" t="str">
        <f aca="true">IF(A336="","",IF(AND(Q336&lt;&gt;"",P336&gt;0,TODAY()&gt;Q336),TODAY()-Q336,0))</f>
        <v/>
      </c>
      <c r="S336" s="10" t="str">
        <f aca="false">IF(A336="","",IF(N336=0,"Chưa có tiền hàng",IF(P336&lt;0,"Thu thừa",IF(P336=0,"Đã thu đủ",IF(O336&gt;0,"Thu một phần","Chưa thu")))))</f>
        <v/>
      </c>
      <c r="T336" s="10" t="str">
        <f aca="false">IF(A336="","",IF(AND(F336="Đã giao",H336&lt;&gt;"Đã xuất"),"Đã giao - CHƯA XUẤT HĐ",IF(AND(H336="Đã xuất",F336="Chưa giao"),"Đã xuất HĐ - chưa giao",IF(F336="","Chưa cập nhật giao hàng",IF(R336&gt;0,"Quá hạn "&amp;R336&amp;" ngày - đòi tiền",IF(P336&gt;0,"Chờ thu tiền",IF(P336&lt;0,"Kiểm tra thu thừa",IF(AND(F336="Đã giao",H336="Đã xuất"),"Hoàn tất","Theo dõi"))))))))</f>
        <v/>
      </c>
      <c r="U336" s="8"/>
    </row>
    <row r="337" customFormat="false" ht="15" hidden="false" customHeight="false" outlineLevel="0" collapsed="false">
      <c r="A337" s="8"/>
      <c r="B337" s="9"/>
      <c r="C337" s="8"/>
      <c r="D337" s="10" t="str">
        <f aca="false">IF(C337="","",IFERROR(VLOOKUP(C337,KhachHang!$A$2:$B$200,2,FALSE())&amp;"",""))</f>
        <v/>
      </c>
      <c r="E337" s="8"/>
      <c r="F337" s="8"/>
      <c r="G337" s="9"/>
      <c r="H337" s="8"/>
      <c r="I337" s="8"/>
      <c r="J337" s="9"/>
      <c r="K337" s="11" t="str">
        <f aca="false">IF(A337="","",SUMIFS(ChiTiet!$I$2:$I$2000,ChiTiet!$A$2:$A$2000,A337))</f>
        <v/>
      </c>
      <c r="L337" s="12"/>
      <c r="M337" s="11" t="str">
        <f aca="false">IF(A337="","",ROUND(K337*IF(L337="",0.08,L337),0))</f>
        <v/>
      </c>
      <c r="N337" s="11" t="str">
        <f aca="false">IF(A337="","",K337+M337)</f>
        <v/>
      </c>
      <c r="O337" s="11" t="str">
        <f aca="false">IF(A337="","",SUMIFS(ThuTien!$D$2:$D$2000,ThuTien!$B$2:$B$2000,A337))</f>
        <v/>
      </c>
      <c r="P337" s="11" t="str">
        <f aca="false">IF(A337="","",N337-O337)</f>
        <v/>
      </c>
      <c r="Q337" s="9"/>
      <c r="R337" s="10" t="str">
        <f aca="true">IF(A337="","",IF(AND(Q337&lt;&gt;"",P337&gt;0,TODAY()&gt;Q337),TODAY()-Q337,0))</f>
        <v/>
      </c>
      <c r="S337" s="10" t="str">
        <f aca="false">IF(A337="","",IF(N337=0,"Chưa có tiền hàng",IF(P337&lt;0,"Thu thừa",IF(P337=0,"Đã thu đủ",IF(O337&gt;0,"Thu một phần","Chưa thu")))))</f>
        <v/>
      </c>
      <c r="T337" s="10" t="str">
        <f aca="false">IF(A337="","",IF(AND(F337="Đã giao",H337&lt;&gt;"Đã xuất"),"Đã giao - CHƯA XUẤT HĐ",IF(AND(H337="Đã xuất",F337="Chưa giao"),"Đã xuất HĐ - chưa giao",IF(F337="","Chưa cập nhật giao hàng",IF(R337&gt;0,"Quá hạn "&amp;R337&amp;" ngày - đòi tiền",IF(P337&gt;0,"Chờ thu tiền",IF(P337&lt;0,"Kiểm tra thu thừa",IF(AND(F337="Đã giao",H337="Đã xuất"),"Hoàn tất","Theo dõi"))))))))</f>
        <v/>
      </c>
      <c r="U337" s="8"/>
    </row>
    <row r="338" customFormat="false" ht="15" hidden="false" customHeight="false" outlineLevel="0" collapsed="false">
      <c r="A338" s="8"/>
      <c r="B338" s="9"/>
      <c r="C338" s="8"/>
      <c r="D338" s="10" t="str">
        <f aca="false">IF(C338="","",IFERROR(VLOOKUP(C338,KhachHang!$A$2:$B$200,2,FALSE())&amp;"",""))</f>
        <v/>
      </c>
      <c r="E338" s="8"/>
      <c r="F338" s="8"/>
      <c r="G338" s="9"/>
      <c r="H338" s="8"/>
      <c r="I338" s="8"/>
      <c r="J338" s="9"/>
      <c r="K338" s="11" t="str">
        <f aca="false">IF(A338="","",SUMIFS(ChiTiet!$I$2:$I$2000,ChiTiet!$A$2:$A$2000,A338))</f>
        <v/>
      </c>
      <c r="L338" s="12"/>
      <c r="M338" s="11" t="str">
        <f aca="false">IF(A338="","",ROUND(K338*IF(L338="",0.08,L338),0))</f>
        <v/>
      </c>
      <c r="N338" s="11" t="str">
        <f aca="false">IF(A338="","",K338+M338)</f>
        <v/>
      </c>
      <c r="O338" s="11" t="str">
        <f aca="false">IF(A338="","",SUMIFS(ThuTien!$D$2:$D$2000,ThuTien!$B$2:$B$2000,A338))</f>
        <v/>
      </c>
      <c r="P338" s="11" t="str">
        <f aca="false">IF(A338="","",N338-O338)</f>
        <v/>
      </c>
      <c r="Q338" s="9"/>
      <c r="R338" s="10" t="str">
        <f aca="true">IF(A338="","",IF(AND(Q338&lt;&gt;"",P338&gt;0,TODAY()&gt;Q338),TODAY()-Q338,0))</f>
        <v/>
      </c>
      <c r="S338" s="10" t="str">
        <f aca="false">IF(A338="","",IF(N338=0,"Chưa có tiền hàng",IF(P338&lt;0,"Thu thừa",IF(P338=0,"Đã thu đủ",IF(O338&gt;0,"Thu một phần","Chưa thu")))))</f>
        <v/>
      </c>
      <c r="T338" s="10" t="str">
        <f aca="false">IF(A338="","",IF(AND(F338="Đã giao",H338&lt;&gt;"Đã xuất"),"Đã giao - CHƯA XUẤT HĐ",IF(AND(H338="Đã xuất",F338="Chưa giao"),"Đã xuất HĐ - chưa giao",IF(F338="","Chưa cập nhật giao hàng",IF(R338&gt;0,"Quá hạn "&amp;R338&amp;" ngày - đòi tiền",IF(P338&gt;0,"Chờ thu tiền",IF(P338&lt;0,"Kiểm tra thu thừa",IF(AND(F338="Đã giao",H338="Đã xuất"),"Hoàn tất","Theo dõi"))))))))</f>
        <v/>
      </c>
      <c r="U338" s="8"/>
    </row>
    <row r="339" customFormat="false" ht="15" hidden="false" customHeight="false" outlineLevel="0" collapsed="false">
      <c r="A339" s="8"/>
      <c r="B339" s="9"/>
      <c r="C339" s="8"/>
      <c r="D339" s="10" t="str">
        <f aca="false">IF(C339="","",IFERROR(VLOOKUP(C339,KhachHang!$A$2:$B$200,2,FALSE())&amp;"",""))</f>
        <v/>
      </c>
      <c r="E339" s="8"/>
      <c r="F339" s="8"/>
      <c r="G339" s="9"/>
      <c r="H339" s="8"/>
      <c r="I339" s="8"/>
      <c r="J339" s="9"/>
      <c r="K339" s="11" t="str">
        <f aca="false">IF(A339="","",SUMIFS(ChiTiet!$I$2:$I$2000,ChiTiet!$A$2:$A$2000,A339))</f>
        <v/>
      </c>
      <c r="L339" s="12"/>
      <c r="M339" s="11" t="str">
        <f aca="false">IF(A339="","",ROUND(K339*IF(L339="",0.08,L339),0))</f>
        <v/>
      </c>
      <c r="N339" s="11" t="str">
        <f aca="false">IF(A339="","",K339+M339)</f>
        <v/>
      </c>
      <c r="O339" s="11" t="str">
        <f aca="false">IF(A339="","",SUMIFS(ThuTien!$D$2:$D$2000,ThuTien!$B$2:$B$2000,A339))</f>
        <v/>
      </c>
      <c r="P339" s="11" t="str">
        <f aca="false">IF(A339="","",N339-O339)</f>
        <v/>
      </c>
      <c r="Q339" s="9"/>
      <c r="R339" s="10" t="str">
        <f aca="true">IF(A339="","",IF(AND(Q339&lt;&gt;"",P339&gt;0,TODAY()&gt;Q339),TODAY()-Q339,0))</f>
        <v/>
      </c>
      <c r="S339" s="10" t="str">
        <f aca="false">IF(A339="","",IF(N339=0,"Chưa có tiền hàng",IF(P339&lt;0,"Thu thừa",IF(P339=0,"Đã thu đủ",IF(O339&gt;0,"Thu một phần","Chưa thu")))))</f>
        <v/>
      </c>
      <c r="T339" s="10" t="str">
        <f aca="false">IF(A339="","",IF(AND(F339="Đã giao",H339&lt;&gt;"Đã xuất"),"Đã giao - CHƯA XUẤT HĐ",IF(AND(H339="Đã xuất",F339="Chưa giao"),"Đã xuất HĐ - chưa giao",IF(F339="","Chưa cập nhật giao hàng",IF(R339&gt;0,"Quá hạn "&amp;R339&amp;" ngày - đòi tiền",IF(P339&gt;0,"Chờ thu tiền",IF(P339&lt;0,"Kiểm tra thu thừa",IF(AND(F339="Đã giao",H339="Đã xuất"),"Hoàn tất","Theo dõi"))))))))</f>
        <v/>
      </c>
      <c r="U339" s="8"/>
    </row>
    <row r="340" customFormat="false" ht="15" hidden="false" customHeight="false" outlineLevel="0" collapsed="false">
      <c r="A340" s="8"/>
      <c r="B340" s="9"/>
      <c r="C340" s="8"/>
      <c r="D340" s="10" t="str">
        <f aca="false">IF(C340="","",IFERROR(VLOOKUP(C340,KhachHang!$A$2:$B$200,2,FALSE())&amp;"",""))</f>
        <v/>
      </c>
      <c r="E340" s="8"/>
      <c r="F340" s="8"/>
      <c r="G340" s="9"/>
      <c r="H340" s="8"/>
      <c r="I340" s="8"/>
      <c r="J340" s="9"/>
      <c r="K340" s="11" t="str">
        <f aca="false">IF(A340="","",SUMIFS(ChiTiet!$I$2:$I$2000,ChiTiet!$A$2:$A$2000,A340))</f>
        <v/>
      </c>
      <c r="L340" s="12"/>
      <c r="M340" s="11" t="str">
        <f aca="false">IF(A340="","",ROUND(K340*IF(L340="",0.08,L340),0))</f>
        <v/>
      </c>
      <c r="N340" s="11" t="str">
        <f aca="false">IF(A340="","",K340+M340)</f>
        <v/>
      </c>
      <c r="O340" s="11" t="str">
        <f aca="false">IF(A340="","",SUMIFS(ThuTien!$D$2:$D$2000,ThuTien!$B$2:$B$2000,A340))</f>
        <v/>
      </c>
      <c r="P340" s="11" t="str">
        <f aca="false">IF(A340="","",N340-O340)</f>
        <v/>
      </c>
      <c r="Q340" s="9"/>
      <c r="R340" s="10" t="str">
        <f aca="true">IF(A340="","",IF(AND(Q340&lt;&gt;"",P340&gt;0,TODAY()&gt;Q340),TODAY()-Q340,0))</f>
        <v/>
      </c>
      <c r="S340" s="10" t="str">
        <f aca="false">IF(A340="","",IF(N340=0,"Chưa có tiền hàng",IF(P340&lt;0,"Thu thừa",IF(P340=0,"Đã thu đủ",IF(O340&gt;0,"Thu một phần","Chưa thu")))))</f>
        <v/>
      </c>
      <c r="T340" s="10" t="str">
        <f aca="false">IF(A340="","",IF(AND(F340="Đã giao",H340&lt;&gt;"Đã xuất"),"Đã giao - CHƯA XUẤT HĐ",IF(AND(H340="Đã xuất",F340="Chưa giao"),"Đã xuất HĐ - chưa giao",IF(F340="","Chưa cập nhật giao hàng",IF(R340&gt;0,"Quá hạn "&amp;R340&amp;" ngày - đòi tiền",IF(P340&gt;0,"Chờ thu tiền",IF(P340&lt;0,"Kiểm tra thu thừa",IF(AND(F340="Đã giao",H340="Đã xuất"),"Hoàn tất","Theo dõi"))))))))</f>
        <v/>
      </c>
      <c r="U340" s="8"/>
    </row>
    <row r="341" customFormat="false" ht="15" hidden="false" customHeight="false" outlineLevel="0" collapsed="false">
      <c r="A341" s="8"/>
      <c r="B341" s="9"/>
      <c r="C341" s="8"/>
      <c r="D341" s="10" t="str">
        <f aca="false">IF(C341="","",IFERROR(VLOOKUP(C341,KhachHang!$A$2:$B$200,2,FALSE())&amp;"",""))</f>
        <v/>
      </c>
      <c r="E341" s="8"/>
      <c r="F341" s="8"/>
      <c r="G341" s="9"/>
      <c r="H341" s="8"/>
      <c r="I341" s="8"/>
      <c r="J341" s="9"/>
      <c r="K341" s="11" t="str">
        <f aca="false">IF(A341="","",SUMIFS(ChiTiet!$I$2:$I$2000,ChiTiet!$A$2:$A$2000,A341))</f>
        <v/>
      </c>
      <c r="L341" s="12"/>
      <c r="M341" s="11" t="str">
        <f aca="false">IF(A341="","",ROUND(K341*IF(L341="",0.08,L341),0))</f>
        <v/>
      </c>
      <c r="N341" s="11" t="str">
        <f aca="false">IF(A341="","",K341+M341)</f>
        <v/>
      </c>
      <c r="O341" s="11" t="str">
        <f aca="false">IF(A341="","",SUMIFS(ThuTien!$D$2:$D$2000,ThuTien!$B$2:$B$2000,A341))</f>
        <v/>
      </c>
      <c r="P341" s="11" t="str">
        <f aca="false">IF(A341="","",N341-O341)</f>
        <v/>
      </c>
      <c r="Q341" s="9"/>
      <c r="R341" s="10" t="str">
        <f aca="true">IF(A341="","",IF(AND(Q341&lt;&gt;"",P341&gt;0,TODAY()&gt;Q341),TODAY()-Q341,0))</f>
        <v/>
      </c>
      <c r="S341" s="10" t="str">
        <f aca="false">IF(A341="","",IF(N341=0,"Chưa có tiền hàng",IF(P341&lt;0,"Thu thừa",IF(P341=0,"Đã thu đủ",IF(O341&gt;0,"Thu một phần","Chưa thu")))))</f>
        <v/>
      </c>
      <c r="T341" s="10" t="str">
        <f aca="false">IF(A341="","",IF(AND(F341="Đã giao",H341&lt;&gt;"Đã xuất"),"Đã giao - CHƯA XUẤT HĐ",IF(AND(H341="Đã xuất",F341="Chưa giao"),"Đã xuất HĐ - chưa giao",IF(F341="","Chưa cập nhật giao hàng",IF(R341&gt;0,"Quá hạn "&amp;R341&amp;" ngày - đòi tiền",IF(P341&gt;0,"Chờ thu tiền",IF(P341&lt;0,"Kiểm tra thu thừa",IF(AND(F341="Đã giao",H341="Đã xuất"),"Hoàn tất","Theo dõi"))))))))</f>
        <v/>
      </c>
      <c r="U341" s="8"/>
    </row>
    <row r="342" customFormat="false" ht="15" hidden="false" customHeight="false" outlineLevel="0" collapsed="false">
      <c r="A342" s="8"/>
      <c r="B342" s="9"/>
      <c r="C342" s="8"/>
      <c r="D342" s="10" t="str">
        <f aca="false">IF(C342="","",IFERROR(VLOOKUP(C342,KhachHang!$A$2:$B$200,2,FALSE())&amp;"",""))</f>
        <v/>
      </c>
      <c r="E342" s="8"/>
      <c r="F342" s="8"/>
      <c r="G342" s="9"/>
      <c r="H342" s="8"/>
      <c r="I342" s="8"/>
      <c r="J342" s="9"/>
      <c r="K342" s="11" t="str">
        <f aca="false">IF(A342="","",SUMIFS(ChiTiet!$I$2:$I$2000,ChiTiet!$A$2:$A$2000,A342))</f>
        <v/>
      </c>
      <c r="L342" s="12"/>
      <c r="M342" s="11" t="str">
        <f aca="false">IF(A342="","",ROUND(K342*IF(L342="",0.08,L342),0))</f>
        <v/>
      </c>
      <c r="N342" s="11" t="str">
        <f aca="false">IF(A342="","",K342+M342)</f>
        <v/>
      </c>
      <c r="O342" s="11" t="str">
        <f aca="false">IF(A342="","",SUMIFS(ThuTien!$D$2:$D$2000,ThuTien!$B$2:$B$2000,A342))</f>
        <v/>
      </c>
      <c r="P342" s="11" t="str">
        <f aca="false">IF(A342="","",N342-O342)</f>
        <v/>
      </c>
      <c r="Q342" s="9"/>
      <c r="R342" s="10" t="str">
        <f aca="true">IF(A342="","",IF(AND(Q342&lt;&gt;"",P342&gt;0,TODAY()&gt;Q342),TODAY()-Q342,0))</f>
        <v/>
      </c>
      <c r="S342" s="10" t="str">
        <f aca="false">IF(A342="","",IF(N342=0,"Chưa có tiền hàng",IF(P342&lt;0,"Thu thừa",IF(P342=0,"Đã thu đủ",IF(O342&gt;0,"Thu một phần","Chưa thu")))))</f>
        <v/>
      </c>
      <c r="T342" s="10" t="str">
        <f aca="false">IF(A342="","",IF(AND(F342="Đã giao",H342&lt;&gt;"Đã xuất"),"Đã giao - CHƯA XUẤT HĐ",IF(AND(H342="Đã xuất",F342="Chưa giao"),"Đã xuất HĐ - chưa giao",IF(F342="","Chưa cập nhật giao hàng",IF(R342&gt;0,"Quá hạn "&amp;R342&amp;" ngày - đòi tiền",IF(P342&gt;0,"Chờ thu tiền",IF(P342&lt;0,"Kiểm tra thu thừa",IF(AND(F342="Đã giao",H342="Đã xuất"),"Hoàn tất","Theo dõi"))))))))</f>
        <v/>
      </c>
      <c r="U342" s="8"/>
    </row>
    <row r="343" customFormat="false" ht="15" hidden="false" customHeight="false" outlineLevel="0" collapsed="false">
      <c r="A343" s="8"/>
      <c r="B343" s="9"/>
      <c r="C343" s="8"/>
      <c r="D343" s="10" t="str">
        <f aca="false">IF(C343="","",IFERROR(VLOOKUP(C343,KhachHang!$A$2:$B$200,2,FALSE())&amp;"",""))</f>
        <v/>
      </c>
      <c r="E343" s="8"/>
      <c r="F343" s="8"/>
      <c r="G343" s="9"/>
      <c r="H343" s="8"/>
      <c r="I343" s="8"/>
      <c r="J343" s="9"/>
      <c r="K343" s="11" t="str">
        <f aca="false">IF(A343="","",SUMIFS(ChiTiet!$I$2:$I$2000,ChiTiet!$A$2:$A$2000,A343))</f>
        <v/>
      </c>
      <c r="L343" s="12"/>
      <c r="M343" s="11" t="str">
        <f aca="false">IF(A343="","",ROUND(K343*IF(L343="",0.08,L343),0))</f>
        <v/>
      </c>
      <c r="N343" s="11" t="str">
        <f aca="false">IF(A343="","",K343+M343)</f>
        <v/>
      </c>
      <c r="O343" s="11" t="str">
        <f aca="false">IF(A343="","",SUMIFS(ThuTien!$D$2:$D$2000,ThuTien!$B$2:$B$2000,A343))</f>
        <v/>
      </c>
      <c r="P343" s="11" t="str">
        <f aca="false">IF(A343="","",N343-O343)</f>
        <v/>
      </c>
      <c r="Q343" s="9"/>
      <c r="R343" s="10" t="str">
        <f aca="true">IF(A343="","",IF(AND(Q343&lt;&gt;"",P343&gt;0,TODAY()&gt;Q343),TODAY()-Q343,0))</f>
        <v/>
      </c>
      <c r="S343" s="10" t="str">
        <f aca="false">IF(A343="","",IF(N343=0,"Chưa có tiền hàng",IF(P343&lt;0,"Thu thừa",IF(P343=0,"Đã thu đủ",IF(O343&gt;0,"Thu một phần","Chưa thu")))))</f>
        <v/>
      </c>
      <c r="T343" s="10" t="str">
        <f aca="false">IF(A343="","",IF(AND(F343="Đã giao",H343&lt;&gt;"Đã xuất"),"Đã giao - CHƯA XUẤT HĐ",IF(AND(H343="Đã xuất",F343="Chưa giao"),"Đã xuất HĐ - chưa giao",IF(F343="","Chưa cập nhật giao hàng",IF(R343&gt;0,"Quá hạn "&amp;R343&amp;" ngày - đòi tiền",IF(P343&gt;0,"Chờ thu tiền",IF(P343&lt;0,"Kiểm tra thu thừa",IF(AND(F343="Đã giao",H343="Đã xuất"),"Hoàn tất","Theo dõi"))))))))</f>
        <v/>
      </c>
      <c r="U343" s="8"/>
    </row>
    <row r="344" customFormat="false" ht="15" hidden="false" customHeight="false" outlineLevel="0" collapsed="false">
      <c r="A344" s="8"/>
      <c r="B344" s="9"/>
      <c r="C344" s="8"/>
      <c r="D344" s="10" t="str">
        <f aca="false">IF(C344="","",IFERROR(VLOOKUP(C344,KhachHang!$A$2:$B$200,2,FALSE())&amp;"",""))</f>
        <v/>
      </c>
      <c r="E344" s="8"/>
      <c r="F344" s="8"/>
      <c r="G344" s="9"/>
      <c r="H344" s="8"/>
      <c r="I344" s="8"/>
      <c r="J344" s="9"/>
      <c r="K344" s="11" t="str">
        <f aca="false">IF(A344="","",SUMIFS(ChiTiet!$I$2:$I$2000,ChiTiet!$A$2:$A$2000,A344))</f>
        <v/>
      </c>
      <c r="L344" s="12"/>
      <c r="M344" s="11" t="str">
        <f aca="false">IF(A344="","",ROUND(K344*IF(L344="",0.08,L344),0))</f>
        <v/>
      </c>
      <c r="N344" s="11" t="str">
        <f aca="false">IF(A344="","",K344+M344)</f>
        <v/>
      </c>
      <c r="O344" s="11" t="str">
        <f aca="false">IF(A344="","",SUMIFS(ThuTien!$D$2:$D$2000,ThuTien!$B$2:$B$2000,A344))</f>
        <v/>
      </c>
      <c r="P344" s="11" t="str">
        <f aca="false">IF(A344="","",N344-O344)</f>
        <v/>
      </c>
      <c r="Q344" s="9"/>
      <c r="R344" s="10" t="str">
        <f aca="true">IF(A344="","",IF(AND(Q344&lt;&gt;"",P344&gt;0,TODAY()&gt;Q344),TODAY()-Q344,0))</f>
        <v/>
      </c>
      <c r="S344" s="10" t="str">
        <f aca="false">IF(A344="","",IF(N344=0,"Chưa có tiền hàng",IF(P344&lt;0,"Thu thừa",IF(P344=0,"Đã thu đủ",IF(O344&gt;0,"Thu một phần","Chưa thu")))))</f>
        <v/>
      </c>
      <c r="T344" s="10" t="str">
        <f aca="false">IF(A344="","",IF(AND(F344="Đã giao",H344&lt;&gt;"Đã xuất"),"Đã giao - CHƯA XUẤT HĐ",IF(AND(H344="Đã xuất",F344="Chưa giao"),"Đã xuất HĐ - chưa giao",IF(F344="","Chưa cập nhật giao hàng",IF(R344&gt;0,"Quá hạn "&amp;R344&amp;" ngày - đòi tiền",IF(P344&gt;0,"Chờ thu tiền",IF(P344&lt;0,"Kiểm tra thu thừa",IF(AND(F344="Đã giao",H344="Đã xuất"),"Hoàn tất","Theo dõi"))))))))</f>
        <v/>
      </c>
      <c r="U344" s="8"/>
    </row>
    <row r="345" customFormat="false" ht="15" hidden="false" customHeight="false" outlineLevel="0" collapsed="false">
      <c r="A345" s="8"/>
      <c r="B345" s="9"/>
      <c r="C345" s="8"/>
      <c r="D345" s="10" t="str">
        <f aca="false">IF(C345="","",IFERROR(VLOOKUP(C345,KhachHang!$A$2:$B$200,2,FALSE())&amp;"",""))</f>
        <v/>
      </c>
      <c r="E345" s="8"/>
      <c r="F345" s="8"/>
      <c r="G345" s="9"/>
      <c r="H345" s="8"/>
      <c r="I345" s="8"/>
      <c r="J345" s="9"/>
      <c r="K345" s="11" t="str">
        <f aca="false">IF(A345="","",SUMIFS(ChiTiet!$I$2:$I$2000,ChiTiet!$A$2:$A$2000,A345))</f>
        <v/>
      </c>
      <c r="L345" s="12"/>
      <c r="M345" s="11" t="str">
        <f aca="false">IF(A345="","",ROUND(K345*IF(L345="",0.08,L345),0))</f>
        <v/>
      </c>
      <c r="N345" s="11" t="str">
        <f aca="false">IF(A345="","",K345+M345)</f>
        <v/>
      </c>
      <c r="O345" s="11" t="str">
        <f aca="false">IF(A345="","",SUMIFS(ThuTien!$D$2:$D$2000,ThuTien!$B$2:$B$2000,A345))</f>
        <v/>
      </c>
      <c r="P345" s="11" t="str">
        <f aca="false">IF(A345="","",N345-O345)</f>
        <v/>
      </c>
      <c r="Q345" s="9"/>
      <c r="R345" s="10" t="str">
        <f aca="true">IF(A345="","",IF(AND(Q345&lt;&gt;"",P345&gt;0,TODAY()&gt;Q345),TODAY()-Q345,0))</f>
        <v/>
      </c>
      <c r="S345" s="10" t="str">
        <f aca="false">IF(A345="","",IF(N345=0,"Chưa có tiền hàng",IF(P345&lt;0,"Thu thừa",IF(P345=0,"Đã thu đủ",IF(O345&gt;0,"Thu một phần","Chưa thu")))))</f>
        <v/>
      </c>
      <c r="T345" s="10" t="str">
        <f aca="false">IF(A345="","",IF(AND(F345="Đã giao",H345&lt;&gt;"Đã xuất"),"Đã giao - CHƯA XUẤT HĐ",IF(AND(H345="Đã xuất",F345="Chưa giao"),"Đã xuất HĐ - chưa giao",IF(F345="","Chưa cập nhật giao hàng",IF(R345&gt;0,"Quá hạn "&amp;R345&amp;" ngày - đòi tiền",IF(P345&gt;0,"Chờ thu tiền",IF(P345&lt;0,"Kiểm tra thu thừa",IF(AND(F345="Đã giao",H345="Đã xuất"),"Hoàn tất","Theo dõi"))))))))</f>
        <v/>
      </c>
      <c r="U345" s="8"/>
    </row>
    <row r="346" customFormat="false" ht="15" hidden="false" customHeight="false" outlineLevel="0" collapsed="false">
      <c r="A346" s="8"/>
      <c r="B346" s="9"/>
      <c r="C346" s="8"/>
      <c r="D346" s="10" t="str">
        <f aca="false">IF(C346="","",IFERROR(VLOOKUP(C346,KhachHang!$A$2:$B$200,2,FALSE())&amp;"",""))</f>
        <v/>
      </c>
      <c r="E346" s="8"/>
      <c r="F346" s="8"/>
      <c r="G346" s="9"/>
      <c r="H346" s="8"/>
      <c r="I346" s="8"/>
      <c r="J346" s="9"/>
      <c r="K346" s="11" t="str">
        <f aca="false">IF(A346="","",SUMIFS(ChiTiet!$I$2:$I$2000,ChiTiet!$A$2:$A$2000,A346))</f>
        <v/>
      </c>
      <c r="L346" s="12"/>
      <c r="M346" s="11" t="str">
        <f aca="false">IF(A346="","",ROUND(K346*IF(L346="",0.08,L346),0))</f>
        <v/>
      </c>
      <c r="N346" s="11" t="str">
        <f aca="false">IF(A346="","",K346+M346)</f>
        <v/>
      </c>
      <c r="O346" s="11" t="str">
        <f aca="false">IF(A346="","",SUMIFS(ThuTien!$D$2:$D$2000,ThuTien!$B$2:$B$2000,A346))</f>
        <v/>
      </c>
      <c r="P346" s="11" t="str">
        <f aca="false">IF(A346="","",N346-O346)</f>
        <v/>
      </c>
      <c r="Q346" s="9"/>
      <c r="R346" s="10" t="str">
        <f aca="true">IF(A346="","",IF(AND(Q346&lt;&gt;"",P346&gt;0,TODAY()&gt;Q346),TODAY()-Q346,0))</f>
        <v/>
      </c>
      <c r="S346" s="10" t="str">
        <f aca="false">IF(A346="","",IF(N346=0,"Chưa có tiền hàng",IF(P346&lt;0,"Thu thừa",IF(P346=0,"Đã thu đủ",IF(O346&gt;0,"Thu một phần","Chưa thu")))))</f>
        <v/>
      </c>
      <c r="T346" s="10" t="str">
        <f aca="false">IF(A346="","",IF(AND(F346="Đã giao",H346&lt;&gt;"Đã xuất"),"Đã giao - CHƯA XUẤT HĐ",IF(AND(H346="Đã xuất",F346="Chưa giao"),"Đã xuất HĐ - chưa giao",IF(F346="","Chưa cập nhật giao hàng",IF(R346&gt;0,"Quá hạn "&amp;R346&amp;" ngày - đòi tiền",IF(P346&gt;0,"Chờ thu tiền",IF(P346&lt;0,"Kiểm tra thu thừa",IF(AND(F346="Đã giao",H346="Đã xuất"),"Hoàn tất","Theo dõi"))))))))</f>
        <v/>
      </c>
      <c r="U346" s="8"/>
    </row>
    <row r="347" customFormat="false" ht="15" hidden="false" customHeight="false" outlineLevel="0" collapsed="false">
      <c r="A347" s="8"/>
      <c r="B347" s="9"/>
      <c r="C347" s="8"/>
      <c r="D347" s="10" t="str">
        <f aca="false">IF(C347="","",IFERROR(VLOOKUP(C347,KhachHang!$A$2:$B$200,2,FALSE())&amp;"",""))</f>
        <v/>
      </c>
      <c r="E347" s="8"/>
      <c r="F347" s="8"/>
      <c r="G347" s="9"/>
      <c r="H347" s="8"/>
      <c r="I347" s="8"/>
      <c r="J347" s="9"/>
      <c r="K347" s="11" t="str">
        <f aca="false">IF(A347="","",SUMIFS(ChiTiet!$I$2:$I$2000,ChiTiet!$A$2:$A$2000,A347))</f>
        <v/>
      </c>
      <c r="L347" s="12"/>
      <c r="M347" s="11" t="str">
        <f aca="false">IF(A347="","",ROUND(K347*IF(L347="",0.08,L347),0))</f>
        <v/>
      </c>
      <c r="N347" s="11" t="str">
        <f aca="false">IF(A347="","",K347+M347)</f>
        <v/>
      </c>
      <c r="O347" s="11" t="str">
        <f aca="false">IF(A347="","",SUMIFS(ThuTien!$D$2:$D$2000,ThuTien!$B$2:$B$2000,A347))</f>
        <v/>
      </c>
      <c r="P347" s="11" t="str">
        <f aca="false">IF(A347="","",N347-O347)</f>
        <v/>
      </c>
      <c r="Q347" s="9"/>
      <c r="R347" s="10" t="str">
        <f aca="true">IF(A347="","",IF(AND(Q347&lt;&gt;"",P347&gt;0,TODAY()&gt;Q347),TODAY()-Q347,0))</f>
        <v/>
      </c>
      <c r="S347" s="10" t="str">
        <f aca="false">IF(A347="","",IF(N347=0,"Chưa có tiền hàng",IF(P347&lt;0,"Thu thừa",IF(P347=0,"Đã thu đủ",IF(O347&gt;0,"Thu một phần","Chưa thu")))))</f>
        <v/>
      </c>
      <c r="T347" s="10" t="str">
        <f aca="false">IF(A347="","",IF(AND(F347="Đã giao",H347&lt;&gt;"Đã xuất"),"Đã giao - CHƯA XUẤT HĐ",IF(AND(H347="Đã xuất",F347="Chưa giao"),"Đã xuất HĐ - chưa giao",IF(F347="","Chưa cập nhật giao hàng",IF(R347&gt;0,"Quá hạn "&amp;R347&amp;" ngày - đòi tiền",IF(P347&gt;0,"Chờ thu tiền",IF(P347&lt;0,"Kiểm tra thu thừa",IF(AND(F347="Đã giao",H347="Đã xuất"),"Hoàn tất","Theo dõi"))))))))</f>
        <v/>
      </c>
      <c r="U347" s="8"/>
    </row>
    <row r="348" customFormat="false" ht="15" hidden="false" customHeight="false" outlineLevel="0" collapsed="false">
      <c r="A348" s="8"/>
      <c r="B348" s="9"/>
      <c r="C348" s="8"/>
      <c r="D348" s="10" t="str">
        <f aca="false">IF(C348="","",IFERROR(VLOOKUP(C348,KhachHang!$A$2:$B$200,2,FALSE())&amp;"",""))</f>
        <v/>
      </c>
      <c r="E348" s="8"/>
      <c r="F348" s="8"/>
      <c r="G348" s="9"/>
      <c r="H348" s="8"/>
      <c r="I348" s="8"/>
      <c r="J348" s="9"/>
      <c r="K348" s="11" t="str">
        <f aca="false">IF(A348="","",SUMIFS(ChiTiet!$I$2:$I$2000,ChiTiet!$A$2:$A$2000,A348))</f>
        <v/>
      </c>
      <c r="L348" s="12"/>
      <c r="M348" s="11" t="str">
        <f aca="false">IF(A348="","",ROUND(K348*IF(L348="",0.08,L348),0))</f>
        <v/>
      </c>
      <c r="N348" s="11" t="str">
        <f aca="false">IF(A348="","",K348+M348)</f>
        <v/>
      </c>
      <c r="O348" s="11" t="str">
        <f aca="false">IF(A348="","",SUMIFS(ThuTien!$D$2:$D$2000,ThuTien!$B$2:$B$2000,A348))</f>
        <v/>
      </c>
      <c r="P348" s="11" t="str">
        <f aca="false">IF(A348="","",N348-O348)</f>
        <v/>
      </c>
      <c r="Q348" s="9"/>
      <c r="R348" s="10" t="str">
        <f aca="true">IF(A348="","",IF(AND(Q348&lt;&gt;"",P348&gt;0,TODAY()&gt;Q348),TODAY()-Q348,0))</f>
        <v/>
      </c>
      <c r="S348" s="10" t="str">
        <f aca="false">IF(A348="","",IF(N348=0,"Chưa có tiền hàng",IF(P348&lt;0,"Thu thừa",IF(P348=0,"Đã thu đủ",IF(O348&gt;0,"Thu một phần","Chưa thu")))))</f>
        <v/>
      </c>
      <c r="T348" s="10" t="str">
        <f aca="false">IF(A348="","",IF(AND(F348="Đã giao",H348&lt;&gt;"Đã xuất"),"Đã giao - CHƯA XUẤT HĐ",IF(AND(H348="Đã xuất",F348="Chưa giao"),"Đã xuất HĐ - chưa giao",IF(F348="","Chưa cập nhật giao hàng",IF(R348&gt;0,"Quá hạn "&amp;R348&amp;" ngày - đòi tiền",IF(P348&gt;0,"Chờ thu tiền",IF(P348&lt;0,"Kiểm tra thu thừa",IF(AND(F348="Đã giao",H348="Đã xuất"),"Hoàn tất","Theo dõi"))))))))</f>
        <v/>
      </c>
      <c r="U348" s="8"/>
    </row>
    <row r="349" customFormat="false" ht="15" hidden="false" customHeight="false" outlineLevel="0" collapsed="false">
      <c r="A349" s="8"/>
      <c r="B349" s="9"/>
      <c r="C349" s="8"/>
      <c r="D349" s="10" t="str">
        <f aca="false">IF(C349="","",IFERROR(VLOOKUP(C349,KhachHang!$A$2:$B$200,2,FALSE())&amp;"",""))</f>
        <v/>
      </c>
      <c r="E349" s="8"/>
      <c r="F349" s="8"/>
      <c r="G349" s="9"/>
      <c r="H349" s="8"/>
      <c r="I349" s="8"/>
      <c r="J349" s="9"/>
      <c r="K349" s="11" t="str">
        <f aca="false">IF(A349="","",SUMIFS(ChiTiet!$I$2:$I$2000,ChiTiet!$A$2:$A$2000,A349))</f>
        <v/>
      </c>
      <c r="L349" s="12"/>
      <c r="M349" s="11" t="str">
        <f aca="false">IF(A349="","",ROUND(K349*IF(L349="",0.08,L349),0))</f>
        <v/>
      </c>
      <c r="N349" s="11" t="str">
        <f aca="false">IF(A349="","",K349+M349)</f>
        <v/>
      </c>
      <c r="O349" s="11" t="str">
        <f aca="false">IF(A349="","",SUMIFS(ThuTien!$D$2:$D$2000,ThuTien!$B$2:$B$2000,A349))</f>
        <v/>
      </c>
      <c r="P349" s="11" t="str">
        <f aca="false">IF(A349="","",N349-O349)</f>
        <v/>
      </c>
      <c r="Q349" s="9"/>
      <c r="R349" s="10" t="str">
        <f aca="true">IF(A349="","",IF(AND(Q349&lt;&gt;"",P349&gt;0,TODAY()&gt;Q349),TODAY()-Q349,0))</f>
        <v/>
      </c>
      <c r="S349" s="10" t="str">
        <f aca="false">IF(A349="","",IF(N349=0,"Chưa có tiền hàng",IF(P349&lt;0,"Thu thừa",IF(P349=0,"Đã thu đủ",IF(O349&gt;0,"Thu một phần","Chưa thu")))))</f>
        <v/>
      </c>
      <c r="T349" s="10" t="str">
        <f aca="false">IF(A349="","",IF(AND(F349="Đã giao",H349&lt;&gt;"Đã xuất"),"Đã giao - CHƯA XUẤT HĐ",IF(AND(H349="Đã xuất",F349="Chưa giao"),"Đã xuất HĐ - chưa giao",IF(F349="","Chưa cập nhật giao hàng",IF(R349&gt;0,"Quá hạn "&amp;R349&amp;" ngày - đòi tiền",IF(P349&gt;0,"Chờ thu tiền",IF(P349&lt;0,"Kiểm tra thu thừa",IF(AND(F349="Đã giao",H349="Đã xuất"),"Hoàn tất","Theo dõi"))))))))</f>
        <v/>
      </c>
      <c r="U349" s="8"/>
    </row>
    <row r="350" customFormat="false" ht="15" hidden="false" customHeight="false" outlineLevel="0" collapsed="false">
      <c r="A350" s="8"/>
      <c r="B350" s="9"/>
      <c r="C350" s="8"/>
      <c r="D350" s="10" t="str">
        <f aca="false">IF(C350="","",IFERROR(VLOOKUP(C350,KhachHang!$A$2:$B$200,2,FALSE())&amp;"",""))</f>
        <v/>
      </c>
      <c r="E350" s="8"/>
      <c r="F350" s="8"/>
      <c r="G350" s="9"/>
      <c r="H350" s="8"/>
      <c r="I350" s="8"/>
      <c r="J350" s="9"/>
      <c r="K350" s="11" t="str">
        <f aca="false">IF(A350="","",SUMIFS(ChiTiet!$I$2:$I$2000,ChiTiet!$A$2:$A$2000,A350))</f>
        <v/>
      </c>
      <c r="L350" s="12"/>
      <c r="M350" s="11" t="str">
        <f aca="false">IF(A350="","",ROUND(K350*IF(L350="",0.08,L350),0))</f>
        <v/>
      </c>
      <c r="N350" s="11" t="str">
        <f aca="false">IF(A350="","",K350+M350)</f>
        <v/>
      </c>
      <c r="O350" s="11" t="str">
        <f aca="false">IF(A350="","",SUMIFS(ThuTien!$D$2:$D$2000,ThuTien!$B$2:$B$2000,A350))</f>
        <v/>
      </c>
      <c r="P350" s="11" t="str">
        <f aca="false">IF(A350="","",N350-O350)</f>
        <v/>
      </c>
      <c r="Q350" s="9"/>
      <c r="R350" s="10" t="str">
        <f aca="true">IF(A350="","",IF(AND(Q350&lt;&gt;"",P350&gt;0,TODAY()&gt;Q350),TODAY()-Q350,0))</f>
        <v/>
      </c>
      <c r="S350" s="10" t="str">
        <f aca="false">IF(A350="","",IF(N350=0,"Chưa có tiền hàng",IF(P350&lt;0,"Thu thừa",IF(P350=0,"Đã thu đủ",IF(O350&gt;0,"Thu một phần","Chưa thu")))))</f>
        <v/>
      </c>
      <c r="T350" s="10" t="str">
        <f aca="false">IF(A350="","",IF(AND(F350="Đã giao",H350&lt;&gt;"Đã xuất"),"Đã giao - CHƯA XUẤT HĐ",IF(AND(H350="Đã xuất",F350="Chưa giao"),"Đã xuất HĐ - chưa giao",IF(F350="","Chưa cập nhật giao hàng",IF(R350&gt;0,"Quá hạn "&amp;R350&amp;" ngày - đòi tiền",IF(P350&gt;0,"Chờ thu tiền",IF(P350&lt;0,"Kiểm tra thu thừa",IF(AND(F350="Đã giao",H350="Đã xuất"),"Hoàn tất","Theo dõi"))))))))</f>
        <v/>
      </c>
      <c r="U350" s="8"/>
    </row>
    <row r="351" customFormat="false" ht="15" hidden="false" customHeight="false" outlineLevel="0" collapsed="false">
      <c r="A351" s="8"/>
      <c r="B351" s="9"/>
      <c r="C351" s="8"/>
      <c r="D351" s="10" t="str">
        <f aca="false">IF(C351="","",IFERROR(VLOOKUP(C351,KhachHang!$A$2:$B$200,2,FALSE())&amp;"",""))</f>
        <v/>
      </c>
      <c r="E351" s="8"/>
      <c r="F351" s="8"/>
      <c r="G351" s="9"/>
      <c r="H351" s="8"/>
      <c r="I351" s="8"/>
      <c r="J351" s="9"/>
      <c r="K351" s="11" t="str">
        <f aca="false">IF(A351="","",SUMIFS(ChiTiet!$I$2:$I$2000,ChiTiet!$A$2:$A$2000,A351))</f>
        <v/>
      </c>
      <c r="L351" s="12"/>
      <c r="M351" s="11" t="str">
        <f aca="false">IF(A351="","",ROUND(K351*IF(L351="",0.08,L351),0))</f>
        <v/>
      </c>
      <c r="N351" s="11" t="str">
        <f aca="false">IF(A351="","",K351+M351)</f>
        <v/>
      </c>
      <c r="O351" s="11" t="str">
        <f aca="false">IF(A351="","",SUMIFS(ThuTien!$D$2:$D$2000,ThuTien!$B$2:$B$2000,A351))</f>
        <v/>
      </c>
      <c r="P351" s="11" t="str">
        <f aca="false">IF(A351="","",N351-O351)</f>
        <v/>
      </c>
      <c r="Q351" s="9"/>
      <c r="R351" s="10" t="str">
        <f aca="true">IF(A351="","",IF(AND(Q351&lt;&gt;"",P351&gt;0,TODAY()&gt;Q351),TODAY()-Q351,0))</f>
        <v/>
      </c>
      <c r="S351" s="10" t="str">
        <f aca="false">IF(A351="","",IF(N351=0,"Chưa có tiền hàng",IF(P351&lt;0,"Thu thừa",IF(P351=0,"Đã thu đủ",IF(O351&gt;0,"Thu một phần","Chưa thu")))))</f>
        <v/>
      </c>
      <c r="T351" s="10" t="str">
        <f aca="false">IF(A351="","",IF(AND(F351="Đã giao",H351&lt;&gt;"Đã xuất"),"Đã giao - CHƯA XUẤT HĐ",IF(AND(H351="Đã xuất",F351="Chưa giao"),"Đã xuất HĐ - chưa giao",IF(F351="","Chưa cập nhật giao hàng",IF(R351&gt;0,"Quá hạn "&amp;R351&amp;" ngày - đòi tiền",IF(P351&gt;0,"Chờ thu tiền",IF(P351&lt;0,"Kiểm tra thu thừa",IF(AND(F351="Đã giao",H351="Đã xuất"),"Hoàn tất","Theo dõi"))))))))</f>
        <v/>
      </c>
      <c r="U351" s="8"/>
    </row>
    <row r="352" customFormat="false" ht="15" hidden="false" customHeight="false" outlineLevel="0" collapsed="false">
      <c r="A352" s="8"/>
      <c r="B352" s="9"/>
      <c r="C352" s="8"/>
      <c r="D352" s="10" t="str">
        <f aca="false">IF(C352="","",IFERROR(VLOOKUP(C352,KhachHang!$A$2:$B$200,2,FALSE())&amp;"",""))</f>
        <v/>
      </c>
      <c r="E352" s="8"/>
      <c r="F352" s="8"/>
      <c r="G352" s="9"/>
      <c r="H352" s="8"/>
      <c r="I352" s="8"/>
      <c r="J352" s="9"/>
      <c r="K352" s="11" t="str">
        <f aca="false">IF(A352="","",SUMIFS(ChiTiet!$I$2:$I$2000,ChiTiet!$A$2:$A$2000,A352))</f>
        <v/>
      </c>
      <c r="L352" s="12"/>
      <c r="M352" s="11" t="str">
        <f aca="false">IF(A352="","",ROUND(K352*IF(L352="",0.08,L352),0))</f>
        <v/>
      </c>
      <c r="N352" s="11" t="str">
        <f aca="false">IF(A352="","",K352+M352)</f>
        <v/>
      </c>
      <c r="O352" s="11" t="str">
        <f aca="false">IF(A352="","",SUMIFS(ThuTien!$D$2:$D$2000,ThuTien!$B$2:$B$2000,A352))</f>
        <v/>
      </c>
      <c r="P352" s="11" t="str">
        <f aca="false">IF(A352="","",N352-O352)</f>
        <v/>
      </c>
      <c r="Q352" s="9"/>
      <c r="R352" s="10" t="str">
        <f aca="true">IF(A352="","",IF(AND(Q352&lt;&gt;"",P352&gt;0,TODAY()&gt;Q352),TODAY()-Q352,0))</f>
        <v/>
      </c>
      <c r="S352" s="10" t="str">
        <f aca="false">IF(A352="","",IF(N352=0,"Chưa có tiền hàng",IF(P352&lt;0,"Thu thừa",IF(P352=0,"Đã thu đủ",IF(O352&gt;0,"Thu một phần","Chưa thu")))))</f>
        <v/>
      </c>
      <c r="T352" s="10" t="str">
        <f aca="false">IF(A352="","",IF(AND(F352="Đã giao",H352&lt;&gt;"Đã xuất"),"Đã giao - CHƯA XUẤT HĐ",IF(AND(H352="Đã xuất",F352="Chưa giao"),"Đã xuất HĐ - chưa giao",IF(F352="","Chưa cập nhật giao hàng",IF(R352&gt;0,"Quá hạn "&amp;R352&amp;" ngày - đòi tiền",IF(P352&gt;0,"Chờ thu tiền",IF(P352&lt;0,"Kiểm tra thu thừa",IF(AND(F352="Đã giao",H352="Đã xuất"),"Hoàn tất","Theo dõi"))))))))</f>
        <v/>
      </c>
      <c r="U352" s="8"/>
    </row>
    <row r="353" customFormat="false" ht="15" hidden="false" customHeight="false" outlineLevel="0" collapsed="false">
      <c r="A353" s="8"/>
      <c r="B353" s="9"/>
      <c r="C353" s="8"/>
      <c r="D353" s="10" t="str">
        <f aca="false">IF(C353="","",IFERROR(VLOOKUP(C353,KhachHang!$A$2:$B$200,2,FALSE())&amp;"",""))</f>
        <v/>
      </c>
      <c r="E353" s="8"/>
      <c r="F353" s="8"/>
      <c r="G353" s="9"/>
      <c r="H353" s="8"/>
      <c r="I353" s="8"/>
      <c r="J353" s="9"/>
      <c r="K353" s="11" t="str">
        <f aca="false">IF(A353="","",SUMIFS(ChiTiet!$I$2:$I$2000,ChiTiet!$A$2:$A$2000,A353))</f>
        <v/>
      </c>
      <c r="L353" s="12"/>
      <c r="M353" s="11" t="str">
        <f aca="false">IF(A353="","",ROUND(K353*IF(L353="",0.08,L353),0))</f>
        <v/>
      </c>
      <c r="N353" s="11" t="str">
        <f aca="false">IF(A353="","",K353+M353)</f>
        <v/>
      </c>
      <c r="O353" s="11" t="str">
        <f aca="false">IF(A353="","",SUMIFS(ThuTien!$D$2:$D$2000,ThuTien!$B$2:$B$2000,A353))</f>
        <v/>
      </c>
      <c r="P353" s="11" t="str">
        <f aca="false">IF(A353="","",N353-O353)</f>
        <v/>
      </c>
      <c r="Q353" s="9"/>
      <c r="R353" s="10" t="str">
        <f aca="true">IF(A353="","",IF(AND(Q353&lt;&gt;"",P353&gt;0,TODAY()&gt;Q353),TODAY()-Q353,0))</f>
        <v/>
      </c>
      <c r="S353" s="10" t="str">
        <f aca="false">IF(A353="","",IF(N353=0,"Chưa có tiền hàng",IF(P353&lt;0,"Thu thừa",IF(P353=0,"Đã thu đủ",IF(O353&gt;0,"Thu một phần","Chưa thu")))))</f>
        <v/>
      </c>
      <c r="T353" s="10" t="str">
        <f aca="false">IF(A353="","",IF(AND(F353="Đã giao",H353&lt;&gt;"Đã xuất"),"Đã giao - CHƯA XUẤT HĐ",IF(AND(H353="Đã xuất",F353="Chưa giao"),"Đã xuất HĐ - chưa giao",IF(F353="","Chưa cập nhật giao hàng",IF(R353&gt;0,"Quá hạn "&amp;R353&amp;" ngày - đòi tiền",IF(P353&gt;0,"Chờ thu tiền",IF(P353&lt;0,"Kiểm tra thu thừa",IF(AND(F353="Đã giao",H353="Đã xuất"),"Hoàn tất","Theo dõi"))))))))</f>
        <v/>
      </c>
      <c r="U353" s="8"/>
    </row>
    <row r="354" customFormat="false" ht="15" hidden="false" customHeight="false" outlineLevel="0" collapsed="false">
      <c r="A354" s="8"/>
      <c r="B354" s="9"/>
      <c r="C354" s="8"/>
      <c r="D354" s="10" t="str">
        <f aca="false">IF(C354="","",IFERROR(VLOOKUP(C354,KhachHang!$A$2:$B$200,2,FALSE())&amp;"",""))</f>
        <v/>
      </c>
      <c r="E354" s="8"/>
      <c r="F354" s="8"/>
      <c r="G354" s="9"/>
      <c r="H354" s="8"/>
      <c r="I354" s="8"/>
      <c r="J354" s="9"/>
      <c r="K354" s="11" t="str">
        <f aca="false">IF(A354="","",SUMIFS(ChiTiet!$I$2:$I$2000,ChiTiet!$A$2:$A$2000,A354))</f>
        <v/>
      </c>
      <c r="L354" s="12"/>
      <c r="M354" s="11" t="str">
        <f aca="false">IF(A354="","",ROUND(K354*IF(L354="",0.08,L354),0))</f>
        <v/>
      </c>
      <c r="N354" s="11" t="str">
        <f aca="false">IF(A354="","",K354+M354)</f>
        <v/>
      </c>
      <c r="O354" s="11" t="str">
        <f aca="false">IF(A354="","",SUMIFS(ThuTien!$D$2:$D$2000,ThuTien!$B$2:$B$2000,A354))</f>
        <v/>
      </c>
      <c r="P354" s="11" t="str">
        <f aca="false">IF(A354="","",N354-O354)</f>
        <v/>
      </c>
      <c r="Q354" s="9"/>
      <c r="R354" s="10" t="str">
        <f aca="true">IF(A354="","",IF(AND(Q354&lt;&gt;"",P354&gt;0,TODAY()&gt;Q354),TODAY()-Q354,0))</f>
        <v/>
      </c>
      <c r="S354" s="10" t="str">
        <f aca="false">IF(A354="","",IF(N354=0,"Chưa có tiền hàng",IF(P354&lt;0,"Thu thừa",IF(P354=0,"Đã thu đủ",IF(O354&gt;0,"Thu một phần","Chưa thu")))))</f>
        <v/>
      </c>
      <c r="T354" s="10" t="str">
        <f aca="false">IF(A354="","",IF(AND(F354="Đã giao",H354&lt;&gt;"Đã xuất"),"Đã giao - CHƯA XUẤT HĐ",IF(AND(H354="Đã xuất",F354="Chưa giao"),"Đã xuất HĐ - chưa giao",IF(F354="","Chưa cập nhật giao hàng",IF(R354&gt;0,"Quá hạn "&amp;R354&amp;" ngày - đòi tiền",IF(P354&gt;0,"Chờ thu tiền",IF(P354&lt;0,"Kiểm tra thu thừa",IF(AND(F354="Đã giao",H354="Đã xuất"),"Hoàn tất","Theo dõi"))))))))</f>
        <v/>
      </c>
      <c r="U354" s="8"/>
    </row>
    <row r="355" customFormat="false" ht="15" hidden="false" customHeight="false" outlineLevel="0" collapsed="false">
      <c r="A355" s="8"/>
      <c r="B355" s="9"/>
      <c r="C355" s="8"/>
      <c r="D355" s="10" t="str">
        <f aca="false">IF(C355="","",IFERROR(VLOOKUP(C355,KhachHang!$A$2:$B$200,2,FALSE())&amp;"",""))</f>
        <v/>
      </c>
      <c r="E355" s="8"/>
      <c r="F355" s="8"/>
      <c r="G355" s="9"/>
      <c r="H355" s="8"/>
      <c r="I355" s="8"/>
      <c r="J355" s="9"/>
      <c r="K355" s="11" t="str">
        <f aca="false">IF(A355="","",SUMIFS(ChiTiet!$I$2:$I$2000,ChiTiet!$A$2:$A$2000,A355))</f>
        <v/>
      </c>
      <c r="L355" s="12"/>
      <c r="M355" s="11" t="str">
        <f aca="false">IF(A355="","",ROUND(K355*IF(L355="",0.08,L355),0))</f>
        <v/>
      </c>
      <c r="N355" s="11" t="str">
        <f aca="false">IF(A355="","",K355+M355)</f>
        <v/>
      </c>
      <c r="O355" s="11" t="str">
        <f aca="false">IF(A355="","",SUMIFS(ThuTien!$D$2:$D$2000,ThuTien!$B$2:$B$2000,A355))</f>
        <v/>
      </c>
      <c r="P355" s="11" t="str">
        <f aca="false">IF(A355="","",N355-O355)</f>
        <v/>
      </c>
      <c r="Q355" s="9"/>
      <c r="R355" s="10" t="str">
        <f aca="true">IF(A355="","",IF(AND(Q355&lt;&gt;"",P355&gt;0,TODAY()&gt;Q355),TODAY()-Q355,0))</f>
        <v/>
      </c>
      <c r="S355" s="10" t="str">
        <f aca="false">IF(A355="","",IF(N355=0,"Chưa có tiền hàng",IF(P355&lt;0,"Thu thừa",IF(P355=0,"Đã thu đủ",IF(O355&gt;0,"Thu một phần","Chưa thu")))))</f>
        <v/>
      </c>
      <c r="T355" s="10" t="str">
        <f aca="false">IF(A355="","",IF(AND(F355="Đã giao",H355&lt;&gt;"Đã xuất"),"Đã giao - CHƯA XUẤT HĐ",IF(AND(H355="Đã xuất",F355="Chưa giao"),"Đã xuất HĐ - chưa giao",IF(F355="","Chưa cập nhật giao hàng",IF(R355&gt;0,"Quá hạn "&amp;R355&amp;" ngày - đòi tiền",IF(P355&gt;0,"Chờ thu tiền",IF(P355&lt;0,"Kiểm tra thu thừa",IF(AND(F355="Đã giao",H355="Đã xuất"),"Hoàn tất","Theo dõi"))))))))</f>
        <v/>
      </c>
      <c r="U355" s="8"/>
    </row>
    <row r="356" customFormat="false" ht="15" hidden="false" customHeight="false" outlineLevel="0" collapsed="false">
      <c r="A356" s="8"/>
      <c r="B356" s="9"/>
      <c r="C356" s="8"/>
      <c r="D356" s="10" t="str">
        <f aca="false">IF(C356="","",IFERROR(VLOOKUP(C356,KhachHang!$A$2:$B$200,2,FALSE())&amp;"",""))</f>
        <v/>
      </c>
      <c r="E356" s="8"/>
      <c r="F356" s="8"/>
      <c r="G356" s="9"/>
      <c r="H356" s="8"/>
      <c r="I356" s="8"/>
      <c r="J356" s="9"/>
      <c r="K356" s="11" t="str">
        <f aca="false">IF(A356="","",SUMIFS(ChiTiet!$I$2:$I$2000,ChiTiet!$A$2:$A$2000,A356))</f>
        <v/>
      </c>
      <c r="L356" s="12"/>
      <c r="M356" s="11" t="str">
        <f aca="false">IF(A356="","",ROUND(K356*IF(L356="",0.08,L356),0))</f>
        <v/>
      </c>
      <c r="N356" s="11" t="str">
        <f aca="false">IF(A356="","",K356+M356)</f>
        <v/>
      </c>
      <c r="O356" s="11" t="str">
        <f aca="false">IF(A356="","",SUMIFS(ThuTien!$D$2:$D$2000,ThuTien!$B$2:$B$2000,A356))</f>
        <v/>
      </c>
      <c r="P356" s="11" t="str">
        <f aca="false">IF(A356="","",N356-O356)</f>
        <v/>
      </c>
      <c r="Q356" s="9"/>
      <c r="R356" s="10" t="str">
        <f aca="true">IF(A356="","",IF(AND(Q356&lt;&gt;"",P356&gt;0,TODAY()&gt;Q356),TODAY()-Q356,0))</f>
        <v/>
      </c>
      <c r="S356" s="10" t="str">
        <f aca="false">IF(A356="","",IF(N356=0,"Chưa có tiền hàng",IF(P356&lt;0,"Thu thừa",IF(P356=0,"Đã thu đủ",IF(O356&gt;0,"Thu một phần","Chưa thu")))))</f>
        <v/>
      </c>
      <c r="T356" s="10" t="str">
        <f aca="false">IF(A356="","",IF(AND(F356="Đã giao",H356&lt;&gt;"Đã xuất"),"Đã giao - CHƯA XUẤT HĐ",IF(AND(H356="Đã xuất",F356="Chưa giao"),"Đã xuất HĐ - chưa giao",IF(F356="","Chưa cập nhật giao hàng",IF(R356&gt;0,"Quá hạn "&amp;R356&amp;" ngày - đòi tiền",IF(P356&gt;0,"Chờ thu tiền",IF(P356&lt;0,"Kiểm tra thu thừa",IF(AND(F356="Đã giao",H356="Đã xuất"),"Hoàn tất","Theo dõi"))))))))</f>
        <v/>
      </c>
      <c r="U356" s="8"/>
    </row>
    <row r="357" customFormat="false" ht="15" hidden="false" customHeight="false" outlineLevel="0" collapsed="false">
      <c r="A357" s="8"/>
      <c r="B357" s="9"/>
      <c r="C357" s="8"/>
      <c r="D357" s="10" t="str">
        <f aca="false">IF(C357="","",IFERROR(VLOOKUP(C357,KhachHang!$A$2:$B$200,2,FALSE())&amp;"",""))</f>
        <v/>
      </c>
      <c r="E357" s="8"/>
      <c r="F357" s="8"/>
      <c r="G357" s="9"/>
      <c r="H357" s="8"/>
      <c r="I357" s="8"/>
      <c r="J357" s="9"/>
      <c r="K357" s="11" t="str">
        <f aca="false">IF(A357="","",SUMIFS(ChiTiet!$I$2:$I$2000,ChiTiet!$A$2:$A$2000,A357))</f>
        <v/>
      </c>
      <c r="L357" s="12"/>
      <c r="M357" s="11" t="str">
        <f aca="false">IF(A357="","",ROUND(K357*IF(L357="",0.08,L357),0))</f>
        <v/>
      </c>
      <c r="N357" s="11" t="str">
        <f aca="false">IF(A357="","",K357+M357)</f>
        <v/>
      </c>
      <c r="O357" s="11" t="str">
        <f aca="false">IF(A357="","",SUMIFS(ThuTien!$D$2:$D$2000,ThuTien!$B$2:$B$2000,A357))</f>
        <v/>
      </c>
      <c r="P357" s="11" t="str">
        <f aca="false">IF(A357="","",N357-O357)</f>
        <v/>
      </c>
      <c r="Q357" s="9"/>
      <c r="R357" s="10" t="str">
        <f aca="true">IF(A357="","",IF(AND(Q357&lt;&gt;"",P357&gt;0,TODAY()&gt;Q357),TODAY()-Q357,0))</f>
        <v/>
      </c>
      <c r="S357" s="10" t="str">
        <f aca="false">IF(A357="","",IF(N357=0,"Chưa có tiền hàng",IF(P357&lt;0,"Thu thừa",IF(P357=0,"Đã thu đủ",IF(O357&gt;0,"Thu một phần","Chưa thu")))))</f>
        <v/>
      </c>
      <c r="T357" s="10" t="str">
        <f aca="false">IF(A357="","",IF(AND(F357="Đã giao",H357&lt;&gt;"Đã xuất"),"Đã giao - CHƯA XUẤT HĐ",IF(AND(H357="Đã xuất",F357="Chưa giao"),"Đã xuất HĐ - chưa giao",IF(F357="","Chưa cập nhật giao hàng",IF(R357&gt;0,"Quá hạn "&amp;R357&amp;" ngày - đòi tiền",IF(P357&gt;0,"Chờ thu tiền",IF(P357&lt;0,"Kiểm tra thu thừa",IF(AND(F357="Đã giao",H357="Đã xuất"),"Hoàn tất","Theo dõi"))))))))</f>
        <v/>
      </c>
      <c r="U357" s="8"/>
    </row>
    <row r="358" customFormat="false" ht="15" hidden="false" customHeight="false" outlineLevel="0" collapsed="false">
      <c r="A358" s="8"/>
      <c r="B358" s="9"/>
      <c r="C358" s="8"/>
      <c r="D358" s="10" t="str">
        <f aca="false">IF(C358="","",IFERROR(VLOOKUP(C358,KhachHang!$A$2:$B$200,2,FALSE())&amp;"",""))</f>
        <v/>
      </c>
      <c r="E358" s="8"/>
      <c r="F358" s="8"/>
      <c r="G358" s="9"/>
      <c r="H358" s="8"/>
      <c r="I358" s="8"/>
      <c r="J358" s="9"/>
      <c r="K358" s="11" t="str">
        <f aca="false">IF(A358="","",SUMIFS(ChiTiet!$I$2:$I$2000,ChiTiet!$A$2:$A$2000,A358))</f>
        <v/>
      </c>
      <c r="L358" s="12"/>
      <c r="M358" s="11" t="str">
        <f aca="false">IF(A358="","",ROUND(K358*IF(L358="",0.08,L358),0))</f>
        <v/>
      </c>
      <c r="N358" s="11" t="str">
        <f aca="false">IF(A358="","",K358+M358)</f>
        <v/>
      </c>
      <c r="O358" s="11" t="str">
        <f aca="false">IF(A358="","",SUMIFS(ThuTien!$D$2:$D$2000,ThuTien!$B$2:$B$2000,A358))</f>
        <v/>
      </c>
      <c r="P358" s="11" t="str">
        <f aca="false">IF(A358="","",N358-O358)</f>
        <v/>
      </c>
      <c r="Q358" s="9"/>
      <c r="R358" s="10" t="str">
        <f aca="true">IF(A358="","",IF(AND(Q358&lt;&gt;"",P358&gt;0,TODAY()&gt;Q358),TODAY()-Q358,0))</f>
        <v/>
      </c>
      <c r="S358" s="10" t="str">
        <f aca="false">IF(A358="","",IF(N358=0,"Chưa có tiền hàng",IF(P358&lt;0,"Thu thừa",IF(P358=0,"Đã thu đủ",IF(O358&gt;0,"Thu một phần","Chưa thu")))))</f>
        <v/>
      </c>
      <c r="T358" s="10" t="str">
        <f aca="false">IF(A358="","",IF(AND(F358="Đã giao",H358&lt;&gt;"Đã xuất"),"Đã giao - CHƯA XUẤT HĐ",IF(AND(H358="Đã xuất",F358="Chưa giao"),"Đã xuất HĐ - chưa giao",IF(F358="","Chưa cập nhật giao hàng",IF(R358&gt;0,"Quá hạn "&amp;R358&amp;" ngày - đòi tiền",IF(P358&gt;0,"Chờ thu tiền",IF(P358&lt;0,"Kiểm tra thu thừa",IF(AND(F358="Đã giao",H358="Đã xuất"),"Hoàn tất","Theo dõi"))))))))</f>
        <v/>
      </c>
      <c r="U358" s="8"/>
    </row>
    <row r="359" customFormat="false" ht="15" hidden="false" customHeight="false" outlineLevel="0" collapsed="false">
      <c r="A359" s="8"/>
      <c r="B359" s="9"/>
      <c r="C359" s="8"/>
      <c r="D359" s="10" t="str">
        <f aca="false">IF(C359="","",IFERROR(VLOOKUP(C359,KhachHang!$A$2:$B$200,2,FALSE())&amp;"",""))</f>
        <v/>
      </c>
      <c r="E359" s="8"/>
      <c r="F359" s="8"/>
      <c r="G359" s="9"/>
      <c r="H359" s="8"/>
      <c r="I359" s="8"/>
      <c r="J359" s="9"/>
      <c r="K359" s="11" t="str">
        <f aca="false">IF(A359="","",SUMIFS(ChiTiet!$I$2:$I$2000,ChiTiet!$A$2:$A$2000,A359))</f>
        <v/>
      </c>
      <c r="L359" s="12"/>
      <c r="M359" s="11" t="str">
        <f aca="false">IF(A359="","",ROUND(K359*IF(L359="",0.08,L359),0))</f>
        <v/>
      </c>
      <c r="N359" s="11" t="str">
        <f aca="false">IF(A359="","",K359+M359)</f>
        <v/>
      </c>
      <c r="O359" s="11" t="str">
        <f aca="false">IF(A359="","",SUMIFS(ThuTien!$D$2:$D$2000,ThuTien!$B$2:$B$2000,A359))</f>
        <v/>
      </c>
      <c r="P359" s="11" t="str">
        <f aca="false">IF(A359="","",N359-O359)</f>
        <v/>
      </c>
      <c r="Q359" s="9"/>
      <c r="R359" s="10" t="str">
        <f aca="true">IF(A359="","",IF(AND(Q359&lt;&gt;"",P359&gt;0,TODAY()&gt;Q359),TODAY()-Q359,0))</f>
        <v/>
      </c>
      <c r="S359" s="10" t="str">
        <f aca="false">IF(A359="","",IF(N359=0,"Chưa có tiền hàng",IF(P359&lt;0,"Thu thừa",IF(P359=0,"Đã thu đủ",IF(O359&gt;0,"Thu một phần","Chưa thu")))))</f>
        <v/>
      </c>
      <c r="T359" s="10" t="str">
        <f aca="false">IF(A359="","",IF(AND(F359="Đã giao",H359&lt;&gt;"Đã xuất"),"Đã giao - CHƯA XUẤT HĐ",IF(AND(H359="Đã xuất",F359="Chưa giao"),"Đã xuất HĐ - chưa giao",IF(F359="","Chưa cập nhật giao hàng",IF(R359&gt;0,"Quá hạn "&amp;R359&amp;" ngày - đòi tiền",IF(P359&gt;0,"Chờ thu tiền",IF(P359&lt;0,"Kiểm tra thu thừa",IF(AND(F359="Đã giao",H359="Đã xuất"),"Hoàn tất","Theo dõi"))))))))</f>
        <v/>
      </c>
      <c r="U359" s="8"/>
    </row>
    <row r="360" customFormat="false" ht="15" hidden="false" customHeight="false" outlineLevel="0" collapsed="false">
      <c r="A360" s="8"/>
      <c r="B360" s="9"/>
      <c r="C360" s="8"/>
      <c r="D360" s="10" t="str">
        <f aca="false">IF(C360="","",IFERROR(VLOOKUP(C360,KhachHang!$A$2:$B$200,2,FALSE())&amp;"",""))</f>
        <v/>
      </c>
      <c r="E360" s="8"/>
      <c r="F360" s="8"/>
      <c r="G360" s="9"/>
      <c r="H360" s="8"/>
      <c r="I360" s="8"/>
      <c r="J360" s="9"/>
      <c r="K360" s="11" t="str">
        <f aca="false">IF(A360="","",SUMIFS(ChiTiet!$I$2:$I$2000,ChiTiet!$A$2:$A$2000,A360))</f>
        <v/>
      </c>
      <c r="L360" s="12"/>
      <c r="M360" s="11" t="str">
        <f aca="false">IF(A360="","",ROUND(K360*IF(L360="",0.08,L360),0))</f>
        <v/>
      </c>
      <c r="N360" s="11" t="str">
        <f aca="false">IF(A360="","",K360+M360)</f>
        <v/>
      </c>
      <c r="O360" s="11" t="str">
        <f aca="false">IF(A360="","",SUMIFS(ThuTien!$D$2:$D$2000,ThuTien!$B$2:$B$2000,A360))</f>
        <v/>
      </c>
      <c r="P360" s="11" t="str">
        <f aca="false">IF(A360="","",N360-O360)</f>
        <v/>
      </c>
      <c r="Q360" s="9"/>
      <c r="R360" s="10" t="str">
        <f aca="true">IF(A360="","",IF(AND(Q360&lt;&gt;"",P360&gt;0,TODAY()&gt;Q360),TODAY()-Q360,0))</f>
        <v/>
      </c>
      <c r="S360" s="10" t="str">
        <f aca="false">IF(A360="","",IF(N360=0,"Chưa có tiền hàng",IF(P360&lt;0,"Thu thừa",IF(P360=0,"Đã thu đủ",IF(O360&gt;0,"Thu một phần","Chưa thu")))))</f>
        <v/>
      </c>
      <c r="T360" s="10" t="str">
        <f aca="false">IF(A360="","",IF(AND(F360="Đã giao",H360&lt;&gt;"Đã xuất"),"Đã giao - CHƯA XUẤT HĐ",IF(AND(H360="Đã xuất",F360="Chưa giao"),"Đã xuất HĐ - chưa giao",IF(F360="","Chưa cập nhật giao hàng",IF(R360&gt;0,"Quá hạn "&amp;R360&amp;" ngày - đòi tiền",IF(P360&gt;0,"Chờ thu tiền",IF(P360&lt;0,"Kiểm tra thu thừa",IF(AND(F360="Đã giao",H360="Đã xuất"),"Hoàn tất","Theo dõi"))))))))</f>
        <v/>
      </c>
      <c r="U360" s="8"/>
    </row>
    <row r="361" customFormat="false" ht="15" hidden="false" customHeight="false" outlineLevel="0" collapsed="false">
      <c r="A361" s="8"/>
      <c r="B361" s="9"/>
      <c r="C361" s="8"/>
      <c r="D361" s="10" t="str">
        <f aca="false">IF(C361="","",IFERROR(VLOOKUP(C361,KhachHang!$A$2:$B$200,2,FALSE())&amp;"",""))</f>
        <v/>
      </c>
      <c r="E361" s="8"/>
      <c r="F361" s="8"/>
      <c r="G361" s="9"/>
      <c r="H361" s="8"/>
      <c r="I361" s="8"/>
      <c r="J361" s="9"/>
      <c r="K361" s="11" t="str">
        <f aca="false">IF(A361="","",SUMIFS(ChiTiet!$I$2:$I$2000,ChiTiet!$A$2:$A$2000,A361))</f>
        <v/>
      </c>
      <c r="L361" s="12"/>
      <c r="M361" s="11" t="str">
        <f aca="false">IF(A361="","",ROUND(K361*IF(L361="",0.08,L361),0))</f>
        <v/>
      </c>
      <c r="N361" s="11" t="str">
        <f aca="false">IF(A361="","",K361+M361)</f>
        <v/>
      </c>
      <c r="O361" s="11" t="str">
        <f aca="false">IF(A361="","",SUMIFS(ThuTien!$D$2:$D$2000,ThuTien!$B$2:$B$2000,A361))</f>
        <v/>
      </c>
      <c r="P361" s="11" t="str">
        <f aca="false">IF(A361="","",N361-O361)</f>
        <v/>
      </c>
      <c r="Q361" s="9"/>
      <c r="R361" s="10" t="str">
        <f aca="true">IF(A361="","",IF(AND(Q361&lt;&gt;"",P361&gt;0,TODAY()&gt;Q361),TODAY()-Q361,0))</f>
        <v/>
      </c>
      <c r="S361" s="10" t="str">
        <f aca="false">IF(A361="","",IF(N361=0,"Chưa có tiền hàng",IF(P361&lt;0,"Thu thừa",IF(P361=0,"Đã thu đủ",IF(O361&gt;0,"Thu một phần","Chưa thu")))))</f>
        <v/>
      </c>
      <c r="T361" s="10" t="str">
        <f aca="false">IF(A361="","",IF(AND(F361="Đã giao",H361&lt;&gt;"Đã xuất"),"Đã giao - CHƯA XUẤT HĐ",IF(AND(H361="Đã xuất",F361="Chưa giao"),"Đã xuất HĐ - chưa giao",IF(F361="","Chưa cập nhật giao hàng",IF(R361&gt;0,"Quá hạn "&amp;R361&amp;" ngày - đòi tiền",IF(P361&gt;0,"Chờ thu tiền",IF(P361&lt;0,"Kiểm tra thu thừa",IF(AND(F361="Đã giao",H361="Đã xuất"),"Hoàn tất","Theo dõi"))))))))</f>
        <v/>
      </c>
      <c r="U361" s="8"/>
    </row>
    <row r="362" customFormat="false" ht="15" hidden="false" customHeight="false" outlineLevel="0" collapsed="false">
      <c r="A362" s="8"/>
      <c r="B362" s="9"/>
      <c r="C362" s="8"/>
      <c r="D362" s="10" t="str">
        <f aca="false">IF(C362="","",IFERROR(VLOOKUP(C362,KhachHang!$A$2:$B$200,2,FALSE())&amp;"",""))</f>
        <v/>
      </c>
      <c r="E362" s="8"/>
      <c r="F362" s="8"/>
      <c r="G362" s="9"/>
      <c r="H362" s="8"/>
      <c r="I362" s="8"/>
      <c r="J362" s="9"/>
      <c r="K362" s="11" t="str">
        <f aca="false">IF(A362="","",SUMIFS(ChiTiet!$I$2:$I$2000,ChiTiet!$A$2:$A$2000,A362))</f>
        <v/>
      </c>
      <c r="L362" s="12"/>
      <c r="M362" s="11" t="str">
        <f aca="false">IF(A362="","",ROUND(K362*IF(L362="",0.08,L362),0))</f>
        <v/>
      </c>
      <c r="N362" s="11" t="str">
        <f aca="false">IF(A362="","",K362+M362)</f>
        <v/>
      </c>
      <c r="O362" s="11" t="str">
        <f aca="false">IF(A362="","",SUMIFS(ThuTien!$D$2:$D$2000,ThuTien!$B$2:$B$2000,A362))</f>
        <v/>
      </c>
      <c r="P362" s="11" t="str">
        <f aca="false">IF(A362="","",N362-O362)</f>
        <v/>
      </c>
      <c r="Q362" s="9"/>
      <c r="R362" s="10" t="str">
        <f aca="true">IF(A362="","",IF(AND(Q362&lt;&gt;"",P362&gt;0,TODAY()&gt;Q362),TODAY()-Q362,0))</f>
        <v/>
      </c>
      <c r="S362" s="10" t="str">
        <f aca="false">IF(A362="","",IF(N362=0,"Chưa có tiền hàng",IF(P362&lt;0,"Thu thừa",IF(P362=0,"Đã thu đủ",IF(O362&gt;0,"Thu một phần","Chưa thu")))))</f>
        <v/>
      </c>
      <c r="T362" s="10" t="str">
        <f aca="false">IF(A362="","",IF(AND(F362="Đã giao",H362&lt;&gt;"Đã xuất"),"Đã giao - CHƯA XUẤT HĐ",IF(AND(H362="Đã xuất",F362="Chưa giao"),"Đã xuất HĐ - chưa giao",IF(F362="","Chưa cập nhật giao hàng",IF(R362&gt;0,"Quá hạn "&amp;R362&amp;" ngày - đòi tiền",IF(P362&gt;0,"Chờ thu tiền",IF(P362&lt;0,"Kiểm tra thu thừa",IF(AND(F362="Đã giao",H362="Đã xuất"),"Hoàn tất","Theo dõi"))))))))</f>
        <v/>
      </c>
      <c r="U362" s="8"/>
    </row>
    <row r="363" customFormat="false" ht="15" hidden="false" customHeight="false" outlineLevel="0" collapsed="false">
      <c r="A363" s="8"/>
      <c r="B363" s="9"/>
      <c r="C363" s="8"/>
      <c r="D363" s="10" t="str">
        <f aca="false">IF(C363="","",IFERROR(VLOOKUP(C363,KhachHang!$A$2:$B$200,2,FALSE())&amp;"",""))</f>
        <v/>
      </c>
      <c r="E363" s="8"/>
      <c r="F363" s="8"/>
      <c r="G363" s="9"/>
      <c r="H363" s="8"/>
      <c r="I363" s="8"/>
      <c r="J363" s="9"/>
      <c r="K363" s="11" t="str">
        <f aca="false">IF(A363="","",SUMIFS(ChiTiet!$I$2:$I$2000,ChiTiet!$A$2:$A$2000,A363))</f>
        <v/>
      </c>
      <c r="L363" s="12"/>
      <c r="M363" s="11" t="str">
        <f aca="false">IF(A363="","",ROUND(K363*IF(L363="",0.08,L363),0))</f>
        <v/>
      </c>
      <c r="N363" s="11" t="str">
        <f aca="false">IF(A363="","",K363+M363)</f>
        <v/>
      </c>
      <c r="O363" s="11" t="str">
        <f aca="false">IF(A363="","",SUMIFS(ThuTien!$D$2:$D$2000,ThuTien!$B$2:$B$2000,A363))</f>
        <v/>
      </c>
      <c r="P363" s="11" t="str">
        <f aca="false">IF(A363="","",N363-O363)</f>
        <v/>
      </c>
      <c r="Q363" s="9"/>
      <c r="R363" s="10" t="str">
        <f aca="true">IF(A363="","",IF(AND(Q363&lt;&gt;"",P363&gt;0,TODAY()&gt;Q363),TODAY()-Q363,0))</f>
        <v/>
      </c>
      <c r="S363" s="10" t="str">
        <f aca="false">IF(A363="","",IF(N363=0,"Chưa có tiền hàng",IF(P363&lt;0,"Thu thừa",IF(P363=0,"Đã thu đủ",IF(O363&gt;0,"Thu một phần","Chưa thu")))))</f>
        <v/>
      </c>
      <c r="T363" s="10" t="str">
        <f aca="false">IF(A363="","",IF(AND(F363="Đã giao",H363&lt;&gt;"Đã xuất"),"Đã giao - CHƯA XUẤT HĐ",IF(AND(H363="Đã xuất",F363="Chưa giao"),"Đã xuất HĐ - chưa giao",IF(F363="","Chưa cập nhật giao hàng",IF(R363&gt;0,"Quá hạn "&amp;R363&amp;" ngày - đòi tiền",IF(P363&gt;0,"Chờ thu tiền",IF(P363&lt;0,"Kiểm tra thu thừa",IF(AND(F363="Đã giao",H363="Đã xuất"),"Hoàn tất","Theo dõi"))))))))</f>
        <v/>
      </c>
      <c r="U363" s="8"/>
    </row>
    <row r="364" customFormat="false" ht="15" hidden="false" customHeight="false" outlineLevel="0" collapsed="false">
      <c r="A364" s="8"/>
      <c r="B364" s="9"/>
      <c r="C364" s="8"/>
      <c r="D364" s="10" t="str">
        <f aca="false">IF(C364="","",IFERROR(VLOOKUP(C364,KhachHang!$A$2:$B$200,2,FALSE())&amp;"",""))</f>
        <v/>
      </c>
      <c r="E364" s="8"/>
      <c r="F364" s="8"/>
      <c r="G364" s="9"/>
      <c r="H364" s="8"/>
      <c r="I364" s="8"/>
      <c r="J364" s="9"/>
      <c r="K364" s="11" t="str">
        <f aca="false">IF(A364="","",SUMIFS(ChiTiet!$I$2:$I$2000,ChiTiet!$A$2:$A$2000,A364))</f>
        <v/>
      </c>
      <c r="L364" s="12"/>
      <c r="M364" s="11" t="str">
        <f aca="false">IF(A364="","",ROUND(K364*IF(L364="",0.08,L364),0))</f>
        <v/>
      </c>
      <c r="N364" s="11" t="str">
        <f aca="false">IF(A364="","",K364+M364)</f>
        <v/>
      </c>
      <c r="O364" s="11" t="str">
        <f aca="false">IF(A364="","",SUMIFS(ThuTien!$D$2:$D$2000,ThuTien!$B$2:$B$2000,A364))</f>
        <v/>
      </c>
      <c r="P364" s="11" t="str">
        <f aca="false">IF(A364="","",N364-O364)</f>
        <v/>
      </c>
      <c r="Q364" s="9"/>
      <c r="R364" s="10" t="str">
        <f aca="true">IF(A364="","",IF(AND(Q364&lt;&gt;"",P364&gt;0,TODAY()&gt;Q364),TODAY()-Q364,0))</f>
        <v/>
      </c>
      <c r="S364" s="10" t="str">
        <f aca="false">IF(A364="","",IF(N364=0,"Chưa có tiền hàng",IF(P364&lt;0,"Thu thừa",IF(P364=0,"Đã thu đủ",IF(O364&gt;0,"Thu một phần","Chưa thu")))))</f>
        <v/>
      </c>
      <c r="T364" s="10" t="str">
        <f aca="false">IF(A364="","",IF(AND(F364="Đã giao",H364&lt;&gt;"Đã xuất"),"Đã giao - CHƯA XUẤT HĐ",IF(AND(H364="Đã xuất",F364="Chưa giao"),"Đã xuất HĐ - chưa giao",IF(F364="","Chưa cập nhật giao hàng",IF(R364&gt;0,"Quá hạn "&amp;R364&amp;" ngày - đòi tiền",IF(P364&gt;0,"Chờ thu tiền",IF(P364&lt;0,"Kiểm tra thu thừa",IF(AND(F364="Đã giao",H364="Đã xuất"),"Hoàn tất","Theo dõi"))))))))</f>
        <v/>
      </c>
      <c r="U364" s="8"/>
    </row>
    <row r="365" customFormat="false" ht="15" hidden="false" customHeight="false" outlineLevel="0" collapsed="false">
      <c r="A365" s="8"/>
      <c r="B365" s="9"/>
      <c r="C365" s="8"/>
      <c r="D365" s="10" t="str">
        <f aca="false">IF(C365="","",IFERROR(VLOOKUP(C365,KhachHang!$A$2:$B$200,2,FALSE())&amp;"",""))</f>
        <v/>
      </c>
      <c r="E365" s="8"/>
      <c r="F365" s="8"/>
      <c r="G365" s="9"/>
      <c r="H365" s="8"/>
      <c r="I365" s="8"/>
      <c r="J365" s="9"/>
      <c r="K365" s="11" t="str">
        <f aca="false">IF(A365="","",SUMIFS(ChiTiet!$I$2:$I$2000,ChiTiet!$A$2:$A$2000,A365))</f>
        <v/>
      </c>
      <c r="L365" s="12"/>
      <c r="M365" s="11" t="str">
        <f aca="false">IF(A365="","",ROUND(K365*IF(L365="",0.08,L365),0))</f>
        <v/>
      </c>
      <c r="N365" s="11" t="str">
        <f aca="false">IF(A365="","",K365+M365)</f>
        <v/>
      </c>
      <c r="O365" s="11" t="str">
        <f aca="false">IF(A365="","",SUMIFS(ThuTien!$D$2:$D$2000,ThuTien!$B$2:$B$2000,A365))</f>
        <v/>
      </c>
      <c r="P365" s="11" t="str">
        <f aca="false">IF(A365="","",N365-O365)</f>
        <v/>
      </c>
      <c r="Q365" s="9"/>
      <c r="R365" s="10" t="str">
        <f aca="true">IF(A365="","",IF(AND(Q365&lt;&gt;"",P365&gt;0,TODAY()&gt;Q365),TODAY()-Q365,0))</f>
        <v/>
      </c>
      <c r="S365" s="10" t="str">
        <f aca="false">IF(A365="","",IF(N365=0,"Chưa có tiền hàng",IF(P365&lt;0,"Thu thừa",IF(P365=0,"Đã thu đủ",IF(O365&gt;0,"Thu một phần","Chưa thu")))))</f>
        <v/>
      </c>
      <c r="T365" s="10" t="str">
        <f aca="false">IF(A365="","",IF(AND(F365="Đã giao",H365&lt;&gt;"Đã xuất"),"Đã giao - CHƯA XUẤT HĐ",IF(AND(H365="Đã xuất",F365="Chưa giao"),"Đã xuất HĐ - chưa giao",IF(F365="","Chưa cập nhật giao hàng",IF(R365&gt;0,"Quá hạn "&amp;R365&amp;" ngày - đòi tiền",IF(P365&gt;0,"Chờ thu tiền",IF(P365&lt;0,"Kiểm tra thu thừa",IF(AND(F365="Đã giao",H365="Đã xuất"),"Hoàn tất","Theo dõi"))))))))</f>
        <v/>
      </c>
      <c r="U365" s="8"/>
    </row>
    <row r="366" customFormat="false" ht="15" hidden="false" customHeight="false" outlineLevel="0" collapsed="false">
      <c r="A366" s="8"/>
      <c r="B366" s="9"/>
      <c r="C366" s="8"/>
      <c r="D366" s="10" t="str">
        <f aca="false">IF(C366="","",IFERROR(VLOOKUP(C366,KhachHang!$A$2:$B$200,2,FALSE())&amp;"",""))</f>
        <v/>
      </c>
      <c r="E366" s="8"/>
      <c r="F366" s="8"/>
      <c r="G366" s="9"/>
      <c r="H366" s="8"/>
      <c r="I366" s="8"/>
      <c r="J366" s="9"/>
      <c r="K366" s="11" t="str">
        <f aca="false">IF(A366="","",SUMIFS(ChiTiet!$I$2:$I$2000,ChiTiet!$A$2:$A$2000,A366))</f>
        <v/>
      </c>
      <c r="L366" s="12"/>
      <c r="M366" s="11" t="str">
        <f aca="false">IF(A366="","",ROUND(K366*IF(L366="",0.08,L366),0))</f>
        <v/>
      </c>
      <c r="N366" s="11" t="str">
        <f aca="false">IF(A366="","",K366+M366)</f>
        <v/>
      </c>
      <c r="O366" s="11" t="str">
        <f aca="false">IF(A366="","",SUMIFS(ThuTien!$D$2:$D$2000,ThuTien!$B$2:$B$2000,A366))</f>
        <v/>
      </c>
      <c r="P366" s="11" t="str">
        <f aca="false">IF(A366="","",N366-O366)</f>
        <v/>
      </c>
      <c r="Q366" s="9"/>
      <c r="R366" s="10" t="str">
        <f aca="true">IF(A366="","",IF(AND(Q366&lt;&gt;"",P366&gt;0,TODAY()&gt;Q366),TODAY()-Q366,0))</f>
        <v/>
      </c>
      <c r="S366" s="10" t="str">
        <f aca="false">IF(A366="","",IF(N366=0,"Chưa có tiền hàng",IF(P366&lt;0,"Thu thừa",IF(P366=0,"Đã thu đủ",IF(O366&gt;0,"Thu một phần","Chưa thu")))))</f>
        <v/>
      </c>
      <c r="T366" s="10" t="str">
        <f aca="false">IF(A366="","",IF(AND(F366="Đã giao",H366&lt;&gt;"Đã xuất"),"Đã giao - CHƯA XUẤT HĐ",IF(AND(H366="Đã xuất",F366="Chưa giao"),"Đã xuất HĐ - chưa giao",IF(F366="","Chưa cập nhật giao hàng",IF(R366&gt;0,"Quá hạn "&amp;R366&amp;" ngày - đòi tiền",IF(P366&gt;0,"Chờ thu tiền",IF(P366&lt;0,"Kiểm tra thu thừa",IF(AND(F366="Đã giao",H366="Đã xuất"),"Hoàn tất","Theo dõi"))))))))</f>
        <v/>
      </c>
      <c r="U366" s="8"/>
    </row>
    <row r="367" customFormat="false" ht="15" hidden="false" customHeight="false" outlineLevel="0" collapsed="false">
      <c r="A367" s="8"/>
      <c r="B367" s="9"/>
      <c r="C367" s="8"/>
      <c r="D367" s="10" t="str">
        <f aca="false">IF(C367="","",IFERROR(VLOOKUP(C367,KhachHang!$A$2:$B$200,2,FALSE())&amp;"",""))</f>
        <v/>
      </c>
      <c r="E367" s="8"/>
      <c r="F367" s="8"/>
      <c r="G367" s="9"/>
      <c r="H367" s="8"/>
      <c r="I367" s="8"/>
      <c r="J367" s="9"/>
      <c r="K367" s="11" t="str">
        <f aca="false">IF(A367="","",SUMIFS(ChiTiet!$I$2:$I$2000,ChiTiet!$A$2:$A$2000,A367))</f>
        <v/>
      </c>
      <c r="L367" s="12"/>
      <c r="M367" s="11" t="str">
        <f aca="false">IF(A367="","",ROUND(K367*IF(L367="",0.08,L367),0))</f>
        <v/>
      </c>
      <c r="N367" s="11" t="str">
        <f aca="false">IF(A367="","",K367+M367)</f>
        <v/>
      </c>
      <c r="O367" s="11" t="str">
        <f aca="false">IF(A367="","",SUMIFS(ThuTien!$D$2:$D$2000,ThuTien!$B$2:$B$2000,A367))</f>
        <v/>
      </c>
      <c r="P367" s="11" t="str">
        <f aca="false">IF(A367="","",N367-O367)</f>
        <v/>
      </c>
      <c r="Q367" s="9"/>
      <c r="R367" s="10" t="str">
        <f aca="true">IF(A367="","",IF(AND(Q367&lt;&gt;"",P367&gt;0,TODAY()&gt;Q367),TODAY()-Q367,0))</f>
        <v/>
      </c>
      <c r="S367" s="10" t="str">
        <f aca="false">IF(A367="","",IF(N367=0,"Chưa có tiền hàng",IF(P367&lt;0,"Thu thừa",IF(P367=0,"Đã thu đủ",IF(O367&gt;0,"Thu một phần","Chưa thu")))))</f>
        <v/>
      </c>
      <c r="T367" s="10" t="str">
        <f aca="false">IF(A367="","",IF(AND(F367="Đã giao",H367&lt;&gt;"Đã xuất"),"Đã giao - CHƯA XUẤT HĐ",IF(AND(H367="Đã xuất",F367="Chưa giao"),"Đã xuất HĐ - chưa giao",IF(F367="","Chưa cập nhật giao hàng",IF(R367&gt;0,"Quá hạn "&amp;R367&amp;" ngày - đòi tiền",IF(P367&gt;0,"Chờ thu tiền",IF(P367&lt;0,"Kiểm tra thu thừa",IF(AND(F367="Đã giao",H367="Đã xuất"),"Hoàn tất","Theo dõi"))))))))</f>
        <v/>
      </c>
      <c r="U367" s="8"/>
    </row>
    <row r="368" customFormat="false" ht="15" hidden="false" customHeight="false" outlineLevel="0" collapsed="false">
      <c r="A368" s="8"/>
      <c r="B368" s="9"/>
      <c r="C368" s="8"/>
      <c r="D368" s="10" t="str">
        <f aca="false">IF(C368="","",IFERROR(VLOOKUP(C368,KhachHang!$A$2:$B$200,2,FALSE())&amp;"",""))</f>
        <v/>
      </c>
      <c r="E368" s="8"/>
      <c r="F368" s="8"/>
      <c r="G368" s="9"/>
      <c r="H368" s="8"/>
      <c r="I368" s="8"/>
      <c r="J368" s="9"/>
      <c r="K368" s="11" t="str">
        <f aca="false">IF(A368="","",SUMIFS(ChiTiet!$I$2:$I$2000,ChiTiet!$A$2:$A$2000,A368))</f>
        <v/>
      </c>
      <c r="L368" s="12"/>
      <c r="M368" s="11" t="str">
        <f aca="false">IF(A368="","",ROUND(K368*IF(L368="",0.08,L368),0))</f>
        <v/>
      </c>
      <c r="N368" s="11" t="str">
        <f aca="false">IF(A368="","",K368+M368)</f>
        <v/>
      </c>
      <c r="O368" s="11" t="str">
        <f aca="false">IF(A368="","",SUMIFS(ThuTien!$D$2:$D$2000,ThuTien!$B$2:$B$2000,A368))</f>
        <v/>
      </c>
      <c r="P368" s="11" t="str">
        <f aca="false">IF(A368="","",N368-O368)</f>
        <v/>
      </c>
      <c r="Q368" s="9"/>
      <c r="R368" s="10" t="str">
        <f aca="true">IF(A368="","",IF(AND(Q368&lt;&gt;"",P368&gt;0,TODAY()&gt;Q368),TODAY()-Q368,0))</f>
        <v/>
      </c>
      <c r="S368" s="10" t="str">
        <f aca="false">IF(A368="","",IF(N368=0,"Chưa có tiền hàng",IF(P368&lt;0,"Thu thừa",IF(P368=0,"Đã thu đủ",IF(O368&gt;0,"Thu một phần","Chưa thu")))))</f>
        <v/>
      </c>
      <c r="T368" s="10" t="str">
        <f aca="false">IF(A368="","",IF(AND(F368="Đã giao",H368&lt;&gt;"Đã xuất"),"Đã giao - CHƯA XUẤT HĐ",IF(AND(H368="Đã xuất",F368="Chưa giao"),"Đã xuất HĐ - chưa giao",IF(F368="","Chưa cập nhật giao hàng",IF(R368&gt;0,"Quá hạn "&amp;R368&amp;" ngày - đòi tiền",IF(P368&gt;0,"Chờ thu tiền",IF(P368&lt;0,"Kiểm tra thu thừa",IF(AND(F368="Đã giao",H368="Đã xuất"),"Hoàn tất","Theo dõi"))))))))</f>
        <v/>
      </c>
      <c r="U368" s="8"/>
    </row>
    <row r="369" customFormat="false" ht="15" hidden="false" customHeight="false" outlineLevel="0" collapsed="false">
      <c r="A369" s="8"/>
      <c r="B369" s="9"/>
      <c r="C369" s="8"/>
      <c r="D369" s="10" t="str">
        <f aca="false">IF(C369="","",IFERROR(VLOOKUP(C369,KhachHang!$A$2:$B$200,2,FALSE())&amp;"",""))</f>
        <v/>
      </c>
      <c r="E369" s="8"/>
      <c r="F369" s="8"/>
      <c r="G369" s="9"/>
      <c r="H369" s="8"/>
      <c r="I369" s="8"/>
      <c r="J369" s="9"/>
      <c r="K369" s="11" t="str">
        <f aca="false">IF(A369="","",SUMIFS(ChiTiet!$I$2:$I$2000,ChiTiet!$A$2:$A$2000,A369))</f>
        <v/>
      </c>
      <c r="L369" s="12"/>
      <c r="M369" s="11" t="str">
        <f aca="false">IF(A369="","",ROUND(K369*IF(L369="",0.08,L369),0))</f>
        <v/>
      </c>
      <c r="N369" s="11" t="str">
        <f aca="false">IF(A369="","",K369+M369)</f>
        <v/>
      </c>
      <c r="O369" s="11" t="str">
        <f aca="false">IF(A369="","",SUMIFS(ThuTien!$D$2:$D$2000,ThuTien!$B$2:$B$2000,A369))</f>
        <v/>
      </c>
      <c r="P369" s="11" t="str">
        <f aca="false">IF(A369="","",N369-O369)</f>
        <v/>
      </c>
      <c r="Q369" s="9"/>
      <c r="R369" s="10" t="str">
        <f aca="true">IF(A369="","",IF(AND(Q369&lt;&gt;"",P369&gt;0,TODAY()&gt;Q369),TODAY()-Q369,0))</f>
        <v/>
      </c>
      <c r="S369" s="10" t="str">
        <f aca="false">IF(A369="","",IF(N369=0,"Chưa có tiền hàng",IF(P369&lt;0,"Thu thừa",IF(P369=0,"Đã thu đủ",IF(O369&gt;0,"Thu một phần","Chưa thu")))))</f>
        <v/>
      </c>
      <c r="T369" s="10" t="str">
        <f aca="false">IF(A369="","",IF(AND(F369="Đã giao",H369&lt;&gt;"Đã xuất"),"Đã giao - CHƯA XUẤT HĐ",IF(AND(H369="Đã xuất",F369="Chưa giao"),"Đã xuất HĐ - chưa giao",IF(F369="","Chưa cập nhật giao hàng",IF(R369&gt;0,"Quá hạn "&amp;R369&amp;" ngày - đòi tiền",IF(P369&gt;0,"Chờ thu tiền",IF(P369&lt;0,"Kiểm tra thu thừa",IF(AND(F369="Đã giao",H369="Đã xuất"),"Hoàn tất","Theo dõi"))))))))</f>
        <v/>
      </c>
      <c r="U369" s="8"/>
    </row>
    <row r="370" customFormat="false" ht="15" hidden="false" customHeight="false" outlineLevel="0" collapsed="false">
      <c r="A370" s="8"/>
      <c r="B370" s="9"/>
      <c r="C370" s="8"/>
      <c r="D370" s="10" t="str">
        <f aca="false">IF(C370="","",IFERROR(VLOOKUP(C370,KhachHang!$A$2:$B$200,2,FALSE())&amp;"",""))</f>
        <v/>
      </c>
      <c r="E370" s="8"/>
      <c r="F370" s="8"/>
      <c r="G370" s="9"/>
      <c r="H370" s="8"/>
      <c r="I370" s="8"/>
      <c r="J370" s="9"/>
      <c r="K370" s="11" t="str">
        <f aca="false">IF(A370="","",SUMIFS(ChiTiet!$I$2:$I$2000,ChiTiet!$A$2:$A$2000,A370))</f>
        <v/>
      </c>
      <c r="L370" s="12"/>
      <c r="M370" s="11" t="str">
        <f aca="false">IF(A370="","",ROUND(K370*IF(L370="",0.08,L370),0))</f>
        <v/>
      </c>
      <c r="N370" s="11" t="str">
        <f aca="false">IF(A370="","",K370+M370)</f>
        <v/>
      </c>
      <c r="O370" s="11" t="str">
        <f aca="false">IF(A370="","",SUMIFS(ThuTien!$D$2:$D$2000,ThuTien!$B$2:$B$2000,A370))</f>
        <v/>
      </c>
      <c r="P370" s="11" t="str">
        <f aca="false">IF(A370="","",N370-O370)</f>
        <v/>
      </c>
      <c r="Q370" s="9"/>
      <c r="R370" s="10" t="str">
        <f aca="true">IF(A370="","",IF(AND(Q370&lt;&gt;"",P370&gt;0,TODAY()&gt;Q370),TODAY()-Q370,0))</f>
        <v/>
      </c>
      <c r="S370" s="10" t="str">
        <f aca="false">IF(A370="","",IF(N370=0,"Chưa có tiền hàng",IF(P370&lt;0,"Thu thừa",IF(P370=0,"Đã thu đủ",IF(O370&gt;0,"Thu một phần","Chưa thu")))))</f>
        <v/>
      </c>
      <c r="T370" s="10" t="str">
        <f aca="false">IF(A370="","",IF(AND(F370="Đã giao",H370&lt;&gt;"Đã xuất"),"Đã giao - CHƯA XUẤT HĐ",IF(AND(H370="Đã xuất",F370="Chưa giao"),"Đã xuất HĐ - chưa giao",IF(F370="","Chưa cập nhật giao hàng",IF(R370&gt;0,"Quá hạn "&amp;R370&amp;" ngày - đòi tiền",IF(P370&gt;0,"Chờ thu tiền",IF(P370&lt;0,"Kiểm tra thu thừa",IF(AND(F370="Đã giao",H370="Đã xuất"),"Hoàn tất","Theo dõi"))))))))</f>
        <v/>
      </c>
      <c r="U370" s="8"/>
    </row>
    <row r="371" customFormat="false" ht="15" hidden="false" customHeight="false" outlineLevel="0" collapsed="false">
      <c r="A371" s="8"/>
      <c r="B371" s="9"/>
      <c r="C371" s="8"/>
      <c r="D371" s="10" t="str">
        <f aca="false">IF(C371="","",IFERROR(VLOOKUP(C371,KhachHang!$A$2:$B$200,2,FALSE())&amp;"",""))</f>
        <v/>
      </c>
      <c r="E371" s="8"/>
      <c r="F371" s="8"/>
      <c r="G371" s="9"/>
      <c r="H371" s="8"/>
      <c r="I371" s="8"/>
      <c r="J371" s="9"/>
      <c r="K371" s="11" t="str">
        <f aca="false">IF(A371="","",SUMIFS(ChiTiet!$I$2:$I$2000,ChiTiet!$A$2:$A$2000,A371))</f>
        <v/>
      </c>
      <c r="L371" s="12"/>
      <c r="M371" s="11" t="str">
        <f aca="false">IF(A371="","",ROUND(K371*IF(L371="",0.08,L371),0))</f>
        <v/>
      </c>
      <c r="N371" s="11" t="str">
        <f aca="false">IF(A371="","",K371+M371)</f>
        <v/>
      </c>
      <c r="O371" s="11" t="str">
        <f aca="false">IF(A371="","",SUMIFS(ThuTien!$D$2:$D$2000,ThuTien!$B$2:$B$2000,A371))</f>
        <v/>
      </c>
      <c r="P371" s="11" t="str">
        <f aca="false">IF(A371="","",N371-O371)</f>
        <v/>
      </c>
      <c r="Q371" s="9"/>
      <c r="R371" s="10" t="str">
        <f aca="true">IF(A371="","",IF(AND(Q371&lt;&gt;"",P371&gt;0,TODAY()&gt;Q371),TODAY()-Q371,0))</f>
        <v/>
      </c>
      <c r="S371" s="10" t="str">
        <f aca="false">IF(A371="","",IF(N371=0,"Chưa có tiền hàng",IF(P371&lt;0,"Thu thừa",IF(P371=0,"Đã thu đủ",IF(O371&gt;0,"Thu một phần","Chưa thu")))))</f>
        <v/>
      </c>
      <c r="T371" s="10" t="str">
        <f aca="false">IF(A371="","",IF(AND(F371="Đã giao",H371&lt;&gt;"Đã xuất"),"Đã giao - CHƯA XUẤT HĐ",IF(AND(H371="Đã xuất",F371="Chưa giao"),"Đã xuất HĐ - chưa giao",IF(F371="","Chưa cập nhật giao hàng",IF(R371&gt;0,"Quá hạn "&amp;R371&amp;" ngày - đòi tiền",IF(P371&gt;0,"Chờ thu tiền",IF(P371&lt;0,"Kiểm tra thu thừa",IF(AND(F371="Đã giao",H371="Đã xuất"),"Hoàn tất","Theo dõi"))))))))</f>
        <v/>
      </c>
      <c r="U371" s="8"/>
    </row>
    <row r="372" customFormat="false" ht="15" hidden="false" customHeight="false" outlineLevel="0" collapsed="false">
      <c r="A372" s="8"/>
      <c r="B372" s="9"/>
      <c r="C372" s="8"/>
      <c r="D372" s="10" t="str">
        <f aca="false">IF(C372="","",IFERROR(VLOOKUP(C372,KhachHang!$A$2:$B$200,2,FALSE())&amp;"",""))</f>
        <v/>
      </c>
      <c r="E372" s="8"/>
      <c r="F372" s="8"/>
      <c r="G372" s="9"/>
      <c r="H372" s="8"/>
      <c r="I372" s="8"/>
      <c r="J372" s="9"/>
      <c r="K372" s="11" t="str">
        <f aca="false">IF(A372="","",SUMIFS(ChiTiet!$I$2:$I$2000,ChiTiet!$A$2:$A$2000,A372))</f>
        <v/>
      </c>
      <c r="L372" s="12"/>
      <c r="M372" s="11" t="str">
        <f aca="false">IF(A372="","",ROUND(K372*IF(L372="",0.08,L372),0))</f>
        <v/>
      </c>
      <c r="N372" s="11" t="str">
        <f aca="false">IF(A372="","",K372+M372)</f>
        <v/>
      </c>
      <c r="O372" s="11" t="str">
        <f aca="false">IF(A372="","",SUMIFS(ThuTien!$D$2:$D$2000,ThuTien!$B$2:$B$2000,A372))</f>
        <v/>
      </c>
      <c r="P372" s="11" t="str">
        <f aca="false">IF(A372="","",N372-O372)</f>
        <v/>
      </c>
      <c r="Q372" s="9"/>
      <c r="R372" s="10" t="str">
        <f aca="true">IF(A372="","",IF(AND(Q372&lt;&gt;"",P372&gt;0,TODAY()&gt;Q372),TODAY()-Q372,0))</f>
        <v/>
      </c>
      <c r="S372" s="10" t="str">
        <f aca="false">IF(A372="","",IF(N372=0,"Chưa có tiền hàng",IF(P372&lt;0,"Thu thừa",IF(P372=0,"Đã thu đủ",IF(O372&gt;0,"Thu một phần","Chưa thu")))))</f>
        <v/>
      </c>
      <c r="T372" s="10" t="str">
        <f aca="false">IF(A372="","",IF(AND(F372="Đã giao",H372&lt;&gt;"Đã xuất"),"Đã giao - CHƯA XUẤT HĐ",IF(AND(H372="Đã xuất",F372="Chưa giao"),"Đã xuất HĐ - chưa giao",IF(F372="","Chưa cập nhật giao hàng",IF(R372&gt;0,"Quá hạn "&amp;R372&amp;" ngày - đòi tiền",IF(P372&gt;0,"Chờ thu tiền",IF(P372&lt;0,"Kiểm tra thu thừa",IF(AND(F372="Đã giao",H372="Đã xuất"),"Hoàn tất","Theo dõi"))))))))</f>
        <v/>
      </c>
      <c r="U372" s="8"/>
    </row>
    <row r="373" customFormat="false" ht="15" hidden="false" customHeight="false" outlineLevel="0" collapsed="false">
      <c r="A373" s="8"/>
      <c r="B373" s="9"/>
      <c r="C373" s="8"/>
      <c r="D373" s="10" t="str">
        <f aca="false">IF(C373="","",IFERROR(VLOOKUP(C373,KhachHang!$A$2:$B$200,2,FALSE())&amp;"",""))</f>
        <v/>
      </c>
      <c r="E373" s="8"/>
      <c r="F373" s="8"/>
      <c r="G373" s="9"/>
      <c r="H373" s="8"/>
      <c r="I373" s="8"/>
      <c r="J373" s="9"/>
      <c r="K373" s="11" t="str">
        <f aca="false">IF(A373="","",SUMIFS(ChiTiet!$I$2:$I$2000,ChiTiet!$A$2:$A$2000,A373))</f>
        <v/>
      </c>
      <c r="L373" s="12"/>
      <c r="M373" s="11" t="str">
        <f aca="false">IF(A373="","",ROUND(K373*IF(L373="",0.08,L373),0))</f>
        <v/>
      </c>
      <c r="N373" s="11" t="str">
        <f aca="false">IF(A373="","",K373+M373)</f>
        <v/>
      </c>
      <c r="O373" s="11" t="str">
        <f aca="false">IF(A373="","",SUMIFS(ThuTien!$D$2:$D$2000,ThuTien!$B$2:$B$2000,A373))</f>
        <v/>
      </c>
      <c r="P373" s="11" t="str">
        <f aca="false">IF(A373="","",N373-O373)</f>
        <v/>
      </c>
      <c r="Q373" s="9"/>
      <c r="R373" s="10" t="str">
        <f aca="true">IF(A373="","",IF(AND(Q373&lt;&gt;"",P373&gt;0,TODAY()&gt;Q373),TODAY()-Q373,0))</f>
        <v/>
      </c>
      <c r="S373" s="10" t="str">
        <f aca="false">IF(A373="","",IF(N373=0,"Chưa có tiền hàng",IF(P373&lt;0,"Thu thừa",IF(P373=0,"Đã thu đủ",IF(O373&gt;0,"Thu một phần","Chưa thu")))))</f>
        <v/>
      </c>
      <c r="T373" s="10" t="str">
        <f aca="false">IF(A373="","",IF(AND(F373="Đã giao",H373&lt;&gt;"Đã xuất"),"Đã giao - CHƯA XUẤT HĐ",IF(AND(H373="Đã xuất",F373="Chưa giao"),"Đã xuất HĐ - chưa giao",IF(F373="","Chưa cập nhật giao hàng",IF(R373&gt;0,"Quá hạn "&amp;R373&amp;" ngày - đòi tiền",IF(P373&gt;0,"Chờ thu tiền",IF(P373&lt;0,"Kiểm tra thu thừa",IF(AND(F373="Đã giao",H373="Đã xuất"),"Hoàn tất","Theo dõi"))))))))</f>
        <v/>
      </c>
      <c r="U373" s="8"/>
    </row>
    <row r="374" customFormat="false" ht="15" hidden="false" customHeight="false" outlineLevel="0" collapsed="false">
      <c r="A374" s="8"/>
      <c r="B374" s="9"/>
      <c r="C374" s="8"/>
      <c r="D374" s="10" t="str">
        <f aca="false">IF(C374="","",IFERROR(VLOOKUP(C374,KhachHang!$A$2:$B$200,2,FALSE())&amp;"",""))</f>
        <v/>
      </c>
      <c r="E374" s="8"/>
      <c r="F374" s="8"/>
      <c r="G374" s="9"/>
      <c r="H374" s="8"/>
      <c r="I374" s="8"/>
      <c r="J374" s="9"/>
      <c r="K374" s="11" t="str">
        <f aca="false">IF(A374="","",SUMIFS(ChiTiet!$I$2:$I$2000,ChiTiet!$A$2:$A$2000,A374))</f>
        <v/>
      </c>
      <c r="L374" s="12"/>
      <c r="M374" s="11" t="str">
        <f aca="false">IF(A374="","",ROUND(K374*IF(L374="",0.08,L374),0))</f>
        <v/>
      </c>
      <c r="N374" s="11" t="str">
        <f aca="false">IF(A374="","",K374+M374)</f>
        <v/>
      </c>
      <c r="O374" s="11" t="str">
        <f aca="false">IF(A374="","",SUMIFS(ThuTien!$D$2:$D$2000,ThuTien!$B$2:$B$2000,A374))</f>
        <v/>
      </c>
      <c r="P374" s="11" t="str">
        <f aca="false">IF(A374="","",N374-O374)</f>
        <v/>
      </c>
      <c r="Q374" s="9"/>
      <c r="R374" s="10" t="str">
        <f aca="true">IF(A374="","",IF(AND(Q374&lt;&gt;"",P374&gt;0,TODAY()&gt;Q374),TODAY()-Q374,0))</f>
        <v/>
      </c>
      <c r="S374" s="10" t="str">
        <f aca="false">IF(A374="","",IF(N374=0,"Chưa có tiền hàng",IF(P374&lt;0,"Thu thừa",IF(P374=0,"Đã thu đủ",IF(O374&gt;0,"Thu một phần","Chưa thu")))))</f>
        <v/>
      </c>
      <c r="T374" s="10" t="str">
        <f aca="false">IF(A374="","",IF(AND(F374="Đã giao",H374&lt;&gt;"Đã xuất"),"Đã giao - CHƯA XUẤT HĐ",IF(AND(H374="Đã xuất",F374="Chưa giao"),"Đã xuất HĐ - chưa giao",IF(F374="","Chưa cập nhật giao hàng",IF(R374&gt;0,"Quá hạn "&amp;R374&amp;" ngày - đòi tiền",IF(P374&gt;0,"Chờ thu tiền",IF(P374&lt;0,"Kiểm tra thu thừa",IF(AND(F374="Đã giao",H374="Đã xuất"),"Hoàn tất","Theo dõi"))))))))</f>
        <v/>
      </c>
      <c r="U374" s="8"/>
    </row>
    <row r="375" customFormat="false" ht="15" hidden="false" customHeight="false" outlineLevel="0" collapsed="false">
      <c r="A375" s="8"/>
      <c r="B375" s="9"/>
      <c r="C375" s="8"/>
      <c r="D375" s="10" t="str">
        <f aca="false">IF(C375="","",IFERROR(VLOOKUP(C375,KhachHang!$A$2:$B$200,2,FALSE())&amp;"",""))</f>
        <v/>
      </c>
      <c r="E375" s="8"/>
      <c r="F375" s="8"/>
      <c r="G375" s="9"/>
      <c r="H375" s="8"/>
      <c r="I375" s="8"/>
      <c r="J375" s="9"/>
      <c r="K375" s="11" t="str">
        <f aca="false">IF(A375="","",SUMIFS(ChiTiet!$I$2:$I$2000,ChiTiet!$A$2:$A$2000,A375))</f>
        <v/>
      </c>
      <c r="L375" s="12"/>
      <c r="M375" s="11" t="str">
        <f aca="false">IF(A375="","",ROUND(K375*IF(L375="",0.08,L375),0))</f>
        <v/>
      </c>
      <c r="N375" s="11" t="str">
        <f aca="false">IF(A375="","",K375+M375)</f>
        <v/>
      </c>
      <c r="O375" s="11" t="str">
        <f aca="false">IF(A375="","",SUMIFS(ThuTien!$D$2:$D$2000,ThuTien!$B$2:$B$2000,A375))</f>
        <v/>
      </c>
      <c r="P375" s="11" t="str">
        <f aca="false">IF(A375="","",N375-O375)</f>
        <v/>
      </c>
      <c r="Q375" s="9"/>
      <c r="R375" s="10" t="str">
        <f aca="true">IF(A375="","",IF(AND(Q375&lt;&gt;"",P375&gt;0,TODAY()&gt;Q375),TODAY()-Q375,0))</f>
        <v/>
      </c>
      <c r="S375" s="10" t="str">
        <f aca="false">IF(A375="","",IF(N375=0,"Chưa có tiền hàng",IF(P375&lt;0,"Thu thừa",IF(P375=0,"Đã thu đủ",IF(O375&gt;0,"Thu một phần","Chưa thu")))))</f>
        <v/>
      </c>
      <c r="T375" s="10" t="str">
        <f aca="false">IF(A375="","",IF(AND(F375="Đã giao",H375&lt;&gt;"Đã xuất"),"Đã giao - CHƯA XUẤT HĐ",IF(AND(H375="Đã xuất",F375="Chưa giao"),"Đã xuất HĐ - chưa giao",IF(F375="","Chưa cập nhật giao hàng",IF(R375&gt;0,"Quá hạn "&amp;R375&amp;" ngày - đòi tiền",IF(P375&gt;0,"Chờ thu tiền",IF(P375&lt;0,"Kiểm tra thu thừa",IF(AND(F375="Đã giao",H375="Đã xuất"),"Hoàn tất","Theo dõi"))))))))</f>
        <v/>
      </c>
      <c r="U375" s="8"/>
    </row>
    <row r="376" customFormat="false" ht="15" hidden="false" customHeight="false" outlineLevel="0" collapsed="false">
      <c r="A376" s="8"/>
      <c r="B376" s="9"/>
      <c r="C376" s="8"/>
      <c r="D376" s="10" t="str">
        <f aca="false">IF(C376="","",IFERROR(VLOOKUP(C376,KhachHang!$A$2:$B$200,2,FALSE())&amp;"",""))</f>
        <v/>
      </c>
      <c r="E376" s="8"/>
      <c r="F376" s="8"/>
      <c r="G376" s="9"/>
      <c r="H376" s="8"/>
      <c r="I376" s="8"/>
      <c r="J376" s="9"/>
      <c r="K376" s="11" t="str">
        <f aca="false">IF(A376="","",SUMIFS(ChiTiet!$I$2:$I$2000,ChiTiet!$A$2:$A$2000,A376))</f>
        <v/>
      </c>
      <c r="L376" s="12"/>
      <c r="M376" s="11" t="str">
        <f aca="false">IF(A376="","",ROUND(K376*IF(L376="",0.08,L376),0))</f>
        <v/>
      </c>
      <c r="N376" s="11" t="str">
        <f aca="false">IF(A376="","",K376+M376)</f>
        <v/>
      </c>
      <c r="O376" s="11" t="str">
        <f aca="false">IF(A376="","",SUMIFS(ThuTien!$D$2:$D$2000,ThuTien!$B$2:$B$2000,A376))</f>
        <v/>
      </c>
      <c r="P376" s="11" t="str">
        <f aca="false">IF(A376="","",N376-O376)</f>
        <v/>
      </c>
      <c r="Q376" s="9"/>
      <c r="R376" s="10" t="str">
        <f aca="true">IF(A376="","",IF(AND(Q376&lt;&gt;"",P376&gt;0,TODAY()&gt;Q376),TODAY()-Q376,0))</f>
        <v/>
      </c>
      <c r="S376" s="10" t="str">
        <f aca="false">IF(A376="","",IF(N376=0,"Chưa có tiền hàng",IF(P376&lt;0,"Thu thừa",IF(P376=0,"Đã thu đủ",IF(O376&gt;0,"Thu một phần","Chưa thu")))))</f>
        <v/>
      </c>
      <c r="T376" s="10" t="str">
        <f aca="false">IF(A376="","",IF(AND(F376="Đã giao",H376&lt;&gt;"Đã xuất"),"Đã giao - CHƯA XUẤT HĐ",IF(AND(H376="Đã xuất",F376="Chưa giao"),"Đã xuất HĐ - chưa giao",IF(F376="","Chưa cập nhật giao hàng",IF(R376&gt;0,"Quá hạn "&amp;R376&amp;" ngày - đòi tiền",IF(P376&gt;0,"Chờ thu tiền",IF(P376&lt;0,"Kiểm tra thu thừa",IF(AND(F376="Đã giao",H376="Đã xuất"),"Hoàn tất","Theo dõi"))))))))</f>
        <v/>
      </c>
      <c r="U376" s="8"/>
    </row>
    <row r="377" customFormat="false" ht="15" hidden="false" customHeight="false" outlineLevel="0" collapsed="false">
      <c r="A377" s="8"/>
      <c r="B377" s="9"/>
      <c r="C377" s="8"/>
      <c r="D377" s="10" t="str">
        <f aca="false">IF(C377="","",IFERROR(VLOOKUP(C377,KhachHang!$A$2:$B$200,2,FALSE())&amp;"",""))</f>
        <v/>
      </c>
      <c r="E377" s="8"/>
      <c r="F377" s="8"/>
      <c r="G377" s="9"/>
      <c r="H377" s="8"/>
      <c r="I377" s="8"/>
      <c r="J377" s="9"/>
      <c r="K377" s="11" t="str">
        <f aca="false">IF(A377="","",SUMIFS(ChiTiet!$I$2:$I$2000,ChiTiet!$A$2:$A$2000,A377))</f>
        <v/>
      </c>
      <c r="L377" s="12"/>
      <c r="M377" s="11" t="str">
        <f aca="false">IF(A377="","",ROUND(K377*IF(L377="",0.08,L377),0))</f>
        <v/>
      </c>
      <c r="N377" s="11" t="str">
        <f aca="false">IF(A377="","",K377+M377)</f>
        <v/>
      </c>
      <c r="O377" s="11" t="str">
        <f aca="false">IF(A377="","",SUMIFS(ThuTien!$D$2:$D$2000,ThuTien!$B$2:$B$2000,A377))</f>
        <v/>
      </c>
      <c r="P377" s="11" t="str">
        <f aca="false">IF(A377="","",N377-O377)</f>
        <v/>
      </c>
      <c r="Q377" s="9"/>
      <c r="R377" s="10" t="str">
        <f aca="true">IF(A377="","",IF(AND(Q377&lt;&gt;"",P377&gt;0,TODAY()&gt;Q377),TODAY()-Q377,0))</f>
        <v/>
      </c>
      <c r="S377" s="10" t="str">
        <f aca="false">IF(A377="","",IF(N377=0,"Chưa có tiền hàng",IF(P377&lt;0,"Thu thừa",IF(P377=0,"Đã thu đủ",IF(O377&gt;0,"Thu một phần","Chưa thu")))))</f>
        <v/>
      </c>
      <c r="T377" s="10" t="str">
        <f aca="false">IF(A377="","",IF(AND(F377="Đã giao",H377&lt;&gt;"Đã xuất"),"Đã giao - CHƯA XUẤT HĐ",IF(AND(H377="Đã xuất",F377="Chưa giao"),"Đã xuất HĐ - chưa giao",IF(F377="","Chưa cập nhật giao hàng",IF(R377&gt;0,"Quá hạn "&amp;R377&amp;" ngày - đòi tiền",IF(P377&gt;0,"Chờ thu tiền",IF(P377&lt;0,"Kiểm tra thu thừa",IF(AND(F377="Đã giao",H377="Đã xuất"),"Hoàn tất","Theo dõi"))))))))</f>
        <v/>
      </c>
      <c r="U377" s="8"/>
    </row>
    <row r="378" customFormat="false" ht="15" hidden="false" customHeight="false" outlineLevel="0" collapsed="false">
      <c r="A378" s="8"/>
      <c r="B378" s="9"/>
      <c r="C378" s="8"/>
      <c r="D378" s="10" t="str">
        <f aca="false">IF(C378="","",IFERROR(VLOOKUP(C378,KhachHang!$A$2:$B$200,2,FALSE())&amp;"",""))</f>
        <v/>
      </c>
      <c r="E378" s="8"/>
      <c r="F378" s="8"/>
      <c r="G378" s="9"/>
      <c r="H378" s="8"/>
      <c r="I378" s="8"/>
      <c r="J378" s="9"/>
      <c r="K378" s="11" t="str">
        <f aca="false">IF(A378="","",SUMIFS(ChiTiet!$I$2:$I$2000,ChiTiet!$A$2:$A$2000,A378))</f>
        <v/>
      </c>
      <c r="L378" s="12"/>
      <c r="M378" s="11" t="str">
        <f aca="false">IF(A378="","",ROUND(K378*IF(L378="",0.08,L378),0))</f>
        <v/>
      </c>
      <c r="N378" s="11" t="str">
        <f aca="false">IF(A378="","",K378+M378)</f>
        <v/>
      </c>
      <c r="O378" s="11" t="str">
        <f aca="false">IF(A378="","",SUMIFS(ThuTien!$D$2:$D$2000,ThuTien!$B$2:$B$2000,A378))</f>
        <v/>
      </c>
      <c r="P378" s="11" t="str">
        <f aca="false">IF(A378="","",N378-O378)</f>
        <v/>
      </c>
      <c r="Q378" s="9"/>
      <c r="R378" s="10" t="str">
        <f aca="true">IF(A378="","",IF(AND(Q378&lt;&gt;"",P378&gt;0,TODAY()&gt;Q378),TODAY()-Q378,0))</f>
        <v/>
      </c>
      <c r="S378" s="10" t="str">
        <f aca="false">IF(A378="","",IF(N378=0,"Chưa có tiền hàng",IF(P378&lt;0,"Thu thừa",IF(P378=0,"Đã thu đủ",IF(O378&gt;0,"Thu một phần","Chưa thu")))))</f>
        <v/>
      </c>
      <c r="T378" s="10" t="str">
        <f aca="false">IF(A378="","",IF(AND(F378="Đã giao",H378&lt;&gt;"Đã xuất"),"Đã giao - CHƯA XUẤT HĐ",IF(AND(H378="Đã xuất",F378="Chưa giao"),"Đã xuất HĐ - chưa giao",IF(F378="","Chưa cập nhật giao hàng",IF(R378&gt;0,"Quá hạn "&amp;R378&amp;" ngày - đòi tiền",IF(P378&gt;0,"Chờ thu tiền",IF(P378&lt;0,"Kiểm tra thu thừa",IF(AND(F378="Đã giao",H378="Đã xuất"),"Hoàn tất","Theo dõi"))))))))</f>
        <v/>
      </c>
      <c r="U378" s="8"/>
    </row>
    <row r="379" customFormat="false" ht="15" hidden="false" customHeight="false" outlineLevel="0" collapsed="false">
      <c r="A379" s="8"/>
      <c r="B379" s="9"/>
      <c r="C379" s="8"/>
      <c r="D379" s="10" t="str">
        <f aca="false">IF(C379="","",IFERROR(VLOOKUP(C379,KhachHang!$A$2:$B$200,2,FALSE())&amp;"",""))</f>
        <v/>
      </c>
      <c r="E379" s="8"/>
      <c r="F379" s="8"/>
      <c r="G379" s="9"/>
      <c r="H379" s="8"/>
      <c r="I379" s="8"/>
      <c r="J379" s="9"/>
      <c r="K379" s="11" t="str">
        <f aca="false">IF(A379="","",SUMIFS(ChiTiet!$I$2:$I$2000,ChiTiet!$A$2:$A$2000,A379))</f>
        <v/>
      </c>
      <c r="L379" s="12"/>
      <c r="M379" s="11" t="str">
        <f aca="false">IF(A379="","",ROUND(K379*IF(L379="",0.08,L379),0))</f>
        <v/>
      </c>
      <c r="N379" s="11" t="str">
        <f aca="false">IF(A379="","",K379+M379)</f>
        <v/>
      </c>
      <c r="O379" s="11" t="str">
        <f aca="false">IF(A379="","",SUMIFS(ThuTien!$D$2:$D$2000,ThuTien!$B$2:$B$2000,A379))</f>
        <v/>
      </c>
      <c r="P379" s="11" t="str">
        <f aca="false">IF(A379="","",N379-O379)</f>
        <v/>
      </c>
      <c r="Q379" s="9"/>
      <c r="R379" s="10" t="str">
        <f aca="true">IF(A379="","",IF(AND(Q379&lt;&gt;"",P379&gt;0,TODAY()&gt;Q379),TODAY()-Q379,0))</f>
        <v/>
      </c>
      <c r="S379" s="10" t="str">
        <f aca="false">IF(A379="","",IF(N379=0,"Chưa có tiền hàng",IF(P379&lt;0,"Thu thừa",IF(P379=0,"Đã thu đủ",IF(O379&gt;0,"Thu một phần","Chưa thu")))))</f>
        <v/>
      </c>
      <c r="T379" s="10" t="str">
        <f aca="false">IF(A379="","",IF(AND(F379="Đã giao",H379&lt;&gt;"Đã xuất"),"Đã giao - CHƯA XUẤT HĐ",IF(AND(H379="Đã xuất",F379="Chưa giao"),"Đã xuất HĐ - chưa giao",IF(F379="","Chưa cập nhật giao hàng",IF(R379&gt;0,"Quá hạn "&amp;R379&amp;" ngày - đòi tiền",IF(P379&gt;0,"Chờ thu tiền",IF(P379&lt;0,"Kiểm tra thu thừa",IF(AND(F379="Đã giao",H379="Đã xuất"),"Hoàn tất","Theo dõi"))))))))</f>
        <v/>
      </c>
      <c r="U379" s="8"/>
    </row>
    <row r="380" customFormat="false" ht="15" hidden="false" customHeight="false" outlineLevel="0" collapsed="false">
      <c r="A380" s="8"/>
      <c r="B380" s="9"/>
      <c r="C380" s="8"/>
      <c r="D380" s="10" t="str">
        <f aca="false">IF(C380="","",IFERROR(VLOOKUP(C380,KhachHang!$A$2:$B$200,2,FALSE())&amp;"",""))</f>
        <v/>
      </c>
      <c r="E380" s="8"/>
      <c r="F380" s="8"/>
      <c r="G380" s="9"/>
      <c r="H380" s="8"/>
      <c r="I380" s="8"/>
      <c r="J380" s="9"/>
      <c r="K380" s="11" t="str">
        <f aca="false">IF(A380="","",SUMIFS(ChiTiet!$I$2:$I$2000,ChiTiet!$A$2:$A$2000,A380))</f>
        <v/>
      </c>
      <c r="L380" s="12"/>
      <c r="M380" s="11" t="str">
        <f aca="false">IF(A380="","",ROUND(K380*IF(L380="",0.08,L380),0))</f>
        <v/>
      </c>
      <c r="N380" s="11" t="str">
        <f aca="false">IF(A380="","",K380+M380)</f>
        <v/>
      </c>
      <c r="O380" s="11" t="str">
        <f aca="false">IF(A380="","",SUMIFS(ThuTien!$D$2:$D$2000,ThuTien!$B$2:$B$2000,A380))</f>
        <v/>
      </c>
      <c r="P380" s="11" t="str">
        <f aca="false">IF(A380="","",N380-O380)</f>
        <v/>
      </c>
      <c r="Q380" s="9"/>
      <c r="R380" s="10" t="str">
        <f aca="true">IF(A380="","",IF(AND(Q380&lt;&gt;"",P380&gt;0,TODAY()&gt;Q380),TODAY()-Q380,0))</f>
        <v/>
      </c>
      <c r="S380" s="10" t="str">
        <f aca="false">IF(A380="","",IF(N380=0,"Chưa có tiền hàng",IF(P380&lt;0,"Thu thừa",IF(P380=0,"Đã thu đủ",IF(O380&gt;0,"Thu một phần","Chưa thu")))))</f>
        <v/>
      </c>
      <c r="T380" s="10" t="str">
        <f aca="false">IF(A380="","",IF(AND(F380="Đã giao",H380&lt;&gt;"Đã xuất"),"Đã giao - CHƯA XUẤT HĐ",IF(AND(H380="Đã xuất",F380="Chưa giao"),"Đã xuất HĐ - chưa giao",IF(F380="","Chưa cập nhật giao hàng",IF(R380&gt;0,"Quá hạn "&amp;R380&amp;" ngày - đòi tiền",IF(P380&gt;0,"Chờ thu tiền",IF(P380&lt;0,"Kiểm tra thu thừa",IF(AND(F380="Đã giao",H380="Đã xuất"),"Hoàn tất","Theo dõi"))))))))</f>
        <v/>
      </c>
      <c r="U380" s="8"/>
    </row>
    <row r="381" customFormat="false" ht="15" hidden="false" customHeight="false" outlineLevel="0" collapsed="false">
      <c r="A381" s="8"/>
      <c r="B381" s="9"/>
      <c r="C381" s="8"/>
      <c r="D381" s="10" t="str">
        <f aca="false">IF(C381="","",IFERROR(VLOOKUP(C381,KhachHang!$A$2:$B$200,2,FALSE())&amp;"",""))</f>
        <v/>
      </c>
      <c r="E381" s="8"/>
      <c r="F381" s="8"/>
      <c r="G381" s="9"/>
      <c r="H381" s="8"/>
      <c r="I381" s="8"/>
      <c r="J381" s="9"/>
      <c r="K381" s="11" t="str">
        <f aca="false">IF(A381="","",SUMIFS(ChiTiet!$I$2:$I$2000,ChiTiet!$A$2:$A$2000,A381))</f>
        <v/>
      </c>
      <c r="L381" s="12"/>
      <c r="M381" s="11" t="str">
        <f aca="false">IF(A381="","",ROUND(K381*IF(L381="",0.08,L381),0))</f>
        <v/>
      </c>
      <c r="N381" s="11" t="str">
        <f aca="false">IF(A381="","",K381+M381)</f>
        <v/>
      </c>
      <c r="O381" s="11" t="str">
        <f aca="false">IF(A381="","",SUMIFS(ThuTien!$D$2:$D$2000,ThuTien!$B$2:$B$2000,A381))</f>
        <v/>
      </c>
      <c r="P381" s="11" t="str">
        <f aca="false">IF(A381="","",N381-O381)</f>
        <v/>
      </c>
      <c r="Q381" s="9"/>
      <c r="R381" s="10" t="str">
        <f aca="true">IF(A381="","",IF(AND(Q381&lt;&gt;"",P381&gt;0,TODAY()&gt;Q381),TODAY()-Q381,0))</f>
        <v/>
      </c>
      <c r="S381" s="10" t="str">
        <f aca="false">IF(A381="","",IF(N381=0,"Chưa có tiền hàng",IF(P381&lt;0,"Thu thừa",IF(P381=0,"Đã thu đủ",IF(O381&gt;0,"Thu một phần","Chưa thu")))))</f>
        <v/>
      </c>
      <c r="T381" s="10" t="str">
        <f aca="false">IF(A381="","",IF(AND(F381="Đã giao",H381&lt;&gt;"Đã xuất"),"Đã giao - CHƯA XUẤT HĐ",IF(AND(H381="Đã xuất",F381="Chưa giao"),"Đã xuất HĐ - chưa giao",IF(F381="","Chưa cập nhật giao hàng",IF(R381&gt;0,"Quá hạn "&amp;R381&amp;" ngày - đòi tiền",IF(P381&gt;0,"Chờ thu tiền",IF(P381&lt;0,"Kiểm tra thu thừa",IF(AND(F381="Đã giao",H381="Đã xuất"),"Hoàn tất","Theo dõi"))))))))</f>
        <v/>
      </c>
      <c r="U381" s="8"/>
    </row>
    <row r="382" customFormat="false" ht="15" hidden="false" customHeight="false" outlineLevel="0" collapsed="false">
      <c r="A382" s="8"/>
      <c r="B382" s="9"/>
      <c r="C382" s="8"/>
      <c r="D382" s="10" t="str">
        <f aca="false">IF(C382="","",IFERROR(VLOOKUP(C382,KhachHang!$A$2:$B$200,2,FALSE())&amp;"",""))</f>
        <v/>
      </c>
      <c r="E382" s="8"/>
      <c r="F382" s="8"/>
      <c r="G382" s="9"/>
      <c r="H382" s="8"/>
      <c r="I382" s="8"/>
      <c r="J382" s="9"/>
      <c r="K382" s="11" t="str">
        <f aca="false">IF(A382="","",SUMIFS(ChiTiet!$I$2:$I$2000,ChiTiet!$A$2:$A$2000,A382))</f>
        <v/>
      </c>
      <c r="L382" s="12"/>
      <c r="M382" s="11" t="str">
        <f aca="false">IF(A382="","",ROUND(K382*IF(L382="",0.08,L382),0))</f>
        <v/>
      </c>
      <c r="N382" s="11" t="str">
        <f aca="false">IF(A382="","",K382+M382)</f>
        <v/>
      </c>
      <c r="O382" s="11" t="str">
        <f aca="false">IF(A382="","",SUMIFS(ThuTien!$D$2:$D$2000,ThuTien!$B$2:$B$2000,A382))</f>
        <v/>
      </c>
      <c r="P382" s="11" t="str">
        <f aca="false">IF(A382="","",N382-O382)</f>
        <v/>
      </c>
      <c r="Q382" s="9"/>
      <c r="R382" s="10" t="str">
        <f aca="true">IF(A382="","",IF(AND(Q382&lt;&gt;"",P382&gt;0,TODAY()&gt;Q382),TODAY()-Q382,0))</f>
        <v/>
      </c>
      <c r="S382" s="10" t="str">
        <f aca="false">IF(A382="","",IF(N382=0,"Chưa có tiền hàng",IF(P382&lt;0,"Thu thừa",IF(P382=0,"Đã thu đủ",IF(O382&gt;0,"Thu một phần","Chưa thu")))))</f>
        <v/>
      </c>
      <c r="T382" s="10" t="str">
        <f aca="false">IF(A382="","",IF(AND(F382="Đã giao",H382&lt;&gt;"Đã xuất"),"Đã giao - CHƯA XUẤT HĐ",IF(AND(H382="Đã xuất",F382="Chưa giao"),"Đã xuất HĐ - chưa giao",IF(F382="","Chưa cập nhật giao hàng",IF(R382&gt;0,"Quá hạn "&amp;R382&amp;" ngày - đòi tiền",IF(P382&gt;0,"Chờ thu tiền",IF(P382&lt;0,"Kiểm tra thu thừa",IF(AND(F382="Đã giao",H382="Đã xuất"),"Hoàn tất","Theo dõi"))))))))</f>
        <v/>
      </c>
      <c r="U382" s="8"/>
    </row>
    <row r="383" customFormat="false" ht="15" hidden="false" customHeight="false" outlineLevel="0" collapsed="false">
      <c r="A383" s="8"/>
      <c r="B383" s="9"/>
      <c r="C383" s="8"/>
      <c r="D383" s="10" t="str">
        <f aca="false">IF(C383="","",IFERROR(VLOOKUP(C383,KhachHang!$A$2:$B$200,2,FALSE())&amp;"",""))</f>
        <v/>
      </c>
      <c r="E383" s="8"/>
      <c r="F383" s="8"/>
      <c r="G383" s="9"/>
      <c r="H383" s="8"/>
      <c r="I383" s="8"/>
      <c r="J383" s="9"/>
      <c r="K383" s="11" t="str">
        <f aca="false">IF(A383="","",SUMIFS(ChiTiet!$I$2:$I$2000,ChiTiet!$A$2:$A$2000,A383))</f>
        <v/>
      </c>
      <c r="L383" s="12"/>
      <c r="M383" s="11" t="str">
        <f aca="false">IF(A383="","",ROUND(K383*IF(L383="",0.08,L383),0))</f>
        <v/>
      </c>
      <c r="N383" s="11" t="str">
        <f aca="false">IF(A383="","",K383+M383)</f>
        <v/>
      </c>
      <c r="O383" s="11" t="str">
        <f aca="false">IF(A383="","",SUMIFS(ThuTien!$D$2:$D$2000,ThuTien!$B$2:$B$2000,A383))</f>
        <v/>
      </c>
      <c r="P383" s="11" t="str">
        <f aca="false">IF(A383="","",N383-O383)</f>
        <v/>
      </c>
      <c r="Q383" s="9"/>
      <c r="R383" s="10" t="str">
        <f aca="true">IF(A383="","",IF(AND(Q383&lt;&gt;"",P383&gt;0,TODAY()&gt;Q383),TODAY()-Q383,0))</f>
        <v/>
      </c>
      <c r="S383" s="10" t="str">
        <f aca="false">IF(A383="","",IF(N383=0,"Chưa có tiền hàng",IF(P383&lt;0,"Thu thừa",IF(P383=0,"Đã thu đủ",IF(O383&gt;0,"Thu một phần","Chưa thu")))))</f>
        <v/>
      </c>
      <c r="T383" s="10" t="str">
        <f aca="false">IF(A383="","",IF(AND(F383="Đã giao",H383&lt;&gt;"Đã xuất"),"Đã giao - CHƯA XUẤT HĐ",IF(AND(H383="Đã xuất",F383="Chưa giao"),"Đã xuất HĐ - chưa giao",IF(F383="","Chưa cập nhật giao hàng",IF(R383&gt;0,"Quá hạn "&amp;R383&amp;" ngày - đòi tiền",IF(P383&gt;0,"Chờ thu tiền",IF(P383&lt;0,"Kiểm tra thu thừa",IF(AND(F383="Đã giao",H383="Đã xuất"),"Hoàn tất","Theo dõi"))))))))</f>
        <v/>
      </c>
      <c r="U383" s="8"/>
    </row>
    <row r="384" customFormat="false" ht="15" hidden="false" customHeight="false" outlineLevel="0" collapsed="false">
      <c r="A384" s="8"/>
      <c r="B384" s="9"/>
      <c r="C384" s="8"/>
      <c r="D384" s="10" t="str">
        <f aca="false">IF(C384="","",IFERROR(VLOOKUP(C384,KhachHang!$A$2:$B$200,2,FALSE())&amp;"",""))</f>
        <v/>
      </c>
      <c r="E384" s="8"/>
      <c r="F384" s="8"/>
      <c r="G384" s="9"/>
      <c r="H384" s="8"/>
      <c r="I384" s="8"/>
      <c r="J384" s="9"/>
      <c r="K384" s="11" t="str">
        <f aca="false">IF(A384="","",SUMIFS(ChiTiet!$I$2:$I$2000,ChiTiet!$A$2:$A$2000,A384))</f>
        <v/>
      </c>
      <c r="L384" s="12"/>
      <c r="M384" s="11" t="str">
        <f aca="false">IF(A384="","",ROUND(K384*IF(L384="",0.08,L384),0))</f>
        <v/>
      </c>
      <c r="N384" s="11" t="str">
        <f aca="false">IF(A384="","",K384+M384)</f>
        <v/>
      </c>
      <c r="O384" s="11" t="str">
        <f aca="false">IF(A384="","",SUMIFS(ThuTien!$D$2:$D$2000,ThuTien!$B$2:$B$2000,A384))</f>
        <v/>
      </c>
      <c r="P384" s="11" t="str">
        <f aca="false">IF(A384="","",N384-O384)</f>
        <v/>
      </c>
      <c r="Q384" s="9"/>
      <c r="R384" s="10" t="str">
        <f aca="true">IF(A384="","",IF(AND(Q384&lt;&gt;"",P384&gt;0,TODAY()&gt;Q384),TODAY()-Q384,0))</f>
        <v/>
      </c>
      <c r="S384" s="10" t="str">
        <f aca="false">IF(A384="","",IF(N384=0,"Chưa có tiền hàng",IF(P384&lt;0,"Thu thừa",IF(P384=0,"Đã thu đủ",IF(O384&gt;0,"Thu một phần","Chưa thu")))))</f>
        <v/>
      </c>
      <c r="T384" s="10" t="str">
        <f aca="false">IF(A384="","",IF(AND(F384="Đã giao",H384&lt;&gt;"Đã xuất"),"Đã giao - CHƯA XUẤT HĐ",IF(AND(H384="Đã xuất",F384="Chưa giao"),"Đã xuất HĐ - chưa giao",IF(F384="","Chưa cập nhật giao hàng",IF(R384&gt;0,"Quá hạn "&amp;R384&amp;" ngày - đòi tiền",IF(P384&gt;0,"Chờ thu tiền",IF(P384&lt;0,"Kiểm tra thu thừa",IF(AND(F384="Đã giao",H384="Đã xuất"),"Hoàn tất","Theo dõi"))))))))</f>
        <v/>
      </c>
      <c r="U384" s="8"/>
    </row>
    <row r="385" customFormat="false" ht="15" hidden="false" customHeight="false" outlineLevel="0" collapsed="false">
      <c r="A385" s="8"/>
      <c r="B385" s="9"/>
      <c r="C385" s="8"/>
      <c r="D385" s="10" t="str">
        <f aca="false">IF(C385="","",IFERROR(VLOOKUP(C385,KhachHang!$A$2:$B$200,2,FALSE())&amp;"",""))</f>
        <v/>
      </c>
      <c r="E385" s="8"/>
      <c r="F385" s="8"/>
      <c r="G385" s="9"/>
      <c r="H385" s="8"/>
      <c r="I385" s="8"/>
      <c r="J385" s="9"/>
      <c r="K385" s="11" t="str">
        <f aca="false">IF(A385="","",SUMIFS(ChiTiet!$I$2:$I$2000,ChiTiet!$A$2:$A$2000,A385))</f>
        <v/>
      </c>
      <c r="L385" s="12"/>
      <c r="M385" s="11" t="str">
        <f aca="false">IF(A385="","",ROUND(K385*IF(L385="",0.08,L385),0))</f>
        <v/>
      </c>
      <c r="N385" s="11" t="str">
        <f aca="false">IF(A385="","",K385+M385)</f>
        <v/>
      </c>
      <c r="O385" s="11" t="str">
        <f aca="false">IF(A385="","",SUMIFS(ThuTien!$D$2:$D$2000,ThuTien!$B$2:$B$2000,A385))</f>
        <v/>
      </c>
      <c r="P385" s="11" t="str">
        <f aca="false">IF(A385="","",N385-O385)</f>
        <v/>
      </c>
      <c r="Q385" s="9"/>
      <c r="R385" s="10" t="str">
        <f aca="true">IF(A385="","",IF(AND(Q385&lt;&gt;"",P385&gt;0,TODAY()&gt;Q385),TODAY()-Q385,0))</f>
        <v/>
      </c>
      <c r="S385" s="10" t="str">
        <f aca="false">IF(A385="","",IF(N385=0,"Chưa có tiền hàng",IF(P385&lt;0,"Thu thừa",IF(P385=0,"Đã thu đủ",IF(O385&gt;0,"Thu một phần","Chưa thu")))))</f>
        <v/>
      </c>
      <c r="T385" s="10" t="str">
        <f aca="false">IF(A385="","",IF(AND(F385="Đã giao",H385&lt;&gt;"Đã xuất"),"Đã giao - CHƯA XUẤT HĐ",IF(AND(H385="Đã xuất",F385="Chưa giao"),"Đã xuất HĐ - chưa giao",IF(F385="","Chưa cập nhật giao hàng",IF(R385&gt;0,"Quá hạn "&amp;R385&amp;" ngày - đòi tiền",IF(P385&gt;0,"Chờ thu tiền",IF(P385&lt;0,"Kiểm tra thu thừa",IF(AND(F385="Đã giao",H385="Đã xuất"),"Hoàn tất","Theo dõi"))))))))</f>
        <v/>
      </c>
      <c r="U385" s="8"/>
    </row>
    <row r="386" customFormat="false" ht="15" hidden="false" customHeight="false" outlineLevel="0" collapsed="false">
      <c r="A386" s="8"/>
      <c r="B386" s="9"/>
      <c r="C386" s="8"/>
      <c r="D386" s="10" t="str">
        <f aca="false">IF(C386="","",IFERROR(VLOOKUP(C386,KhachHang!$A$2:$B$200,2,FALSE())&amp;"",""))</f>
        <v/>
      </c>
      <c r="E386" s="8"/>
      <c r="F386" s="8"/>
      <c r="G386" s="9"/>
      <c r="H386" s="8"/>
      <c r="I386" s="8"/>
      <c r="J386" s="9"/>
      <c r="K386" s="11" t="str">
        <f aca="false">IF(A386="","",SUMIFS(ChiTiet!$I$2:$I$2000,ChiTiet!$A$2:$A$2000,A386))</f>
        <v/>
      </c>
      <c r="L386" s="12"/>
      <c r="M386" s="11" t="str">
        <f aca="false">IF(A386="","",ROUND(K386*IF(L386="",0.08,L386),0))</f>
        <v/>
      </c>
      <c r="N386" s="11" t="str">
        <f aca="false">IF(A386="","",K386+M386)</f>
        <v/>
      </c>
      <c r="O386" s="11" t="str">
        <f aca="false">IF(A386="","",SUMIFS(ThuTien!$D$2:$D$2000,ThuTien!$B$2:$B$2000,A386))</f>
        <v/>
      </c>
      <c r="P386" s="11" t="str">
        <f aca="false">IF(A386="","",N386-O386)</f>
        <v/>
      </c>
      <c r="Q386" s="9"/>
      <c r="R386" s="10" t="str">
        <f aca="true">IF(A386="","",IF(AND(Q386&lt;&gt;"",P386&gt;0,TODAY()&gt;Q386),TODAY()-Q386,0))</f>
        <v/>
      </c>
      <c r="S386" s="10" t="str">
        <f aca="false">IF(A386="","",IF(N386=0,"Chưa có tiền hàng",IF(P386&lt;0,"Thu thừa",IF(P386=0,"Đã thu đủ",IF(O386&gt;0,"Thu một phần","Chưa thu")))))</f>
        <v/>
      </c>
      <c r="T386" s="10" t="str">
        <f aca="false">IF(A386="","",IF(AND(F386="Đã giao",H386&lt;&gt;"Đã xuất"),"Đã giao - CHƯA XUẤT HĐ",IF(AND(H386="Đã xuất",F386="Chưa giao"),"Đã xuất HĐ - chưa giao",IF(F386="","Chưa cập nhật giao hàng",IF(R386&gt;0,"Quá hạn "&amp;R386&amp;" ngày - đòi tiền",IF(P386&gt;0,"Chờ thu tiền",IF(P386&lt;0,"Kiểm tra thu thừa",IF(AND(F386="Đã giao",H386="Đã xuất"),"Hoàn tất","Theo dõi"))))))))</f>
        <v/>
      </c>
      <c r="U386" s="8"/>
    </row>
    <row r="387" customFormat="false" ht="15" hidden="false" customHeight="false" outlineLevel="0" collapsed="false">
      <c r="A387" s="8"/>
      <c r="B387" s="9"/>
      <c r="C387" s="8"/>
      <c r="D387" s="10" t="str">
        <f aca="false">IF(C387="","",IFERROR(VLOOKUP(C387,KhachHang!$A$2:$B$200,2,FALSE())&amp;"",""))</f>
        <v/>
      </c>
      <c r="E387" s="8"/>
      <c r="F387" s="8"/>
      <c r="G387" s="9"/>
      <c r="H387" s="8"/>
      <c r="I387" s="8"/>
      <c r="J387" s="9"/>
      <c r="K387" s="11" t="str">
        <f aca="false">IF(A387="","",SUMIFS(ChiTiet!$I$2:$I$2000,ChiTiet!$A$2:$A$2000,A387))</f>
        <v/>
      </c>
      <c r="L387" s="12"/>
      <c r="M387" s="11" t="str">
        <f aca="false">IF(A387="","",ROUND(K387*IF(L387="",0.08,L387),0))</f>
        <v/>
      </c>
      <c r="N387" s="11" t="str">
        <f aca="false">IF(A387="","",K387+M387)</f>
        <v/>
      </c>
      <c r="O387" s="11" t="str">
        <f aca="false">IF(A387="","",SUMIFS(ThuTien!$D$2:$D$2000,ThuTien!$B$2:$B$2000,A387))</f>
        <v/>
      </c>
      <c r="P387" s="11" t="str">
        <f aca="false">IF(A387="","",N387-O387)</f>
        <v/>
      </c>
      <c r="Q387" s="9"/>
      <c r="R387" s="10" t="str">
        <f aca="true">IF(A387="","",IF(AND(Q387&lt;&gt;"",P387&gt;0,TODAY()&gt;Q387),TODAY()-Q387,0))</f>
        <v/>
      </c>
      <c r="S387" s="10" t="str">
        <f aca="false">IF(A387="","",IF(N387=0,"Chưa có tiền hàng",IF(P387&lt;0,"Thu thừa",IF(P387=0,"Đã thu đủ",IF(O387&gt;0,"Thu một phần","Chưa thu")))))</f>
        <v/>
      </c>
      <c r="T387" s="10" t="str">
        <f aca="false">IF(A387="","",IF(AND(F387="Đã giao",H387&lt;&gt;"Đã xuất"),"Đã giao - CHƯA XUẤT HĐ",IF(AND(H387="Đã xuất",F387="Chưa giao"),"Đã xuất HĐ - chưa giao",IF(F387="","Chưa cập nhật giao hàng",IF(R387&gt;0,"Quá hạn "&amp;R387&amp;" ngày - đòi tiền",IF(P387&gt;0,"Chờ thu tiền",IF(P387&lt;0,"Kiểm tra thu thừa",IF(AND(F387="Đã giao",H387="Đã xuất"),"Hoàn tất","Theo dõi"))))))))</f>
        <v/>
      </c>
      <c r="U387" s="8"/>
    </row>
    <row r="388" customFormat="false" ht="15" hidden="false" customHeight="false" outlineLevel="0" collapsed="false">
      <c r="A388" s="8"/>
      <c r="B388" s="9"/>
      <c r="C388" s="8"/>
      <c r="D388" s="10" t="str">
        <f aca="false">IF(C388="","",IFERROR(VLOOKUP(C388,KhachHang!$A$2:$B$200,2,FALSE())&amp;"",""))</f>
        <v/>
      </c>
      <c r="E388" s="8"/>
      <c r="F388" s="8"/>
      <c r="G388" s="9"/>
      <c r="H388" s="8"/>
      <c r="I388" s="8"/>
      <c r="J388" s="9"/>
      <c r="K388" s="11" t="str">
        <f aca="false">IF(A388="","",SUMIFS(ChiTiet!$I$2:$I$2000,ChiTiet!$A$2:$A$2000,A388))</f>
        <v/>
      </c>
      <c r="L388" s="12"/>
      <c r="M388" s="11" t="str">
        <f aca="false">IF(A388="","",ROUND(K388*IF(L388="",0.08,L388),0))</f>
        <v/>
      </c>
      <c r="N388" s="11" t="str">
        <f aca="false">IF(A388="","",K388+M388)</f>
        <v/>
      </c>
      <c r="O388" s="11" t="str">
        <f aca="false">IF(A388="","",SUMIFS(ThuTien!$D$2:$D$2000,ThuTien!$B$2:$B$2000,A388))</f>
        <v/>
      </c>
      <c r="P388" s="11" t="str">
        <f aca="false">IF(A388="","",N388-O388)</f>
        <v/>
      </c>
      <c r="Q388" s="9"/>
      <c r="R388" s="10" t="str">
        <f aca="true">IF(A388="","",IF(AND(Q388&lt;&gt;"",P388&gt;0,TODAY()&gt;Q388),TODAY()-Q388,0))</f>
        <v/>
      </c>
      <c r="S388" s="10" t="str">
        <f aca="false">IF(A388="","",IF(N388=0,"Chưa có tiền hàng",IF(P388&lt;0,"Thu thừa",IF(P388=0,"Đã thu đủ",IF(O388&gt;0,"Thu một phần","Chưa thu")))))</f>
        <v/>
      </c>
      <c r="T388" s="10" t="str">
        <f aca="false">IF(A388="","",IF(AND(F388="Đã giao",H388&lt;&gt;"Đã xuất"),"Đã giao - CHƯA XUẤT HĐ",IF(AND(H388="Đã xuất",F388="Chưa giao"),"Đã xuất HĐ - chưa giao",IF(F388="","Chưa cập nhật giao hàng",IF(R388&gt;0,"Quá hạn "&amp;R388&amp;" ngày - đòi tiền",IF(P388&gt;0,"Chờ thu tiền",IF(P388&lt;0,"Kiểm tra thu thừa",IF(AND(F388="Đã giao",H388="Đã xuất"),"Hoàn tất","Theo dõi"))))))))</f>
        <v/>
      </c>
      <c r="U388" s="8"/>
    </row>
    <row r="389" customFormat="false" ht="15" hidden="false" customHeight="false" outlineLevel="0" collapsed="false">
      <c r="A389" s="8"/>
      <c r="B389" s="9"/>
      <c r="C389" s="8"/>
      <c r="D389" s="10" t="str">
        <f aca="false">IF(C389="","",IFERROR(VLOOKUP(C389,KhachHang!$A$2:$B$200,2,FALSE())&amp;"",""))</f>
        <v/>
      </c>
      <c r="E389" s="8"/>
      <c r="F389" s="8"/>
      <c r="G389" s="9"/>
      <c r="H389" s="8"/>
      <c r="I389" s="8"/>
      <c r="J389" s="9"/>
      <c r="K389" s="11" t="str">
        <f aca="false">IF(A389="","",SUMIFS(ChiTiet!$I$2:$I$2000,ChiTiet!$A$2:$A$2000,A389))</f>
        <v/>
      </c>
      <c r="L389" s="12"/>
      <c r="M389" s="11" t="str">
        <f aca="false">IF(A389="","",ROUND(K389*IF(L389="",0.08,L389),0))</f>
        <v/>
      </c>
      <c r="N389" s="11" t="str">
        <f aca="false">IF(A389="","",K389+M389)</f>
        <v/>
      </c>
      <c r="O389" s="11" t="str">
        <f aca="false">IF(A389="","",SUMIFS(ThuTien!$D$2:$D$2000,ThuTien!$B$2:$B$2000,A389))</f>
        <v/>
      </c>
      <c r="P389" s="11" t="str">
        <f aca="false">IF(A389="","",N389-O389)</f>
        <v/>
      </c>
      <c r="Q389" s="9"/>
      <c r="R389" s="10" t="str">
        <f aca="true">IF(A389="","",IF(AND(Q389&lt;&gt;"",P389&gt;0,TODAY()&gt;Q389),TODAY()-Q389,0))</f>
        <v/>
      </c>
      <c r="S389" s="10" t="str">
        <f aca="false">IF(A389="","",IF(N389=0,"Chưa có tiền hàng",IF(P389&lt;0,"Thu thừa",IF(P389=0,"Đã thu đủ",IF(O389&gt;0,"Thu một phần","Chưa thu")))))</f>
        <v/>
      </c>
      <c r="T389" s="10" t="str">
        <f aca="false">IF(A389="","",IF(AND(F389="Đã giao",H389&lt;&gt;"Đã xuất"),"Đã giao - CHƯA XUẤT HĐ",IF(AND(H389="Đã xuất",F389="Chưa giao"),"Đã xuất HĐ - chưa giao",IF(F389="","Chưa cập nhật giao hàng",IF(R389&gt;0,"Quá hạn "&amp;R389&amp;" ngày - đòi tiền",IF(P389&gt;0,"Chờ thu tiền",IF(P389&lt;0,"Kiểm tra thu thừa",IF(AND(F389="Đã giao",H389="Đã xuất"),"Hoàn tất","Theo dõi"))))))))</f>
        <v/>
      </c>
      <c r="U389" s="8"/>
    </row>
    <row r="390" customFormat="false" ht="15" hidden="false" customHeight="false" outlineLevel="0" collapsed="false">
      <c r="A390" s="8"/>
      <c r="B390" s="9"/>
      <c r="C390" s="8"/>
      <c r="D390" s="10" t="str">
        <f aca="false">IF(C390="","",IFERROR(VLOOKUP(C390,KhachHang!$A$2:$B$200,2,FALSE())&amp;"",""))</f>
        <v/>
      </c>
      <c r="E390" s="8"/>
      <c r="F390" s="8"/>
      <c r="G390" s="9"/>
      <c r="H390" s="8"/>
      <c r="I390" s="8"/>
      <c r="J390" s="9"/>
      <c r="K390" s="11" t="str">
        <f aca="false">IF(A390="","",SUMIFS(ChiTiet!$I$2:$I$2000,ChiTiet!$A$2:$A$2000,A390))</f>
        <v/>
      </c>
      <c r="L390" s="12"/>
      <c r="M390" s="11" t="str">
        <f aca="false">IF(A390="","",ROUND(K390*IF(L390="",0.08,L390),0))</f>
        <v/>
      </c>
      <c r="N390" s="11" t="str">
        <f aca="false">IF(A390="","",K390+M390)</f>
        <v/>
      </c>
      <c r="O390" s="11" t="str">
        <f aca="false">IF(A390="","",SUMIFS(ThuTien!$D$2:$D$2000,ThuTien!$B$2:$B$2000,A390))</f>
        <v/>
      </c>
      <c r="P390" s="11" t="str">
        <f aca="false">IF(A390="","",N390-O390)</f>
        <v/>
      </c>
      <c r="Q390" s="9"/>
      <c r="R390" s="10" t="str">
        <f aca="true">IF(A390="","",IF(AND(Q390&lt;&gt;"",P390&gt;0,TODAY()&gt;Q390),TODAY()-Q390,0))</f>
        <v/>
      </c>
      <c r="S390" s="10" t="str">
        <f aca="false">IF(A390="","",IF(N390=0,"Chưa có tiền hàng",IF(P390&lt;0,"Thu thừa",IF(P390=0,"Đã thu đủ",IF(O390&gt;0,"Thu một phần","Chưa thu")))))</f>
        <v/>
      </c>
      <c r="T390" s="10" t="str">
        <f aca="false">IF(A390="","",IF(AND(F390="Đã giao",H390&lt;&gt;"Đã xuất"),"Đã giao - CHƯA XUẤT HĐ",IF(AND(H390="Đã xuất",F390="Chưa giao"),"Đã xuất HĐ - chưa giao",IF(F390="","Chưa cập nhật giao hàng",IF(R390&gt;0,"Quá hạn "&amp;R390&amp;" ngày - đòi tiền",IF(P390&gt;0,"Chờ thu tiền",IF(P390&lt;0,"Kiểm tra thu thừa",IF(AND(F390="Đã giao",H390="Đã xuất"),"Hoàn tất","Theo dõi"))))))))</f>
        <v/>
      </c>
      <c r="U390" s="8"/>
    </row>
    <row r="391" customFormat="false" ht="15" hidden="false" customHeight="false" outlineLevel="0" collapsed="false">
      <c r="A391" s="8"/>
      <c r="B391" s="9"/>
      <c r="C391" s="8"/>
      <c r="D391" s="10" t="str">
        <f aca="false">IF(C391="","",IFERROR(VLOOKUP(C391,KhachHang!$A$2:$B$200,2,FALSE())&amp;"",""))</f>
        <v/>
      </c>
      <c r="E391" s="8"/>
      <c r="F391" s="8"/>
      <c r="G391" s="9"/>
      <c r="H391" s="8"/>
      <c r="I391" s="8"/>
      <c r="J391" s="9"/>
      <c r="K391" s="11" t="str">
        <f aca="false">IF(A391="","",SUMIFS(ChiTiet!$I$2:$I$2000,ChiTiet!$A$2:$A$2000,A391))</f>
        <v/>
      </c>
      <c r="L391" s="12"/>
      <c r="M391" s="11" t="str">
        <f aca="false">IF(A391="","",ROUND(K391*IF(L391="",0.08,L391),0))</f>
        <v/>
      </c>
      <c r="N391" s="11" t="str">
        <f aca="false">IF(A391="","",K391+M391)</f>
        <v/>
      </c>
      <c r="O391" s="11" t="str">
        <f aca="false">IF(A391="","",SUMIFS(ThuTien!$D$2:$D$2000,ThuTien!$B$2:$B$2000,A391))</f>
        <v/>
      </c>
      <c r="P391" s="11" t="str">
        <f aca="false">IF(A391="","",N391-O391)</f>
        <v/>
      </c>
      <c r="Q391" s="9"/>
      <c r="R391" s="10" t="str">
        <f aca="true">IF(A391="","",IF(AND(Q391&lt;&gt;"",P391&gt;0,TODAY()&gt;Q391),TODAY()-Q391,0))</f>
        <v/>
      </c>
      <c r="S391" s="10" t="str">
        <f aca="false">IF(A391="","",IF(N391=0,"Chưa có tiền hàng",IF(P391&lt;0,"Thu thừa",IF(P391=0,"Đã thu đủ",IF(O391&gt;0,"Thu một phần","Chưa thu")))))</f>
        <v/>
      </c>
      <c r="T391" s="10" t="str">
        <f aca="false">IF(A391="","",IF(AND(F391="Đã giao",H391&lt;&gt;"Đã xuất"),"Đã giao - CHƯA XUẤT HĐ",IF(AND(H391="Đã xuất",F391="Chưa giao"),"Đã xuất HĐ - chưa giao",IF(F391="","Chưa cập nhật giao hàng",IF(R391&gt;0,"Quá hạn "&amp;R391&amp;" ngày - đòi tiền",IF(P391&gt;0,"Chờ thu tiền",IF(P391&lt;0,"Kiểm tra thu thừa",IF(AND(F391="Đã giao",H391="Đã xuất"),"Hoàn tất","Theo dõi"))))))))</f>
        <v/>
      </c>
      <c r="U391" s="8"/>
    </row>
    <row r="392" customFormat="false" ht="15" hidden="false" customHeight="false" outlineLevel="0" collapsed="false">
      <c r="A392" s="8"/>
      <c r="B392" s="9"/>
      <c r="C392" s="8"/>
      <c r="D392" s="10" t="str">
        <f aca="false">IF(C392="","",IFERROR(VLOOKUP(C392,KhachHang!$A$2:$B$200,2,FALSE())&amp;"",""))</f>
        <v/>
      </c>
      <c r="E392" s="8"/>
      <c r="F392" s="8"/>
      <c r="G392" s="9"/>
      <c r="H392" s="8"/>
      <c r="I392" s="8"/>
      <c r="J392" s="9"/>
      <c r="K392" s="11" t="str">
        <f aca="false">IF(A392="","",SUMIFS(ChiTiet!$I$2:$I$2000,ChiTiet!$A$2:$A$2000,A392))</f>
        <v/>
      </c>
      <c r="L392" s="12"/>
      <c r="M392" s="11" t="str">
        <f aca="false">IF(A392="","",ROUND(K392*IF(L392="",0.08,L392),0))</f>
        <v/>
      </c>
      <c r="N392" s="11" t="str">
        <f aca="false">IF(A392="","",K392+M392)</f>
        <v/>
      </c>
      <c r="O392" s="11" t="str">
        <f aca="false">IF(A392="","",SUMIFS(ThuTien!$D$2:$D$2000,ThuTien!$B$2:$B$2000,A392))</f>
        <v/>
      </c>
      <c r="P392" s="11" t="str">
        <f aca="false">IF(A392="","",N392-O392)</f>
        <v/>
      </c>
      <c r="Q392" s="9"/>
      <c r="R392" s="10" t="str">
        <f aca="true">IF(A392="","",IF(AND(Q392&lt;&gt;"",P392&gt;0,TODAY()&gt;Q392),TODAY()-Q392,0))</f>
        <v/>
      </c>
      <c r="S392" s="10" t="str">
        <f aca="false">IF(A392="","",IF(N392=0,"Chưa có tiền hàng",IF(P392&lt;0,"Thu thừa",IF(P392=0,"Đã thu đủ",IF(O392&gt;0,"Thu một phần","Chưa thu")))))</f>
        <v/>
      </c>
      <c r="T392" s="10" t="str">
        <f aca="false">IF(A392="","",IF(AND(F392="Đã giao",H392&lt;&gt;"Đã xuất"),"Đã giao - CHƯA XUẤT HĐ",IF(AND(H392="Đã xuất",F392="Chưa giao"),"Đã xuất HĐ - chưa giao",IF(F392="","Chưa cập nhật giao hàng",IF(R392&gt;0,"Quá hạn "&amp;R392&amp;" ngày - đòi tiền",IF(P392&gt;0,"Chờ thu tiền",IF(P392&lt;0,"Kiểm tra thu thừa",IF(AND(F392="Đã giao",H392="Đã xuất"),"Hoàn tất","Theo dõi"))))))))</f>
        <v/>
      </c>
      <c r="U392" s="8"/>
    </row>
    <row r="393" customFormat="false" ht="15" hidden="false" customHeight="false" outlineLevel="0" collapsed="false">
      <c r="A393" s="8"/>
      <c r="B393" s="9"/>
      <c r="C393" s="8"/>
      <c r="D393" s="10" t="str">
        <f aca="false">IF(C393="","",IFERROR(VLOOKUP(C393,KhachHang!$A$2:$B$200,2,FALSE())&amp;"",""))</f>
        <v/>
      </c>
      <c r="E393" s="8"/>
      <c r="F393" s="8"/>
      <c r="G393" s="9"/>
      <c r="H393" s="8"/>
      <c r="I393" s="8"/>
      <c r="J393" s="9"/>
      <c r="K393" s="11" t="str">
        <f aca="false">IF(A393="","",SUMIFS(ChiTiet!$I$2:$I$2000,ChiTiet!$A$2:$A$2000,A393))</f>
        <v/>
      </c>
      <c r="L393" s="12"/>
      <c r="M393" s="11" t="str">
        <f aca="false">IF(A393="","",ROUND(K393*IF(L393="",0.08,L393),0))</f>
        <v/>
      </c>
      <c r="N393" s="11" t="str">
        <f aca="false">IF(A393="","",K393+M393)</f>
        <v/>
      </c>
      <c r="O393" s="11" t="str">
        <f aca="false">IF(A393="","",SUMIFS(ThuTien!$D$2:$D$2000,ThuTien!$B$2:$B$2000,A393))</f>
        <v/>
      </c>
      <c r="P393" s="11" t="str">
        <f aca="false">IF(A393="","",N393-O393)</f>
        <v/>
      </c>
      <c r="Q393" s="9"/>
      <c r="R393" s="10" t="str">
        <f aca="true">IF(A393="","",IF(AND(Q393&lt;&gt;"",P393&gt;0,TODAY()&gt;Q393),TODAY()-Q393,0))</f>
        <v/>
      </c>
      <c r="S393" s="10" t="str">
        <f aca="false">IF(A393="","",IF(N393=0,"Chưa có tiền hàng",IF(P393&lt;0,"Thu thừa",IF(P393=0,"Đã thu đủ",IF(O393&gt;0,"Thu một phần","Chưa thu")))))</f>
        <v/>
      </c>
      <c r="T393" s="10" t="str">
        <f aca="false">IF(A393="","",IF(AND(F393="Đã giao",H393&lt;&gt;"Đã xuất"),"Đã giao - CHƯA XUẤT HĐ",IF(AND(H393="Đã xuất",F393="Chưa giao"),"Đã xuất HĐ - chưa giao",IF(F393="","Chưa cập nhật giao hàng",IF(R393&gt;0,"Quá hạn "&amp;R393&amp;" ngày - đòi tiền",IF(P393&gt;0,"Chờ thu tiền",IF(P393&lt;0,"Kiểm tra thu thừa",IF(AND(F393="Đã giao",H393="Đã xuất"),"Hoàn tất","Theo dõi"))))))))</f>
        <v/>
      </c>
      <c r="U393" s="8"/>
    </row>
    <row r="394" customFormat="false" ht="15" hidden="false" customHeight="false" outlineLevel="0" collapsed="false">
      <c r="A394" s="8"/>
      <c r="B394" s="9"/>
      <c r="C394" s="8"/>
      <c r="D394" s="10" t="str">
        <f aca="false">IF(C394="","",IFERROR(VLOOKUP(C394,KhachHang!$A$2:$B$200,2,FALSE())&amp;"",""))</f>
        <v/>
      </c>
      <c r="E394" s="8"/>
      <c r="F394" s="8"/>
      <c r="G394" s="9"/>
      <c r="H394" s="8"/>
      <c r="I394" s="8"/>
      <c r="J394" s="9"/>
      <c r="K394" s="11" t="str">
        <f aca="false">IF(A394="","",SUMIFS(ChiTiet!$I$2:$I$2000,ChiTiet!$A$2:$A$2000,A394))</f>
        <v/>
      </c>
      <c r="L394" s="12"/>
      <c r="M394" s="11" t="str">
        <f aca="false">IF(A394="","",ROUND(K394*IF(L394="",0.08,L394),0))</f>
        <v/>
      </c>
      <c r="N394" s="11" t="str">
        <f aca="false">IF(A394="","",K394+M394)</f>
        <v/>
      </c>
      <c r="O394" s="11" t="str">
        <f aca="false">IF(A394="","",SUMIFS(ThuTien!$D$2:$D$2000,ThuTien!$B$2:$B$2000,A394))</f>
        <v/>
      </c>
      <c r="P394" s="11" t="str">
        <f aca="false">IF(A394="","",N394-O394)</f>
        <v/>
      </c>
      <c r="Q394" s="9"/>
      <c r="R394" s="10" t="str">
        <f aca="true">IF(A394="","",IF(AND(Q394&lt;&gt;"",P394&gt;0,TODAY()&gt;Q394),TODAY()-Q394,0))</f>
        <v/>
      </c>
      <c r="S394" s="10" t="str">
        <f aca="false">IF(A394="","",IF(N394=0,"Chưa có tiền hàng",IF(P394&lt;0,"Thu thừa",IF(P394=0,"Đã thu đủ",IF(O394&gt;0,"Thu một phần","Chưa thu")))))</f>
        <v/>
      </c>
      <c r="T394" s="10" t="str">
        <f aca="false">IF(A394="","",IF(AND(F394="Đã giao",H394&lt;&gt;"Đã xuất"),"Đã giao - CHƯA XUẤT HĐ",IF(AND(H394="Đã xuất",F394="Chưa giao"),"Đã xuất HĐ - chưa giao",IF(F394="","Chưa cập nhật giao hàng",IF(R394&gt;0,"Quá hạn "&amp;R394&amp;" ngày - đòi tiền",IF(P394&gt;0,"Chờ thu tiền",IF(P394&lt;0,"Kiểm tra thu thừa",IF(AND(F394="Đã giao",H394="Đã xuất"),"Hoàn tất","Theo dõi"))))))))</f>
        <v/>
      </c>
      <c r="U394" s="8"/>
    </row>
    <row r="395" customFormat="false" ht="15" hidden="false" customHeight="false" outlineLevel="0" collapsed="false">
      <c r="A395" s="8"/>
      <c r="B395" s="9"/>
      <c r="C395" s="8"/>
      <c r="D395" s="10" t="str">
        <f aca="false">IF(C395="","",IFERROR(VLOOKUP(C395,KhachHang!$A$2:$B$200,2,FALSE())&amp;"",""))</f>
        <v/>
      </c>
      <c r="E395" s="8"/>
      <c r="F395" s="8"/>
      <c r="G395" s="9"/>
      <c r="H395" s="8"/>
      <c r="I395" s="8"/>
      <c r="J395" s="9"/>
      <c r="K395" s="11" t="str">
        <f aca="false">IF(A395="","",SUMIFS(ChiTiet!$I$2:$I$2000,ChiTiet!$A$2:$A$2000,A395))</f>
        <v/>
      </c>
      <c r="L395" s="12"/>
      <c r="M395" s="11" t="str">
        <f aca="false">IF(A395="","",ROUND(K395*IF(L395="",0.08,L395),0))</f>
        <v/>
      </c>
      <c r="N395" s="11" t="str">
        <f aca="false">IF(A395="","",K395+M395)</f>
        <v/>
      </c>
      <c r="O395" s="11" t="str">
        <f aca="false">IF(A395="","",SUMIFS(ThuTien!$D$2:$D$2000,ThuTien!$B$2:$B$2000,A395))</f>
        <v/>
      </c>
      <c r="P395" s="11" t="str">
        <f aca="false">IF(A395="","",N395-O395)</f>
        <v/>
      </c>
      <c r="Q395" s="9"/>
      <c r="R395" s="10" t="str">
        <f aca="true">IF(A395="","",IF(AND(Q395&lt;&gt;"",P395&gt;0,TODAY()&gt;Q395),TODAY()-Q395,0))</f>
        <v/>
      </c>
      <c r="S395" s="10" t="str">
        <f aca="false">IF(A395="","",IF(N395=0,"Chưa có tiền hàng",IF(P395&lt;0,"Thu thừa",IF(P395=0,"Đã thu đủ",IF(O395&gt;0,"Thu một phần","Chưa thu")))))</f>
        <v/>
      </c>
      <c r="T395" s="10" t="str">
        <f aca="false">IF(A395="","",IF(AND(F395="Đã giao",H395&lt;&gt;"Đã xuất"),"Đã giao - CHƯA XUẤT HĐ",IF(AND(H395="Đã xuất",F395="Chưa giao"),"Đã xuất HĐ - chưa giao",IF(F395="","Chưa cập nhật giao hàng",IF(R395&gt;0,"Quá hạn "&amp;R395&amp;" ngày - đòi tiền",IF(P395&gt;0,"Chờ thu tiền",IF(P395&lt;0,"Kiểm tra thu thừa",IF(AND(F395="Đã giao",H395="Đã xuất"),"Hoàn tất","Theo dõi"))))))))</f>
        <v/>
      </c>
      <c r="U395" s="8"/>
    </row>
    <row r="396" customFormat="false" ht="15" hidden="false" customHeight="false" outlineLevel="0" collapsed="false">
      <c r="A396" s="8"/>
      <c r="B396" s="9"/>
      <c r="C396" s="8"/>
      <c r="D396" s="10" t="str">
        <f aca="false">IF(C396="","",IFERROR(VLOOKUP(C396,KhachHang!$A$2:$B$200,2,FALSE())&amp;"",""))</f>
        <v/>
      </c>
      <c r="E396" s="8"/>
      <c r="F396" s="8"/>
      <c r="G396" s="9"/>
      <c r="H396" s="8"/>
      <c r="I396" s="8"/>
      <c r="J396" s="9"/>
      <c r="K396" s="11" t="str">
        <f aca="false">IF(A396="","",SUMIFS(ChiTiet!$I$2:$I$2000,ChiTiet!$A$2:$A$2000,A396))</f>
        <v/>
      </c>
      <c r="L396" s="12"/>
      <c r="M396" s="11" t="str">
        <f aca="false">IF(A396="","",ROUND(K396*IF(L396="",0.08,L396),0))</f>
        <v/>
      </c>
      <c r="N396" s="11" t="str">
        <f aca="false">IF(A396="","",K396+M396)</f>
        <v/>
      </c>
      <c r="O396" s="11" t="str">
        <f aca="false">IF(A396="","",SUMIFS(ThuTien!$D$2:$D$2000,ThuTien!$B$2:$B$2000,A396))</f>
        <v/>
      </c>
      <c r="P396" s="11" t="str">
        <f aca="false">IF(A396="","",N396-O396)</f>
        <v/>
      </c>
      <c r="Q396" s="9"/>
      <c r="R396" s="10" t="str">
        <f aca="true">IF(A396="","",IF(AND(Q396&lt;&gt;"",P396&gt;0,TODAY()&gt;Q396),TODAY()-Q396,0))</f>
        <v/>
      </c>
      <c r="S396" s="10" t="str">
        <f aca="false">IF(A396="","",IF(N396=0,"Chưa có tiền hàng",IF(P396&lt;0,"Thu thừa",IF(P396=0,"Đã thu đủ",IF(O396&gt;0,"Thu một phần","Chưa thu")))))</f>
        <v/>
      </c>
      <c r="T396" s="10" t="str">
        <f aca="false">IF(A396="","",IF(AND(F396="Đã giao",H396&lt;&gt;"Đã xuất"),"Đã giao - CHƯA XUẤT HĐ",IF(AND(H396="Đã xuất",F396="Chưa giao"),"Đã xuất HĐ - chưa giao",IF(F396="","Chưa cập nhật giao hàng",IF(R396&gt;0,"Quá hạn "&amp;R396&amp;" ngày - đòi tiền",IF(P396&gt;0,"Chờ thu tiền",IF(P396&lt;0,"Kiểm tra thu thừa",IF(AND(F396="Đã giao",H396="Đã xuất"),"Hoàn tất","Theo dõi"))))))))</f>
        <v/>
      </c>
      <c r="U396" s="8"/>
    </row>
    <row r="397" customFormat="false" ht="15" hidden="false" customHeight="false" outlineLevel="0" collapsed="false">
      <c r="A397" s="8"/>
      <c r="B397" s="9"/>
      <c r="C397" s="8"/>
      <c r="D397" s="10" t="str">
        <f aca="false">IF(C397="","",IFERROR(VLOOKUP(C397,KhachHang!$A$2:$B$200,2,FALSE())&amp;"",""))</f>
        <v/>
      </c>
      <c r="E397" s="8"/>
      <c r="F397" s="8"/>
      <c r="G397" s="9"/>
      <c r="H397" s="8"/>
      <c r="I397" s="8"/>
      <c r="J397" s="9"/>
      <c r="K397" s="11" t="str">
        <f aca="false">IF(A397="","",SUMIFS(ChiTiet!$I$2:$I$2000,ChiTiet!$A$2:$A$2000,A397))</f>
        <v/>
      </c>
      <c r="L397" s="12"/>
      <c r="M397" s="11" t="str">
        <f aca="false">IF(A397="","",ROUND(K397*IF(L397="",0.08,L397),0))</f>
        <v/>
      </c>
      <c r="N397" s="11" t="str">
        <f aca="false">IF(A397="","",K397+M397)</f>
        <v/>
      </c>
      <c r="O397" s="11" t="str">
        <f aca="false">IF(A397="","",SUMIFS(ThuTien!$D$2:$D$2000,ThuTien!$B$2:$B$2000,A397))</f>
        <v/>
      </c>
      <c r="P397" s="11" t="str">
        <f aca="false">IF(A397="","",N397-O397)</f>
        <v/>
      </c>
      <c r="Q397" s="9"/>
      <c r="R397" s="10" t="str">
        <f aca="true">IF(A397="","",IF(AND(Q397&lt;&gt;"",P397&gt;0,TODAY()&gt;Q397),TODAY()-Q397,0))</f>
        <v/>
      </c>
      <c r="S397" s="10" t="str">
        <f aca="false">IF(A397="","",IF(N397=0,"Chưa có tiền hàng",IF(P397&lt;0,"Thu thừa",IF(P397=0,"Đã thu đủ",IF(O397&gt;0,"Thu một phần","Chưa thu")))))</f>
        <v/>
      </c>
      <c r="T397" s="10" t="str">
        <f aca="false">IF(A397="","",IF(AND(F397="Đã giao",H397&lt;&gt;"Đã xuất"),"Đã giao - CHƯA XUẤT HĐ",IF(AND(H397="Đã xuất",F397="Chưa giao"),"Đã xuất HĐ - chưa giao",IF(F397="","Chưa cập nhật giao hàng",IF(R397&gt;0,"Quá hạn "&amp;R397&amp;" ngày - đòi tiền",IF(P397&gt;0,"Chờ thu tiền",IF(P397&lt;0,"Kiểm tra thu thừa",IF(AND(F397="Đã giao",H397="Đã xuất"),"Hoàn tất","Theo dõi"))))))))</f>
        <v/>
      </c>
      <c r="U397" s="8"/>
    </row>
    <row r="398" customFormat="false" ht="15" hidden="false" customHeight="false" outlineLevel="0" collapsed="false">
      <c r="A398" s="8"/>
      <c r="B398" s="9"/>
      <c r="C398" s="8"/>
      <c r="D398" s="10" t="str">
        <f aca="false">IF(C398="","",IFERROR(VLOOKUP(C398,KhachHang!$A$2:$B$200,2,FALSE())&amp;"",""))</f>
        <v/>
      </c>
      <c r="E398" s="8"/>
      <c r="F398" s="8"/>
      <c r="G398" s="9"/>
      <c r="H398" s="8"/>
      <c r="I398" s="8"/>
      <c r="J398" s="9"/>
      <c r="K398" s="11" t="str">
        <f aca="false">IF(A398="","",SUMIFS(ChiTiet!$I$2:$I$2000,ChiTiet!$A$2:$A$2000,A398))</f>
        <v/>
      </c>
      <c r="L398" s="12"/>
      <c r="M398" s="11" t="str">
        <f aca="false">IF(A398="","",ROUND(K398*IF(L398="",0.08,L398),0))</f>
        <v/>
      </c>
      <c r="N398" s="11" t="str">
        <f aca="false">IF(A398="","",K398+M398)</f>
        <v/>
      </c>
      <c r="O398" s="11" t="str">
        <f aca="false">IF(A398="","",SUMIFS(ThuTien!$D$2:$D$2000,ThuTien!$B$2:$B$2000,A398))</f>
        <v/>
      </c>
      <c r="P398" s="11" t="str">
        <f aca="false">IF(A398="","",N398-O398)</f>
        <v/>
      </c>
      <c r="Q398" s="9"/>
      <c r="R398" s="10" t="str">
        <f aca="true">IF(A398="","",IF(AND(Q398&lt;&gt;"",P398&gt;0,TODAY()&gt;Q398),TODAY()-Q398,0))</f>
        <v/>
      </c>
      <c r="S398" s="10" t="str">
        <f aca="false">IF(A398="","",IF(N398=0,"Chưa có tiền hàng",IF(P398&lt;0,"Thu thừa",IF(P398=0,"Đã thu đủ",IF(O398&gt;0,"Thu một phần","Chưa thu")))))</f>
        <v/>
      </c>
      <c r="T398" s="10" t="str">
        <f aca="false">IF(A398="","",IF(AND(F398="Đã giao",H398&lt;&gt;"Đã xuất"),"Đã giao - CHƯA XUẤT HĐ",IF(AND(H398="Đã xuất",F398="Chưa giao"),"Đã xuất HĐ - chưa giao",IF(F398="","Chưa cập nhật giao hàng",IF(R398&gt;0,"Quá hạn "&amp;R398&amp;" ngày - đòi tiền",IF(P398&gt;0,"Chờ thu tiền",IF(P398&lt;0,"Kiểm tra thu thừa",IF(AND(F398="Đã giao",H398="Đã xuất"),"Hoàn tất","Theo dõi"))))))))</f>
        <v/>
      </c>
      <c r="U398" s="8"/>
    </row>
    <row r="399" customFormat="false" ht="15" hidden="false" customHeight="false" outlineLevel="0" collapsed="false">
      <c r="A399" s="8"/>
      <c r="B399" s="9"/>
      <c r="C399" s="8"/>
      <c r="D399" s="10" t="str">
        <f aca="false">IF(C399="","",IFERROR(VLOOKUP(C399,KhachHang!$A$2:$B$200,2,FALSE())&amp;"",""))</f>
        <v/>
      </c>
      <c r="E399" s="8"/>
      <c r="F399" s="8"/>
      <c r="G399" s="9"/>
      <c r="H399" s="8"/>
      <c r="I399" s="8"/>
      <c r="J399" s="9"/>
      <c r="K399" s="11" t="str">
        <f aca="false">IF(A399="","",SUMIFS(ChiTiet!$I$2:$I$2000,ChiTiet!$A$2:$A$2000,A399))</f>
        <v/>
      </c>
      <c r="L399" s="12"/>
      <c r="M399" s="11" t="str">
        <f aca="false">IF(A399="","",ROUND(K399*IF(L399="",0.08,L399),0))</f>
        <v/>
      </c>
      <c r="N399" s="11" t="str">
        <f aca="false">IF(A399="","",K399+M399)</f>
        <v/>
      </c>
      <c r="O399" s="11" t="str">
        <f aca="false">IF(A399="","",SUMIFS(ThuTien!$D$2:$D$2000,ThuTien!$B$2:$B$2000,A399))</f>
        <v/>
      </c>
      <c r="P399" s="11" t="str">
        <f aca="false">IF(A399="","",N399-O399)</f>
        <v/>
      </c>
      <c r="Q399" s="9"/>
      <c r="R399" s="10" t="str">
        <f aca="true">IF(A399="","",IF(AND(Q399&lt;&gt;"",P399&gt;0,TODAY()&gt;Q399),TODAY()-Q399,0))</f>
        <v/>
      </c>
      <c r="S399" s="10" t="str">
        <f aca="false">IF(A399="","",IF(N399=0,"Chưa có tiền hàng",IF(P399&lt;0,"Thu thừa",IF(P399=0,"Đã thu đủ",IF(O399&gt;0,"Thu một phần","Chưa thu")))))</f>
        <v/>
      </c>
      <c r="T399" s="10" t="str">
        <f aca="false">IF(A399="","",IF(AND(F399="Đã giao",H399&lt;&gt;"Đã xuất"),"Đã giao - CHƯA XUẤT HĐ",IF(AND(H399="Đã xuất",F399="Chưa giao"),"Đã xuất HĐ - chưa giao",IF(F399="","Chưa cập nhật giao hàng",IF(R399&gt;0,"Quá hạn "&amp;R399&amp;" ngày - đòi tiền",IF(P399&gt;0,"Chờ thu tiền",IF(P399&lt;0,"Kiểm tra thu thừa",IF(AND(F399="Đã giao",H399="Đã xuất"),"Hoàn tất","Theo dõi"))))))))</f>
        <v/>
      </c>
      <c r="U399" s="8"/>
    </row>
    <row r="400" customFormat="false" ht="15" hidden="false" customHeight="false" outlineLevel="0" collapsed="false">
      <c r="A400" s="8"/>
      <c r="B400" s="9"/>
      <c r="C400" s="8"/>
      <c r="D400" s="10" t="str">
        <f aca="false">IF(C400="","",IFERROR(VLOOKUP(C400,KhachHang!$A$2:$B$200,2,FALSE())&amp;"",""))</f>
        <v/>
      </c>
      <c r="E400" s="8"/>
      <c r="F400" s="8"/>
      <c r="G400" s="9"/>
      <c r="H400" s="8"/>
      <c r="I400" s="8"/>
      <c r="J400" s="9"/>
      <c r="K400" s="11" t="str">
        <f aca="false">IF(A400="","",SUMIFS(ChiTiet!$I$2:$I$2000,ChiTiet!$A$2:$A$2000,A400))</f>
        <v/>
      </c>
      <c r="L400" s="12"/>
      <c r="M400" s="11" t="str">
        <f aca="false">IF(A400="","",ROUND(K400*IF(L400="",0.08,L400),0))</f>
        <v/>
      </c>
      <c r="N400" s="11" t="str">
        <f aca="false">IF(A400="","",K400+M400)</f>
        <v/>
      </c>
      <c r="O400" s="11" t="str">
        <f aca="false">IF(A400="","",SUMIFS(ThuTien!$D$2:$D$2000,ThuTien!$B$2:$B$2000,A400))</f>
        <v/>
      </c>
      <c r="P400" s="11" t="str">
        <f aca="false">IF(A400="","",N400-O400)</f>
        <v/>
      </c>
      <c r="Q400" s="9"/>
      <c r="R400" s="10" t="str">
        <f aca="true">IF(A400="","",IF(AND(Q400&lt;&gt;"",P400&gt;0,TODAY()&gt;Q400),TODAY()-Q400,0))</f>
        <v/>
      </c>
      <c r="S400" s="10" t="str">
        <f aca="false">IF(A400="","",IF(N400=0,"Chưa có tiền hàng",IF(P400&lt;0,"Thu thừa",IF(P400=0,"Đã thu đủ",IF(O400&gt;0,"Thu một phần","Chưa thu")))))</f>
        <v/>
      </c>
      <c r="T400" s="10" t="str">
        <f aca="false">IF(A400="","",IF(AND(F400="Đã giao",H400&lt;&gt;"Đã xuất"),"Đã giao - CHƯA XUẤT HĐ",IF(AND(H400="Đã xuất",F400="Chưa giao"),"Đã xuất HĐ - chưa giao",IF(F400="","Chưa cập nhật giao hàng",IF(R400&gt;0,"Quá hạn "&amp;R400&amp;" ngày - đòi tiền",IF(P400&gt;0,"Chờ thu tiền",IF(P400&lt;0,"Kiểm tra thu thừa",IF(AND(F400="Đã giao",H400="Đã xuất"),"Hoàn tất","Theo dõi"))))))))</f>
        <v/>
      </c>
      <c r="U400" s="8"/>
    </row>
    <row r="401" customFormat="false" ht="15" hidden="false" customHeight="false" outlineLevel="0" collapsed="false">
      <c r="A401" s="8"/>
      <c r="B401" s="9"/>
      <c r="C401" s="8"/>
      <c r="D401" s="10" t="str">
        <f aca="false">IF(C401="","",IFERROR(VLOOKUP(C401,KhachHang!$A$2:$B$200,2,FALSE())&amp;"",""))</f>
        <v/>
      </c>
      <c r="E401" s="8"/>
      <c r="F401" s="8"/>
      <c r="G401" s="9"/>
      <c r="H401" s="8"/>
      <c r="I401" s="8"/>
      <c r="J401" s="9"/>
      <c r="K401" s="11" t="str">
        <f aca="false">IF(A401="","",SUMIFS(ChiTiet!$I$2:$I$2000,ChiTiet!$A$2:$A$2000,A401))</f>
        <v/>
      </c>
      <c r="L401" s="12"/>
      <c r="M401" s="11" t="str">
        <f aca="false">IF(A401="","",ROUND(K401*IF(L401="",0.08,L401),0))</f>
        <v/>
      </c>
      <c r="N401" s="11" t="str">
        <f aca="false">IF(A401="","",K401+M401)</f>
        <v/>
      </c>
      <c r="O401" s="11" t="str">
        <f aca="false">IF(A401="","",SUMIFS(ThuTien!$D$2:$D$2000,ThuTien!$B$2:$B$2000,A401))</f>
        <v/>
      </c>
      <c r="P401" s="11" t="str">
        <f aca="false">IF(A401="","",N401-O401)</f>
        <v/>
      </c>
      <c r="Q401" s="9"/>
      <c r="R401" s="10" t="str">
        <f aca="true">IF(A401="","",IF(AND(Q401&lt;&gt;"",P401&gt;0,TODAY()&gt;Q401),TODAY()-Q401,0))</f>
        <v/>
      </c>
      <c r="S401" s="10" t="str">
        <f aca="false">IF(A401="","",IF(N401=0,"Chưa có tiền hàng",IF(P401&lt;0,"Thu thừa",IF(P401=0,"Đã thu đủ",IF(O401&gt;0,"Thu một phần","Chưa thu")))))</f>
        <v/>
      </c>
      <c r="T401" s="10" t="str">
        <f aca="false">IF(A401="","",IF(AND(F401="Đã giao",H401&lt;&gt;"Đã xuất"),"Đã giao - CHƯA XUẤT HĐ",IF(AND(H401="Đã xuất",F401="Chưa giao"),"Đã xuất HĐ - chưa giao",IF(F401="","Chưa cập nhật giao hàng",IF(R401&gt;0,"Quá hạn "&amp;R401&amp;" ngày - đòi tiền",IF(P401&gt;0,"Chờ thu tiền",IF(P401&lt;0,"Kiểm tra thu thừa",IF(AND(F401="Đã giao",H401="Đã xuất"),"Hoàn tất","Theo dõi"))))))))</f>
        <v/>
      </c>
      <c r="U401" s="8"/>
    </row>
    <row r="402" customFormat="false" ht="15" hidden="false" customHeight="false" outlineLevel="0" collapsed="false">
      <c r="A402" s="8"/>
      <c r="B402" s="9"/>
      <c r="C402" s="8"/>
      <c r="D402" s="10" t="str">
        <f aca="false">IF(C402="","",IFERROR(VLOOKUP(C402,KhachHang!$A$2:$B$200,2,FALSE())&amp;"",""))</f>
        <v/>
      </c>
      <c r="E402" s="8"/>
      <c r="F402" s="8"/>
      <c r="G402" s="9"/>
      <c r="H402" s="8"/>
      <c r="I402" s="8"/>
      <c r="J402" s="9"/>
      <c r="K402" s="11" t="str">
        <f aca="false">IF(A402="","",SUMIFS(ChiTiet!$I$2:$I$2000,ChiTiet!$A$2:$A$2000,A402))</f>
        <v/>
      </c>
      <c r="L402" s="12"/>
      <c r="M402" s="11" t="str">
        <f aca="false">IF(A402="","",ROUND(K402*IF(L402="",0.08,L402),0))</f>
        <v/>
      </c>
      <c r="N402" s="11" t="str">
        <f aca="false">IF(A402="","",K402+M402)</f>
        <v/>
      </c>
      <c r="O402" s="11" t="str">
        <f aca="false">IF(A402="","",SUMIFS(ThuTien!$D$2:$D$2000,ThuTien!$B$2:$B$2000,A402))</f>
        <v/>
      </c>
      <c r="P402" s="11" t="str">
        <f aca="false">IF(A402="","",N402-O402)</f>
        <v/>
      </c>
      <c r="Q402" s="9"/>
      <c r="R402" s="10" t="str">
        <f aca="true">IF(A402="","",IF(AND(Q402&lt;&gt;"",P402&gt;0,TODAY()&gt;Q402),TODAY()-Q402,0))</f>
        <v/>
      </c>
      <c r="S402" s="10" t="str">
        <f aca="false">IF(A402="","",IF(N402=0,"Chưa có tiền hàng",IF(P402&lt;0,"Thu thừa",IF(P402=0,"Đã thu đủ",IF(O402&gt;0,"Thu một phần","Chưa thu")))))</f>
        <v/>
      </c>
      <c r="T402" s="10" t="str">
        <f aca="false">IF(A402="","",IF(AND(F402="Đã giao",H402&lt;&gt;"Đã xuất"),"Đã giao - CHƯA XUẤT HĐ",IF(AND(H402="Đã xuất",F402="Chưa giao"),"Đã xuất HĐ - chưa giao",IF(F402="","Chưa cập nhật giao hàng",IF(R402&gt;0,"Quá hạn "&amp;R402&amp;" ngày - đòi tiền",IF(P402&gt;0,"Chờ thu tiền",IF(P402&lt;0,"Kiểm tra thu thừa",IF(AND(F402="Đã giao",H402="Đã xuất"),"Hoàn tất","Theo dõi"))))))))</f>
        <v/>
      </c>
      <c r="U402" s="8"/>
    </row>
    <row r="403" customFormat="false" ht="15" hidden="false" customHeight="false" outlineLevel="0" collapsed="false">
      <c r="A403" s="8"/>
      <c r="B403" s="9"/>
      <c r="C403" s="8"/>
      <c r="D403" s="10" t="str">
        <f aca="false">IF(C403="","",IFERROR(VLOOKUP(C403,KhachHang!$A$2:$B$200,2,FALSE())&amp;"",""))</f>
        <v/>
      </c>
      <c r="E403" s="8"/>
      <c r="F403" s="8"/>
      <c r="G403" s="9"/>
      <c r="H403" s="8"/>
      <c r="I403" s="8"/>
      <c r="J403" s="9"/>
      <c r="K403" s="11" t="str">
        <f aca="false">IF(A403="","",SUMIFS(ChiTiet!$I$2:$I$2000,ChiTiet!$A$2:$A$2000,A403))</f>
        <v/>
      </c>
      <c r="L403" s="12"/>
      <c r="M403" s="11" t="str">
        <f aca="false">IF(A403="","",ROUND(K403*IF(L403="",0.08,L403),0))</f>
        <v/>
      </c>
      <c r="N403" s="11" t="str">
        <f aca="false">IF(A403="","",K403+M403)</f>
        <v/>
      </c>
      <c r="O403" s="11" t="str">
        <f aca="false">IF(A403="","",SUMIFS(ThuTien!$D$2:$D$2000,ThuTien!$B$2:$B$2000,A403))</f>
        <v/>
      </c>
      <c r="P403" s="11" t="str">
        <f aca="false">IF(A403="","",N403-O403)</f>
        <v/>
      </c>
      <c r="Q403" s="9"/>
      <c r="R403" s="10" t="str">
        <f aca="true">IF(A403="","",IF(AND(Q403&lt;&gt;"",P403&gt;0,TODAY()&gt;Q403),TODAY()-Q403,0))</f>
        <v/>
      </c>
      <c r="S403" s="10" t="str">
        <f aca="false">IF(A403="","",IF(N403=0,"Chưa có tiền hàng",IF(P403&lt;0,"Thu thừa",IF(P403=0,"Đã thu đủ",IF(O403&gt;0,"Thu một phần","Chưa thu")))))</f>
        <v/>
      </c>
      <c r="T403" s="10" t="str">
        <f aca="false">IF(A403="","",IF(AND(F403="Đã giao",H403&lt;&gt;"Đã xuất"),"Đã giao - CHƯA XUẤT HĐ",IF(AND(H403="Đã xuất",F403="Chưa giao"),"Đã xuất HĐ - chưa giao",IF(F403="","Chưa cập nhật giao hàng",IF(R403&gt;0,"Quá hạn "&amp;R403&amp;" ngày - đòi tiền",IF(P403&gt;0,"Chờ thu tiền",IF(P403&lt;0,"Kiểm tra thu thừa",IF(AND(F403="Đã giao",H403="Đã xuất"),"Hoàn tất","Theo dõi"))))))))</f>
        <v/>
      </c>
      <c r="U403" s="8"/>
    </row>
    <row r="404" customFormat="false" ht="15" hidden="false" customHeight="false" outlineLevel="0" collapsed="false">
      <c r="A404" s="8"/>
      <c r="B404" s="9"/>
      <c r="C404" s="8"/>
      <c r="D404" s="10" t="str">
        <f aca="false">IF(C404="","",IFERROR(VLOOKUP(C404,KhachHang!$A$2:$B$200,2,FALSE())&amp;"",""))</f>
        <v/>
      </c>
      <c r="E404" s="8"/>
      <c r="F404" s="8"/>
      <c r="G404" s="9"/>
      <c r="H404" s="8"/>
      <c r="I404" s="8"/>
      <c r="J404" s="9"/>
      <c r="K404" s="11" t="str">
        <f aca="false">IF(A404="","",SUMIFS(ChiTiet!$I$2:$I$2000,ChiTiet!$A$2:$A$2000,A404))</f>
        <v/>
      </c>
      <c r="L404" s="12"/>
      <c r="M404" s="11" t="str">
        <f aca="false">IF(A404="","",ROUND(K404*IF(L404="",0.08,L404),0))</f>
        <v/>
      </c>
      <c r="N404" s="11" t="str">
        <f aca="false">IF(A404="","",K404+M404)</f>
        <v/>
      </c>
      <c r="O404" s="11" t="str">
        <f aca="false">IF(A404="","",SUMIFS(ThuTien!$D$2:$D$2000,ThuTien!$B$2:$B$2000,A404))</f>
        <v/>
      </c>
      <c r="P404" s="11" t="str">
        <f aca="false">IF(A404="","",N404-O404)</f>
        <v/>
      </c>
      <c r="Q404" s="9"/>
      <c r="R404" s="10" t="str">
        <f aca="true">IF(A404="","",IF(AND(Q404&lt;&gt;"",P404&gt;0,TODAY()&gt;Q404),TODAY()-Q404,0))</f>
        <v/>
      </c>
      <c r="S404" s="10" t="str">
        <f aca="false">IF(A404="","",IF(N404=0,"Chưa có tiền hàng",IF(P404&lt;0,"Thu thừa",IF(P404=0,"Đã thu đủ",IF(O404&gt;0,"Thu một phần","Chưa thu")))))</f>
        <v/>
      </c>
      <c r="T404" s="10" t="str">
        <f aca="false">IF(A404="","",IF(AND(F404="Đã giao",H404&lt;&gt;"Đã xuất"),"Đã giao - CHƯA XUẤT HĐ",IF(AND(H404="Đã xuất",F404="Chưa giao"),"Đã xuất HĐ - chưa giao",IF(F404="","Chưa cập nhật giao hàng",IF(R404&gt;0,"Quá hạn "&amp;R404&amp;" ngày - đòi tiền",IF(P404&gt;0,"Chờ thu tiền",IF(P404&lt;0,"Kiểm tra thu thừa",IF(AND(F404="Đã giao",H404="Đã xuất"),"Hoàn tất","Theo dõi"))))))))</f>
        <v/>
      </c>
      <c r="U404" s="8"/>
    </row>
    <row r="405" customFormat="false" ht="15" hidden="false" customHeight="false" outlineLevel="0" collapsed="false">
      <c r="A405" s="8"/>
      <c r="B405" s="9"/>
      <c r="C405" s="8"/>
      <c r="D405" s="10" t="str">
        <f aca="false">IF(C405="","",IFERROR(VLOOKUP(C405,KhachHang!$A$2:$B$200,2,FALSE())&amp;"",""))</f>
        <v/>
      </c>
      <c r="E405" s="8"/>
      <c r="F405" s="8"/>
      <c r="G405" s="9"/>
      <c r="H405" s="8"/>
      <c r="I405" s="8"/>
      <c r="J405" s="9"/>
      <c r="K405" s="11" t="str">
        <f aca="false">IF(A405="","",SUMIFS(ChiTiet!$I$2:$I$2000,ChiTiet!$A$2:$A$2000,A405))</f>
        <v/>
      </c>
      <c r="L405" s="12"/>
      <c r="M405" s="11" t="str">
        <f aca="false">IF(A405="","",ROUND(K405*IF(L405="",0.08,L405),0))</f>
        <v/>
      </c>
      <c r="N405" s="11" t="str">
        <f aca="false">IF(A405="","",K405+M405)</f>
        <v/>
      </c>
      <c r="O405" s="11" t="str">
        <f aca="false">IF(A405="","",SUMIFS(ThuTien!$D$2:$D$2000,ThuTien!$B$2:$B$2000,A405))</f>
        <v/>
      </c>
      <c r="P405" s="11" t="str">
        <f aca="false">IF(A405="","",N405-O405)</f>
        <v/>
      </c>
      <c r="Q405" s="9"/>
      <c r="R405" s="10" t="str">
        <f aca="true">IF(A405="","",IF(AND(Q405&lt;&gt;"",P405&gt;0,TODAY()&gt;Q405),TODAY()-Q405,0))</f>
        <v/>
      </c>
      <c r="S405" s="10" t="str">
        <f aca="false">IF(A405="","",IF(N405=0,"Chưa có tiền hàng",IF(P405&lt;0,"Thu thừa",IF(P405=0,"Đã thu đủ",IF(O405&gt;0,"Thu một phần","Chưa thu")))))</f>
        <v/>
      </c>
      <c r="T405" s="10" t="str">
        <f aca="false">IF(A405="","",IF(AND(F405="Đã giao",H405&lt;&gt;"Đã xuất"),"Đã giao - CHƯA XUẤT HĐ",IF(AND(H405="Đã xuất",F405="Chưa giao"),"Đã xuất HĐ - chưa giao",IF(F405="","Chưa cập nhật giao hàng",IF(R405&gt;0,"Quá hạn "&amp;R405&amp;" ngày - đòi tiền",IF(P405&gt;0,"Chờ thu tiền",IF(P405&lt;0,"Kiểm tra thu thừa",IF(AND(F405="Đã giao",H405="Đã xuất"),"Hoàn tất","Theo dõi"))))))))</f>
        <v/>
      </c>
      <c r="U405" s="8"/>
    </row>
    <row r="406" customFormat="false" ht="15" hidden="false" customHeight="false" outlineLevel="0" collapsed="false">
      <c r="A406" s="8"/>
      <c r="B406" s="9"/>
      <c r="C406" s="8"/>
      <c r="D406" s="10" t="str">
        <f aca="false">IF(C406="","",IFERROR(VLOOKUP(C406,KhachHang!$A$2:$B$200,2,FALSE())&amp;"",""))</f>
        <v/>
      </c>
      <c r="E406" s="8"/>
      <c r="F406" s="8"/>
      <c r="G406" s="9"/>
      <c r="H406" s="8"/>
      <c r="I406" s="8"/>
      <c r="J406" s="9"/>
      <c r="K406" s="11" t="str">
        <f aca="false">IF(A406="","",SUMIFS(ChiTiet!$I$2:$I$2000,ChiTiet!$A$2:$A$2000,A406))</f>
        <v/>
      </c>
      <c r="L406" s="12"/>
      <c r="M406" s="11" t="str">
        <f aca="false">IF(A406="","",ROUND(K406*IF(L406="",0.08,L406),0))</f>
        <v/>
      </c>
      <c r="N406" s="11" t="str">
        <f aca="false">IF(A406="","",K406+M406)</f>
        <v/>
      </c>
      <c r="O406" s="11" t="str">
        <f aca="false">IF(A406="","",SUMIFS(ThuTien!$D$2:$D$2000,ThuTien!$B$2:$B$2000,A406))</f>
        <v/>
      </c>
      <c r="P406" s="11" t="str">
        <f aca="false">IF(A406="","",N406-O406)</f>
        <v/>
      </c>
      <c r="Q406" s="9"/>
      <c r="R406" s="10" t="str">
        <f aca="true">IF(A406="","",IF(AND(Q406&lt;&gt;"",P406&gt;0,TODAY()&gt;Q406),TODAY()-Q406,0))</f>
        <v/>
      </c>
      <c r="S406" s="10" t="str">
        <f aca="false">IF(A406="","",IF(N406=0,"Chưa có tiền hàng",IF(P406&lt;0,"Thu thừa",IF(P406=0,"Đã thu đủ",IF(O406&gt;0,"Thu một phần","Chưa thu")))))</f>
        <v/>
      </c>
      <c r="T406" s="10" t="str">
        <f aca="false">IF(A406="","",IF(AND(F406="Đã giao",H406&lt;&gt;"Đã xuất"),"Đã giao - CHƯA XUẤT HĐ",IF(AND(H406="Đã xuất",F406="Chưa giao"),"Đã xuất HĐ - chưa giao",IF(F406="","Chưa cập nhật giao hàng",IF(R406&gt;0,"Quá hạn "&amp;R406&amp;" ngày - đòi tiền",IF(P406&gt;0,"Chờ thu tiền",IF(P406&lt;0,"Kiểm tra thu thừa",IF(AND(F406="Đã giao",H406="Đã xuất"),"Hoàn tất","Theo dõi"))))))))</f>
        <v/>
      </c>
      <c r="U406" s="8"/>
    </row>
    <row r="407" customFormat="false" ht="15" hidden="false" customHeight="false" outlineLevel="0" collapsed="false">
      <c r="A407" s="8"/>
      <c r="B407" s="9"/>
      <c r="C407" s="8"/>
      <c r="D407" s="10" t="str">
        <f aca="false">IF(C407="","",IFERROR(VLOOKUP(C407,KhachHang!$A$2:$B$200,2,FALSE())&amp;"",""))</f>
        <v/>
      </c>
      <c r="E407" s="8"/>
      <c r="F407" s="8"/>
      <c r="G407" s="9"/>
      <c r="H407" s="8"/>
      <c r="I407" s="8"/>
      <c r="J407" s="9"/>
      <c r="K407" s="11" t="str">
        <f aca="false">IF(A407="","",SUMIFS(ChiTiet!$I$2:$I$2000,ChiTiet!$A$2:$A$2000,A407))</f>
        <v/>
      </c>
      <c r="L407" s="12"/>
      <c r="M407" s="11" t="str">
        <f aca="false">IF(A407="","",ROUND(K407*IF(L407="",0.08,L407),0))</f>
        <v/>
      </c>
      <c r="N407" s="11" t="str">
        <f aca="false">IF(A407="","",K407+M407)</f>
        <v/>
      </c>
      <c r="O407" s="11" t="str">
        <f aca="false">IF(A407="","",SUMIFS(ThuTien!$D$2:$D$2000,ThuTien!$B$2:$B$2000,A407))</f>
        <v/>
      </c>
      <c r="P407" s="11" t="str">
        <f aca="false">IF(A407="","",N407-O407)</f>
        <v/>
      </c>
      <c r="Q407" s="9"/>
      <c r="R407" s="10" t="str">
        <f aca="true">IF(A407="","",IF(AND(Q407&lt;&gt;"",P407&gt;0,TODAY()&gt;Q407),TODAY()-Q407,0))</f>
        <v/>
      </c>
      <c r="S407" s="10" t="str">
        <f aca="false">IF(A407="","",IF(N407=0,"Chưa có tiền hàng",IF(P407&lt;0,"Thu thừa",IF(P407=0,"Đã thu đủ",IF(O407&gt;0,"Thu một phần","Chưa thu")))))</f>
        <v/>
      </c>
      <c r="T407" s="10" t="str">
        <f aca="false">IF(A407="","",IF(AND(F407="Đã giao",H407&lt;&gt;"Đã xuất"),"Đã giao - CHƯA XUẤT HĐ",IF(AND(H407="Đã xuất",F407="Chưa giao"),"Đã xuất HĐ - chưa giao",IF(F407="","Chưa cập nhật giao hàng",IF(R407&gt;0,"Quá hạn "&amp;R407&amp;" ngày - đòi tiền",IF(P407&gt;0,"Chờ thu tiền",IF(P407&lt;0,"Kiểm tra thu thừa",IF(AND(F407="Đã giao",H407="Đã xuất"),"Hoàn tất","Theo dõi"))))))))</f>
        <v/>
      </c>
      <c r="U407" s="8"/>
    </row>
    <row r="408" customFormat="false" ht="15" hidden="false" customHeight="false" outlineLevel="0" collapsed="false">
      <c r="A408" s="8"/>
      <c r="B408" s="9"/>
      <c r="C408" s="8"/>
      <c r="D408" s="10" t="str">
        <f aca="false">IF(C408="","",IFERROR(VLOOKUP(C408,KhachHang!$A$2:$B$200,2,FALSE())&amp;"",""))</f>
        <v/>
      </c>
      <c r="E408" s="8"/>
      <c r="F408" s="8"/>
      <c r="G408" s="9"/>
      <c r="H408" s="8"/>
      <c r="I408" s="8"/>
      <c r="J408" s="9"/>
      <c r="K408" s="11" t="str">
        <f aca="false">IF(A408="","",SUMIFS(ChiTiet!$I$2:$I$2000,ChiTiet!$A$2:$A$2000,A408))</f>
        <v/>
      </c>
      <c r="L408" s="12"/>
      <c r="M408" s="11" t="str">
        <f aca="false">IF(A408="","",ROUND(K408*IF(L408="",0.08,L408),0))</f>
        <v/>
      </c>
      <c r="N408" s="11" t="str">
        <f aca="false">IF(A408="","",K408+M408)</f>
        <v/>
      </c>
      <c r="O408" s="11" t="str">
        <f aca="false">IF(A408="","",SUMIFS(ThuTien!$D$2:$D$2000,ThuTien!$B$2:$B$2000,A408))</f>
        <v/>
      </c>
      <c r="P408" s="11" t="str">
        <f aca="false">IF(A408="","",N408-O408)</f>
        <v/>
      </c>
      <c r="Q408" s="9"/>
      <c r="R408" s="10" t="str">
        <f aca="true">IF(A408="","",IF(AND(Q408&lt;&gt;"",P408&gt;0,TODAY()&gt;Q408),TODAY()-Q408,0))</f>
        <v/>
      </c>
      <c r="S408" s="10" t="str">
        <f aca="false">IF(A408="","",IF(N408=0,"Chưa có tiền hàng",IF(P408&lt;0,"Thu thừa",IF(P408=0,"Đã thu đủ",IF(O408&gt;0,"Thu một phần","Chưa thu")))))</f>
        <v/>
      </c>
      <c r="T408" s="10" t="str">
        <f aca="false">IF(A408="","",IF(AND(F408="Đã giao",H408&lt;&gt;"Đã xuất"),"Đã giao - CHƯA XUẤT HĐ",IF(AND(H408="Đã xuất",F408="Chưa giao"),"Đã xuất HĐ - chưa giao",IF(F408="","Chưa cập nhật giao hàng",IF(R408&gt;0,"Quá hạn "&amp;R408&amp;" ngày - đòi tiền",IF(P408&gt;0,"Chờ thu tiền",IF(P408&lt;0,"Kiểm tra thu thừa",IF(AND(F408="Đã giao",H408="Đã xuất"),"Hoàn tất","Theo dõi"))))))))</f>
        <v/>
      </c>
      <c r="U408" s="8"/>
    </row>
    <row r="409" customFormat="false" ht="15" hidden="false" customHeight="false" outlineLevel="0" collapsed="false">
      <c r="A409" s="8"/>
      <c r="B409" s="9"/>
      <c r="C409" s="8"/>
      <c r="D409" s="10" t="str">
        <f aca="false">IF(C409="","",IFERROR(VLOOKUP(C409,KhachHang!$A$2:$B$200,2,FALSE())&amp;"",""))</f>
        <v/>
      </c>
      <c r="E409" s="8"/>
      <c r="F409" s="8"/>
      <c r="G409" s="9"/>
      <c r="H409" s="8"/>
      <c r="I409" s="8"/>
      <c r="J409" s="9"/>
      <c r="K409" s="11" t="str">
        <f aca="false">IF(A409="","",SUMIFS(ChiTiet!$I$2:$I$2000,ChiTiet!$A$2:$A$2000,A409))</f>
        <v/>
      </c>
      <c r="L409" s="12"/>
      <c r="M409" s="11" t="str">
        <f aca="false">IF(A409="","",ROUND(K409*IF(L409="",0.08,L409),0))</f>
        <v/>
      </c>
      <c r="N409" s="11" t="str">
        <f aca="false">IF(A409="","",K409+M409)</f>
        <v/>
      </c>
      <c r="O409" s="11" t="str">
        <f aca="false">IF(A409="","",SUMIFS(ThuTien!$D$2:$D$2000,ThuTien!$B$2:$B$2000,A409))</f>
        <v/>
      </c>
      <c r="P409" s="11" t="str">
        <f aca="false">IF(A409="","",N409-O409)</f>
        <v/>
      </c>
      <c r="Q409" s="9"/>
      <c r="R409" s="10" t="str">
        <f aca="true">IF(A409="","",IF(AND(Q409&lt;&gt;"",P409&gt;0,TODAY()&gt;Q409),TODAY()-Q409,0))</f>
        <v/>
      </c>
      <c r="S409" s="10" t="str">
        <f aca="false">IF(A409="","",IF(N409=0,"Chưa có tiền hàng",IF(P409&lt;0,"Thu thừa",IF(P409=0,"Đã thu đủ",IF(O409&gt;0,"Thu một phần","Chưa thu")))))</f>
        <v/>
      </c>
      <c r="T409" s="10" t="str">
        <f aca="false">IF(A409="","",IF(AND(F409="Đã giao",H409&lt;&gt;"Đã xuất"),"Đã giao - CHƯA XUẤT HĐ",IF(AND(H409="Đã xuất",F409="Chưa giao"),"Đã xuất HĐ - chưa giao",IF(F409="","Chưa cập nhật giao hàng",IF(R409&gt;0,"Quá hạn "&amp;R409&amp;" ngày - đòi tiền",IF(P409&gt;0,"Chờ thu tiền",IF(P409&lt;0,"Kiểm tra thu thừa",IF(AND(F409="Đã giao",H409="Đã xuất"),"Hoàn tất","Theo dõi"))))))))</f>
        <v/>
      </c>
      <c r="U409" s="8"/>
    </row>
    <row r="410" customFormat="false" ht="15" hidden="false" customHeight="false" outlineLevel="0" collapsed="false">
      <c r="A410" s="8"/>
      <c r="B410" s="9"/>
      <c r="C410" s="8"/>
      <c r="D410" s="10" t="str">
        <f aca="false">IF(C410="","",IFERROR(VLOOKUP(C410,KhachHang!$A$2:$B$200,2,FALSE())&amp;"",""))</f>
        <v/>
      </c>
      <c r="E410" s="8"/>
      <c r="F410" s="8"/>
      <c r="G410" s="9"/>
      <c r="H410" s="8"/>
      <c r="I410" s="8"/>
      <c r="J410" s="9"/>
      <c r="K410" s="11" t="str">
        <f aca="false">IF(A410="","",SUMIFS(ChiTiet!$I$2:$I$2000,ChiTiet!$A$2:$A$2000,A410))</f>
        <v/>
      </c>
      <c r="L410" s="12"/>
      <c r="M410" s="11" t="str">
        <f aca="false">IF(A410="","",ROUND(K410*IF(L410="",0.08,L410),0))</f>
        <v/>
      </c>
      <c r="N410" s="11" t="str">
        <f aca="false">IF(A410="","",K410+M410)</f>
        <v/>
      </c>
      <c r="O410" s="11" t="str">
        <f aca="false">IF(A410="","",SUMIFS(ThuTien!$D$2:$D$2000,ThuTien!$B$2:$B$2000,A410))</f>
        <v/>
      </c>
      <c r="P410" s="11" t="str">
        <f aca="false">IF(A410="","",N410-O410)</f>
        <v/>
      </c>
      <c r="Q410" s="9"/>
      <c r="R410" s="10" t="str">
        <f aca="true">IF(A410="","",IF(AND(Q410&lt;&gt;"",P410&gt;0,TODAY()&gt;Q410),TODAY()-Q410,0))</f>
        <v/>
      </c>
      <c r="S410" s="10" t="str">
        <f aca="false">IF(A410="","",IF(N410=0,"Chưa có tiền hàng",IF(P410&lt;0,"Thu thừa",IF(P410=0,"Đã thu đủ",IF(O410&gt;0,"Thu một phần","Chưa thu")))))</f>
        <v/>
      </c>
      <c r="T410" s="10" t="str">
        <f aca="false">IF(A410="","",IF(AND(F410="Đã giao",H410&lt;&gt;"Đã xuất"),"Đã giao - CHƯA XUẤT HĐ",IF(AND(H410="Đã xuất",F410="Chưa giao"),"Đã xuất HĐ - chưa giao",IF(F410="","Chưa cập nhật giao hàng",IF(R410&gt;0,"Quá hạn "&amp;R410&amp;" ngày - đòi tiền",IF(P410&gt;0,"Chờ thu tiền",IF(P410&lt;0,"Kiểm tra thu thừa",IF(AND(F410="Đã giao",H410="Đã xuất"),"Hoàn tất","Theo dõi"))))))))</f>
        <v/>
      </c>
      <c r="U410" s="8"/>
    </row>
    <row r="411" customFormat="false" ht="15" hidden="false" customHeight="false" outlineLevel="0" collapsed="false">
      <c r="A411" s="8"/>
      <c r="B411" s="9"/>
      <c r="C411" s="8"/>
      <c r="D411" s="10" t="str">
        <f aca="false">IF(C411="","",IFERROR(VLOOKUP(C411,KhachHang!$A$2:$B$200,2,FALSE())&amp;"",""))</f>
        <v/>
      </c>
      <c r="E411" s="8"/>
      <c r="F411" s="8"/>
      <c r="G411" s="9"/>
      <c r="H411" s="8"/>
      <c r="I411" s="8"/>
      <c r="J411" s="9"/>
      <c r="K411" s="11" t="str">
        <f aca="false">IF(A411="","",SUMIFS(ChiTiet!$I$2:$I$2000,ChiTiet!$A$2:$A$2000,A411))</f>
        <v/>
      </c>
      <c r="L411" s="12"/>
      <c r="M411" s="11" t="str">
        <f aca="false">IF(A411="","",ROUND(K411*IF(L411="",0.08,L411),0))</f>
        <v/>
      </c>
      <c r="N411" s="11" t="str">
        <f aca="false">IF(A411="","",K411+M411)</f>
        <v/>
      </c>
      <c r="O411" s="11" t="str">
        <f aca="false">IF(A411="","",SUMIFS(ThuTien!$D$2:$D$2000,ThuTien!$B$2:$B$2000,A411))</f>
        <v/>
      </c>
      <c r="P411" s="11" t="str">
        <f aca="false">IF(A411="","",N411-O411)</f>
        <v/>
      </c>
      <c r="Q411" s="9"/>
      <c r="R411" s="10" t="str">
        <f aca="true">IF(A411="","",IF(AND(Q411&lt;&gt;"",P411&gt;0,TODAY()&gt;Q411),TODAY()-Q411,0))</f>
        <v/>
      </c>
      <c r="S411" s="10" t="str">
        <f aca="false">IF(A411="","",IF(N411=0,"Chưa có tiền hàng",IF(P411&lt;0,"Thu thừa",IF(P411=0,"Đã thu đủ",IF(O411&gt;0,"Thu một phần","Chưa thu")))))</f>
        <v/>
      </c>
      <c r="T411" s="10" t="str">
        <f aca="false">IF(A411="","",IF(AND(F411="Đã giao",H411&lt;&gt;"Đã xuất"),"Đã giao - CHƯA XUẤT HĐ",IF(AND(H411="Đã xuất",F411="Chưa giao"),"Đã xuất HĐ - chưa giao",IF(F411="","Chưa cập nhật giao hàng",IF(R411&gt;0,"Quá hạn "&amp;R411&amp;" ngày - đòi tiền",IF(P411&gt;0,"Chờ thu tiền",IF(P411&lt;0,"Kiểm tra thu thừa",IF(AND(F411="Đã giao",H411="Đã xuất"),"Hoàn tất","Theo dõi"))))))))</f>
        <v/>
      </c>
      <c r="U411" s="8"/>
    </row>
    <row r="412" customFormat="false" ht="15" hidden="false" customHeight="false" outlineLevel="0" collapsed="false">
      <c r="A412" s="8"/>
      <c r="B412" s="9"/>
      <c r="C412" s="8"/>
      <c r="D412" s="10" t="str">
        <f aca="false">IF(C412="","",IFERROR(VLOOKUP(C412,KhachHang!$A$2:$B$200,2,FALSE())&amp;"",""))</f>
        <v/>
      </c>
      <c r="E412" s="8"/>
      <c r="F412" s="8"/>
      <c r="G412" s="9"/>
      <c r="H412" s="8"/>
      <c r="I412" s="8"/>
      <c r="J412" s="9"/>
      <c r="K412" s="11" t="str">
        <f aca="false">IF(A412="","",SUMIFS(ChiTiet!$I$2:$I$2000,ChiTiet!$A$2:$A$2000,A412))</f>
        <v/>
      </c>
      <c r="L412" s="12"/>
      <c r="M412" s="11" t="str">
        <f aca="false">IF(A412="","",ROUND(K412*IF(L412="",0.08,L412),0))</f>
        <v/>
      </c>
      <c r="N412" s="11" t="str">
        <f aca="false">IF(A412="","",K412+M412)</f>
        <v/>
      </c>
      <c r="O412" s="11" t="str">
        <f aca="false">IF(A412="","",SUMIFS(ThuTien!$D$2:$D$2000,ThuTien!$B$2:$B$2000,A412))</f>
        <v/>
      </c>
      <c r="P412" s="11" t="str">
        <f aca="false">IF(A412="","",N412-O412)</f>
        <v/>
      </c>
      <c r="Q412" s="9"/>
      <c r="R412" s="10" t="str">
        <f aca="true">IF(A412="","",IF(AND(Q412&lt;&gt;"",P412&gt;0,TODAY()&gt;Q412),TODAY()-Q412,0))</f>
        <v/>
      </c>
      <c r="S412" s="10" t="str">
        <f aca="false">IF(A412="","",IF(N412=0,"Chưa có tiền hàng",IF(P412&lt;0,"Thu thừa",IF(P412=0,"Đã thu đủ",IF(O412&gt;0,"Thu một phần","Chưa thu")))))</f>
        <v/>
      </c>
      <c r="T412" s="10" t="str">
        <f aca="false">IF(A412="","",IF(AND(F412="Đã giao",H412&lt;&gt;"Đã xuất"),"Đã giao - CHƯA XUẤT HĐ",IF(AND(H412="Đã xuất",F412="Chưa giao"),"Đã xuất HĐ - chưa giao",IF(F412="","Chưa cập nhật giao hàng",IF(R412&gt;0,"Quá hạn "&amp;R412&amp;" ngày - đòi tiền",IF(P412&gt;0,"Chờ thu tiền",IF(P412&lt;0,"Kiểm tra thu thừa",IF(AND(F412="Đã giao",H412="Đã xuất"),"Hoàn tất","Theo dõi"))))))))</f>
        <v/>
      </c>
      <c r="U412" s="8"/>
    </row>
    <row r="413" customFormat="false" ht="15" hidden="false" customHeight="false" outlineLevel="0" collapsed="false">
      <c r="A413" s="8"/>
      <c r="B413" s="9"/>
      <c r="C413" s="8"/>
      <c r="D413" s="10" t="str">
        <f aca="false">IF(C413="","",IFERROR(VLOOKUP(C413,KhachHang!$A$2:$B$200,2,FALSE())&amp;"",""))</f>
        <v/>
      </c>
      <c r="E413" s="8"/>
      <c r="F413" s="8"/>
      <c r="G413" s="9"/>
      <c r="H413" s="8"/>
      <c r="I413" s="8"/>
      <c r="J413" s="9"/>
      <c r="K413" s="11" t="str">
        <f aca="false">IF(A413="","",SUMIFS(ChiTiet!$I$2:$I$2000,ChiTiet!$A$2:$A$2000,A413))</f>
        <v/>
      </c>
      <c r="L413" s="12"/>
      <c r="M413" s="11" t="str">
        <f aca="false">IF(A413="","",ROUND(K413*IF(L413="",0.08,L413),0))</f>
        <v/>
      </c>
      <c r="N413" s="11" t="str">
        <f aca="false">IF(A413="","",K413+M413)</f>
        <v/>
      </c>
      <c r="O413" s="11" t="str">
        <f aca="false">IF(A413="","",SUMIFS(ThuTien!$D$2:$D$2000,ThuTien!$B$2:$B$2000,A413))</f>
        <v/>
      </c>
      <c r="P413" s="11" t="str">
        <f aca="false">IF(A413="","",N413-O413)</f>
        <v/>
      </c>
      <c r="Q413" s="9"/>
      <c r="R413" s="10" t="str">
        <f aca="true">IF(A413="","",IF(AND(Q413&lt;&gt;"",P413&gt;0,TODAY()&gt;Q413),TODAY()-Q413,0))</f>
        <v/>
      </c>
      <c r="S413" s="10" t="str">
        <f aca="false">IF(A413="","",IF(N413=0,"Chưa có tiền hàng",IF(P413&lt;0,"Thu thừa",IF(P413=0,"Đã thu đủ",IF(O413&gt;0,"Thu một phần","Chưa thu")))))</f>
        <v/>
      </c>
      <c r="T413" s="10" t="str">
        <f aca="false">IF(A413="","",IF(AND(F413="Đã giao",H413&lt;&gt;"Đã xuất"),"Đã giao - CHƯA XUẤT HĐ",IF(AND(H413="Đã xuất",F413="Chưa giao"),"Đã xuất HĐ - chưa giao",IF(F413="","Chưa cập nhật giao hàng",IF(R413&gt;0,"Quá hạn "&amp;R413&amp;" ngày - đòi tiền",IF(P413&gt;0,"Chờ thu tiền",IF(P413&lt;0,"Kiểm tra thu thừa",IF(AND(F413="Đã giao",H413="Đã xuất"),"Hoàn tất","Theo dõi"))))))))</f>
        <v/>
      </c>
      <c r="U413" s="8"/>
    </row>
    <row r="414" customFormat="false" ht="15" hidden="false" customHeight="false" outlineLevel="0" collapsed="false">
      <c r="A414" s="8"/>
      <c r="B414" s="9"/>
      <c r="C414" s="8"/>
      <c r="D414" s="10" t="str">
        <f aca="false">IF(C414="","",IFERROR(VLOOKUP(C414,KhachHang!$A$2:$B$200,2,FALSE())&amp;"",""))</f>
        <v/>
      </c>
      <c r="E414" s="8"/>
      <c r="F414" s="8"/>
      <c r="G414" s="9"/>
      <c r="H414" s="8"/>
      <c r="I414" s="8"/>
      <c r="J414" s="9"/>
      <c r="K414" s="11" t="str">
        <f aca="false">IF(A414="","",SUMIFS(ChiTiet!$I$2:$I$2000,ChiTiet!$A$2:$A$2000,A414))</f>
        <v/>
      </c>
      <c r="L414" s="12"/>
      <c r="M414" s="11" t="str">
        <f aca="false">IF(A414="","",ROUND(K414*IF(L414="",0.08,L414),0))</f>
        <v/>
      </c>
      <c r="N414" s="11" t="str">
        <f aca="false">IF(A414="","",K414+M414)</f>
        <v/>
      </c>
      <c r="O414" s="11" t="str">
        <f aca="false">IF(A414="","",SUMIFS(ThuTien!$D$2:$D$2000,ThuTien!$B$2:$B$2000,A414))</f>
        <v/>
      </c>
      <c r="P414" s="11" t="str">
        <f aca="false">IF(A414="","",N414-O414)</f>
        <v/>
      </c>
      <c r="Q414" s="9"/>
      <c r="R414" s="10" t="str">
        <f aca="true">IF(A414="","",IF(AND(Q414&lt;&gt;"",P414&gt;0,TODAY()&gt;Q414),TODAY()-Q414,0))</f>
        <v/>
      </c>
      <c r="S414" s="10" t="str">
        <f aca="false">IF(A414="","",IF(N414=0,"Chưa có tiền hàng",IF(P414&lt;0,"Thu thừa",IF(P414=0,"Đã thu đủ",IF(O414&gt;0,"Thu một phần","Chưa thu")))))</f>
        <v/>
      </c>
      <c r="T414" s="10" t="str">
        <f aca="false">IF(A414="","",IF(AND(F414="Đã giao",H414&lt;&gt;"Đã xuất"),"Đã giao - CHƯA XUẤT HĐ",IF(AND(H414="Đã xuất",F414="Chưa giao"),"Đã xuất HĐ - chưa giao",IF(F414="","Chưa cập nhật giao hàng",IF(R414&gt;0,"Quá hạn "&amp;R414&amp;" ngày - đòi tiền",IF(P414&gt;0,"Chờ thu tiền",IF(P414&lt;0,"Kiểm tra thu thừa",IF(AND(F414="Đã giao",H414="Đã xuất"),"Hoàn tất","Theo dõi"))))))))</f>
        <v/>
      </c>
      <c r="U414" s="8"/>
    </row>
    <row r="415" customFormat="false" ht="15" hidden="false" customHeight="false" outlineLevel="0" collapsed="false">
      <c r="A415" s="8"/>
      <c r="B415" s="9"/>
      <c r="C415" s="8"/>
      <c r="D415" s="10" t="str">
        <f aca="false">IF(C415="","",IFERROR(VLOOKUP(C415,KhachHang!$A$2:$B$200,2,FALSE())&amp;"",""))</f>
        <v/>
      </c>
      <c r="E415" s="8"/>
      <c r="F415" s="8"/>
      <c r="G415" s="9"/>
      <c r="H415" s="8"/>
      <c r="I415" s="8"/>
      <c r="J415" s="9"/>
      <c r="K415" s="11" t="str">
        <f aca="false">IF(A415="","",SUMIFS(ChiTiet!$I$2:$I$2000,ChiTiet!$A$2:$A$2000,A415))</f>
        <v/>
      </c>
      <c r="L415" s="12"/>
      <c r="M415" s="11" t="str">
        <f aca="false">IF(A415="","",ROUND(K415*IF(L415="",0.08,L415),0))</f>
        <v/>
      </c>
      <c r="N415" s="11" t="str">
        <f aca="false">IF(A415="","",K415+M415)</f>
        <v/>
      </c>
      <c r="O415" s="11" t="str">
        <f aca="false">IF(A415="","",SUMIFS(ThuTien!$D$2:$D$2000,ThuTien!$B$2:$B$2000,A415))</f>
        <v/>
      </c>
      <c r="P415" s="11" t="str">
        <f aca="false">IF(A415="","",N415-O415)</f>
        <v/>
      </c>
      <c r="Q415" s="9"/>
      <c r="R415" s="10" t="str">
        <f aca="true">IF(A415="","",IF(AND(Q415&lt;&gt;"",P415&gt;0,TODAY()&gt;Q415),TODAY()-Q415,0))</f>
        <v/>
      </c>
      <c r="S415" s="10" t="str">
        <f aca="false">IF(A415="","",IF(N415=0,"Chưa có tiền hàng",IF(P415&lt;0,"Thu thừa",IF(P415=0,"Đã thu đủ",IF(O415&gt;0,"Thu một phần","Chưa thu")))))</f>
        <v/>
      </c>
      <c r="T415" s="10" t="str">
        <f aca="false">IF(A415="","",IF(AND(F415="Đã giao",H415&lt;&gt;"Đã xuất"),"Đã giao - CHƯA XUẤT HĐ",IF(AND(H415="Đã xuất",F415="Chưa giao"),"Đã xuất HĐ - chưa giao",IF(F415="","Chưa cập nhật giao hàng",IF(R415&gt;0,"Quá hạn "&amp;R415&amp;" ngày - đòi tiền",IF(P415&gt;0,"Chờ thu tiền",IF(P415&lt;0,"Kiểm tra thu thừa",IF(AND(F415="Đã giao",H415="Đã xuất"),"Hoàn tất","Theo dõi"))))))))</f>
        <v/>
      </c>
      <c r="U415" s="8"/>
    </row>
    <row r="416" customFormat="false" ht="15" hidden="false" customHeight="false" outlineLevel="0" collapsed="false">
      <c r="A416" s="8"/>
      <c r="B416" s="9"/>
      <c r="C416" s="8"/>
      <c r="D416" s="10" t="str">
        <f aca="false">IF(C416="","",IFERROR(VLOOKUP(C416,KhachHang!$A$2:$B$200,2,FALSE())&amp;"",""))</f>
        <v/>
      </c>
      <c r="E416" s="8"/>
      <c r="F416" s="8"/>
      <c r="G416" s="9"/>
      <c r="H416" s="8"/>
      <c r="I416" s="8"/>
      <c r="J416" s="9"/>
      <c r="K416" s="11" t="str">
        <f aca="false">IF(A416="","",SUMIFS(ChiTiet!$I$2:$I$2000,ChiTiet!$A$2:$A$2000,A416))</f>
        <v/>
      </c>
      <c r="L416" s="12"/>
      <c r="M416" s="11" t="str">
        <f aca="false">IF(A416="","",ROUND(K416*IF(L416="",0.08,L416),0))</f>
        <v/>
      </c>
      <c r="N416" s="11" t="str">
        <f aca="false">IF(A416="","",K416+M416)</f>
        <v/>
      </c>
      <c r="O416" s="11" t="str">
        <f aca="false">IF(A416="","",SUMIFS(ThuTien!$D$2:$D$2000,ThuTien!$B$2:$B$2000,A416))</f>
        <v/>
      </c>
      <c r="P416" s="11" t="str">
        <f aca="false">IF(A416="","",N416-O416)</f>
        <v/>
      </c>
      <c r="Q416" s="9"/>
      <c r="R416" s="10" t="str">
        <f aca="true">IF(A416="","",IF(AND(Q416&lt;&gt;"",P416&gt;0,TODAY()&gt;Q416),TODAY()-Q416,0))</f>
        <v/>
      </c>
      <c r="S416" s="10" t="str">
        <f aca="false">IF(A416="","",IF(N416=0,"Chưa có tiền hàng",IF(P416&lt;0,"Thu thừa",IF(P416=0,"Đã thu đủ",IF(O416&gt;0,"Thu một phần","Chưa thu")))))</f>
        <v/>
      </c>
      <c r="T416" s="10" t="str">
        <f aca="false">IF(A416="","",IF(AND(F416="Đã giao",H416&lt;&gt;"Đã xuất"),"Đã giao - CHƯA XUẤT HĐ",IF(AND(H416="Đã xuất",F416="Chưa giao"),"Đã xuất HĐ - chưa giao",IF(F416="","Chưa cập nhật giao hàng",IF(R416&gt;0,"Quá hạn "&amp;R416&amp;" ngày - đòi tiền",IF(P416&gt;0,"Chờ thu tiền",IF(P416&lt;0,"Kiểm tra thu thừa",IF(AND(F416="Đã giao",H416="Đã xuất"),"Hoàn tất","Theo dõi"))))))))</f>
        <v/>
      </c>
      <c r="U416" s="8"/>
    </row>
    <row r="417" customFormat="false" ht="15" hidden="false" customHeight="false" outlineLevel="0" collapsed="false">
      <c r="A417" s="8"/>
      <c r="B417" s="9"/>
      <c r="C417" s="8"/>
      <c r="D417" s="10" t="str">
        <f aca="false">IF(C417="","",IFERROR(VLOOKUP(C417,KhachHang!$A$2:$B$200,2,FALSE())&amp;"",""))</f>
        <v/>
      </c>
      <c r="E417" s="8"/>
      <c r="F417" s="8"/>
      <c r="G417" s="9"/>
      <c r="H417" s="8"/>
      <c r="I417" s="8"/>
      <c r="J417" s="9"/>
      <c r="K417" s="11" t="str">
        <f aca="false">IF(A417="","",SUMIFS(ChiTiet!$I$2:$I$2000,ChiTiet!$A$2:$A$2000,A417))</f>
        <v/>
      </c>
      <c r="L417" s="12"/>
      <c r="M417" s="11" t="str">
        <f aca="false">IF(A417="","",ROUND(K417*IF(L417="",0.08,L417),0))</f>
        <v/>
      </c>
      <c r="N417" s="11" t="str">
        <f aca="false">IF(A417="","",K417+M417)</f>
        <v/>
      </c>
      <c r="O417" s="11" t="str">
        <f aca="false">IF(A417="","",SUMIFS(ThuTien!$D$2:$D$2000,ThuTien!$B$2:$B$2000,A417))</f>
        <v/>
      </c>
      <c r="P417" s="11" t="str">
        <f aca="false">IF(A417="","",N417-O417)</f>
        <v/>
      </c>
      <c r="Q417" s="9"/>
      <c r="R417" s="10" t="str">
        <f aca="true">IF(A417="","",IF(AND(Q417&lt;&gt;"",P417&gt;0,TODAY()&gt;Q417),TODAY()-Q417,0))</f>
        <v/>
      </c>
      <c r="S417" s="10" t="str">
        <f aca="false">IF(A417="","",IF(N417=0,"Chưa có tiền hàng",IF(P417&lt;0,"Thu thừa",IF(P417=0,"Đã thu đủ",IF(O417&gt;0,"Thu một phần","Chưa thu")))))</f>
        <v/>
      </c>
      <c r="T417" s="10" t="str">
        <f aca="false">IF(A417="","",IF(AND(F417="Đã giao",H417&lt;&gt;"Đã xuất"),"Đã giao - CHƯA XUẤT HĐ",IF(AND(H417="Đã xuất",F417="Chưa giao"),"Đã xuất HĐ - chưa giao",IF(F417="","Chưa cập nhật giao hàng",IF(R417&gt;0,"Quá hạn "&amp;R417&amp;" ngày - đòi tiền",IF(P417&gt;0,"Chờ thu tiền",IF(P417&lt;0,"Kiểm tra thu thừa",IF(AND(F417="Đã giao",H417="Đã xuất"),"Hoàn tất","Theo dõi"))))))))</f>
        <v/>
      </c>
      <c r="U417" s="8"/>
    </row>
    <row r="418" customFormat="false" ht="15" hidden="false" customHeight="false" outlineLevel="0" collapsed="false">
      <c r="A418" s="8"/>
      <c r="B418" s="9"/>
      <c r="C418" s="8"/>
      <c r="D418" s="10" t="str">
        <f aca="false">IF(C418="","",IFERROR(VLOOKUP(C418,KhachHang!$A$2:$B$200,2,FALSE())&amp;"",""))</f>
        <v/>
      </c>
      <c r="E418" s="8"/>
      <c r="F418" s="8"/>
      <c r="G418" s="9"/>
      <c r="H418" s="8"/>
      <c r="I418" s="8"/>
      <c r="J418" s="9"/>
      <c r="K418" s="11" t="str">
        <f aca="false">IF(A418="","",SUMIFS(ChiTiet!$I$2:$I$2000,ChiTiet!$A$2:$A$2000,A418))</f>
        <v/>
      </c>
      <c r="L418" s="12"/>
      <c r="M418" s="11" t="str">
        <f aca="false">IF(A418="","",ROUND(K418*IF(L418="",0.08,L418),0))</f>
        <v/>
      </c>
      <c r="N418" s="11" t="str">
        <f aca="false">IF(A418="","",K418+M418)</f>
        <v/>
      </c>
      <c r="O418" s="11" t="str">
        <f aca="false">IF(A418="","",SUMIFS(ThuTien!$D$2:$D$2000,ThuTien!$B$2:$B$2000,A418))</f>
        <v/>
      </c>
      <c r="P418" s="11" t="str">
        <f aca="false">IF(A418="","",N418-O418)</f>
        <v/>
      </c>
      <c r="Q418" s="9"/>
      <c r="R418" s="10" t="str">
        <f aca="true">IF(A418="","",IF(AND(Q418&lt;&gt;"",P418&gt;0,TODAY()&gt;Q418),TODAY()-Q418,0))</f>
        <v/>
      </c>
      <c r="S418" s="10" t="str">
        <f aca="false">IF(A418="","",IF(N418=0,"Chưa có tiền hàng",IF(P418&lt;0,"Thu thừa",IF(P418=0,"Đã thu đủ",IF(O418&gt;0,"Thu một phần","Chưa thu")))))</f>
        <v/>
      </c>
      <c r="T418" s="10" t="str">
        <f aca="false">IF(A418="","",IF(AND(F418="Đã giao",H418&lt;&gt;"Đã xuất"),"Đã giao - CHƯA XUẤT HĐ",IF(AND(H418="Đã xuất",F418="Chưa giao"),"Đã xuất HĐ - chưa giao",IF(F418="","Chưa cập nhật giao hàng",IF(R418&gt;0,"Quá hạn "&amp;R418&amp;" ngày - đòi tiền",IF(P418&gt;0,"Chờ thu tiền",IF(P418&lt;0,"Kiểm tra thu thừa",IF(AND(F418="Đã giao",H418="Đã xuất"),"Hoàn tất","Theo dõi"))))))))</f>
        <v/>
      </c>
      <c r="U418" s="8"/>
    </row>
    <row r="419" customFormat="false" ht="15" hidden="false" customHeight="false" outlineLevel="0" collapsed="false">
      <c r="A419" s="8"/>
      <c r="B419" s="9"/>
      <c r="C419" s="8"/>
      <c r="D419" s="10" t="str">
        <f aca="false">IF(C419="","",IFERROR(VLOOKUP(C419,KhachHang!$A$2:$B$200,2,FALSE())&amp;"",""))</f>
        <v/>
      </c>
      <c r="E419" s="8"/>
      <c r="F419" s="8"/>
      <c r="G419" s="9"/>
      <c r="H419" s="8"/>
      <c r="I419" s="8"/>
      <c r="J419" s="9"/>
      <c r="K419" s="11" t="str">
        <f aca="false">IF(A419="","",SUMIFS(ChiTiet!$I$2:$I$2000,ChiTiet!$A$2:$A$2000,A419))</f>
        <v/>
      </c>
      <c r="L419" s="12"/>
      <c r="M419" s="11" t="str">
        <f aca="false">IF(A419="","",ROUND(K419*IF(L419="",0.08,L419),0))</f>
        <v/>
      </c>
      <c r="N419" s="11" t="str">
        <f aca="false">IF(A419="","",K419+M419)</f>
        <v/>
      </c>
      <c r="O419" s="11" t="str">
        <f aca="false">IF(A419="","",SUMIFS(ThuTien!$D$2:$D$2000,ThuTien!$B$2:$B$2000,A419))</f>
        <v/>
      </c>
      <c r="P419" s="11" t="str">
        <f aca="false">IF(A419="","",N419-O419)</f>
        <v/>
      </c>
      <c r="Q419" s="9"/>
      <c r="R419" s="10" t="str">
        <f aca="true">IF(A419="","",IF(AND(Q419&lt;&gt;"",P419&gt;0,TODAY()&gt;Q419),TODAY()-Q419,0))</f>
        <v/>
      </c>
      <c r="S419" s="10" t="str">
        <f aca="false">IF(A419="","",IF(N419=0,"Chưa có tiền hàng",IF(P419&lt;0,"Thu thừa",IF(P419=0,"Đã thu đủ",IF(O419&gt;0,"Thu một phần","Chưa thu")))))</f>
        <v/>
      </c>
      <c r="T419" s="10" t="str">
        <f aca="false">IF(A419="","",IF(AND(F419="Đã giao",H419&lt;&gt;"Đã xuất"),"Đã giao - CHƯA XUẤT HĐ",IF(AND(H419="Đã xuất",F419="Chưa giao"),"Đã xuất HĐ - chưa giao",IF(F419="","Chưa cập nhật giao hàng",IF(R419&gt;0,"Quá hạn "&amp;R419&amp;" ngày - đòi tiền",IF(P419&gt;0,"Chờ thu tiền",IF(P419&lt;0,"Kiểm tra thu thừa",IF(AND(F419="Đã giao",H419="Đã xuất"),"Hoàn tất","Theo dõi"))))))))</f>
        <v/>
      </c>
      <c r="U419" s="8"/>
    </row>
    <row r="420" customFormat="false" ht="15" hidden="false" customHeight="false" outlineLevel="0" collapsed="false">
      <c r="A420" s="8"/>
      <c r="B420" s="9"/>
      <c r="C420" s="8"/>
      <c r="D420" s="10" t="str">
        <f aca="false">IF(C420="","",IFERROR(VLOOKUP(C420,KhachHang!$A$2:$B$200,2,FALSE())&amp;"",""))</f>
        <v/>
      </c>
      <c r="E420" s="8"/>
      <c r="F420" s="8"/>
      <c r="G420" s="9"/>
      <c r="H420" s="8"/>
      <c r="I420" s="8"/>
      <c r="J420" s="9"/>
      <c r="K420" s="11" t="str">
        <f aca="false">IF(A420="","",SUMIFS(ChiTiet!$I$2:$I$2000,ChiTiet!$A$2:$A$2000,A420))</f>
        <v/>
      </c>
      <c r="L420" s="12"/>
      <c r="M420" s="11" t="str">
        <f aca="false">IF(A420="","",ROUND(K420*IF(L420="",0.08,L420),0))</f>
        <v/>
      </c>
      <c r="N420" s="11" t="str">
        <f aca="false">IF(A420="","",K420+M420)</f>
        <v/>
      </c>
      <c r="O420" s="11" t="str">
        <f aca="false">IF(A420="","",SUMIFS(ThuTien!$D$2:$D$2000,ThuTien!$B$2:$B$2000,A420))</f>
        <v/>
      </c>
      <c r="P420" s="11" t="str">
        <f aca="false">IF(A420="","",N420-O420)</f>
        <v/>
      </c>
      <c r="Q420" s="9"/>
      <c r="R420" s="10" t="str">
        <f aca="true">IF(A420="","",IF(AND(Q420&lt;&gt;"",P420&gt;0,TODAY()&gt;Q420),TODAY()-Q420,0))</f>
        <v/>
      </c>
      <c r="S420" s="10" t="str">
        <f aca="false">IF(A420="","",IF(N420=0,"Chưa có tiền hàng",IF(P420&lt;0,"Thu thừa",IF(P420=0,"Đã thu đủ",IF(O420&gt;0,"Thu một phần","Chưa thu")))))</f>
        <v/>
      </c>
      <c r="T420" s="10" t="str">
        <f aca="false">IF(A420="","",IF(AND(F420="Đã giao",H420&lt;&gt;"Đã xuất"),"Đã giao - CHƯA XUẤT HĐ",IF(AND(H420="Đã xuất",F420="Chưa giao"),"Đã xuất HĐ - chưa giao",IF(F420="","Chưa cập nhật giao hàng",IF(R420&gt;0,"Quá hạn "&amp;R420&amp;" ngày - đòi tiền",IF(P420&gt;0,"Chờ thu tiền",IF(P420&lt;0,"Kiểm tra thu thừa",IF(AND(F420="Đã giao",H420="Đã xuất"),"Hoàn tất","Theo dõi"))))))))</f>
        <v/>
      </c>
      <c r="U420" s="8"/>
    </row>
    <row r="421" customFormat="false" ht="15" hidden="false" customHeight="false" outlineLevel="0" collapsed="false">
      <c r="A421" s="8"/>
      <c r="B421" s="9"/>
      <c r="C421" s="8"/>
      <c r="D421" s="10" t="str">
        <f aca="false">IF(C421="","",IFERROR(VLOOKUP(C421,KhachHang!$A$2:$B$200,2,FALSE())&amp;"",""))</f>
        <v/>
      </c>
      <c r="E421" s="8"/>
      <c r="F421" s="8"/>
      <c r="G421" s="9"/>
      <c r="H421" s="8"/>
      <c r="I421" s="8"/>
      <c r="J421" s="9"/>
      <c r="K421" s="11" t="str">
        <f aca="false">IF(A421="","",SUMIFS(ChiTiet!$I$2:$I$2000,ChiTiet!$A$2:$A$2000,A421))</f>
        <v/>
      </c>
      <c r="L421" s="12"/>
      <c r="M421" s="11" t="str">
        <f aca="false">IF(A421="","",ROUND(K421*IF(L421="",0.08,L421),0))</f>
        <v/>
      </c>
      <c r="N421" s="11" t="str">
        <f aca="false">IF(A421="","",K421+M421)</f>
        <v/>
      </c>
      <c r="O421" s="11" t="str">
        <f aca="false">IF(A421="","",SUMIFS(ThuTien!$D$2:$D$2000,ThuTien!$B$2:$B$2000,A421))</f>
        <v/>
      </c>
      <c r="P421" s="11" t="str">
        <f aca="false">IF(A421="","",N421-O421)</f>
        <v/>
      </c>
      <c r="Q421" s="9"/>
      <c r="R421" s="10" t="str">
        <f aca="true">IF(A421="","",IF(AND(Q421&lt;&gt;"",P421&gt;0,TODAY()&gt;Q421),TODAY()-Q421,0))</f>
        <v/>
      </c>
      <c r="S421" s="10" t="str">
        <f aca="false">IF(A421="","",IF(N421=0,"Chưa có tiền hàng",IF(P421&lt;0,"Thu thừa",IF(P421=0,"Đã thu đủ",IF(O421&gt;0,"Thu một phần","Chưa thu")))))</f>
        <v/>
      </c>
      <c r="T421" s="10" t="str">
        <f aca="false">IF(A421="","",IF(AND(F421="Đã giao",H421&lt;&gt;"Đã xuất"),"Đã giao - CHƯA XUẤT HĐ",IF(AND(H421="Đã xuất",F421="Chưa giao"),"Đã xuất HĐ - chưa giao",IF(F421="","Chưa cập nhật giao hàng",IF(R421&gt;0,"Quá hạn "&amp;R421&amp;" ngày - đòi tiền",IF(P421&gt;0,"Chờ thu tiền",IF(P421&lt;0,"Kiểm tra thu thừa",IF(AND(F421="Đã giao",H421="Đã xuất"),"Hoàn tất","Theo dõi"))))))))</f>
        <v/>
      </c>
      <c r="U421" s="8"/>
    </row>
    <row r="422" customFormat="false" ht="15" hidden="false" customHeight="false" outlineLevel="0" collapsed="false">
      <c r="A422" s="8"/>
      <c r="B422" s="9"/>
      <c r="C422" s="8"/>
      <c r="D422" s="10" t="str">
        <f aca="false">IF(C422="","",IFERROR(VLOOKUP(C422,KhachHang!$A$2:$B$200,2,FALSE())&amp;"",""))</f>
        <v/>
      </c>
      <c r="E422" s="8"/>
      <c r="F422" s="8"/>
      <c r="G422" s="9"/>
      <c r="H422" s="8"/>
      <c r="I422" s="8"/>
      <c r="J422" s="9"/>
      <c r="K422" s="11" t="str">
        <f aca="false">IF(A422="","",SUMIFS(ChiTiet!$I$2:$I$2000,ChiTiet!$A$2:$A$2000,A422))</f>
        <v/>
      </c>
      <c r="L422" s="12"/>
      <c r="M422" s="11" t="str">
        <f aca="false">IF(A422="","",ROUND(K422*IF(L422="",0.08,L422),0))</f>
        <v/>
      </c>
      <c r="N422" s="11" t="str">
        <f aca="false">IF(A422="","",K422+M422)</f>
        <v/>
      </c>
      <c r="O422" s="11" t="str">
        <f aca="false">IF(A422="","",SUMIFS(ThuTien!$D$2:$D$2000,ThuTien!$B$2:$B$2000,A422))</f>
        <v/>
      </c>
      <c r="P422" s="11" t="str">
        <f aca="false">IF(A422="","",N422-O422)</f>
        <v/>
      </c>
      <c r="Q422" s="9"/>
      <c r="R422" s="10" t="str">
        <f aca="true">IF(A422="","",IF(AND(Q422&lt;&gt;"",P422&gt;0,TODAY()&gt;Q422),TODAY()-Q422,0))</f>
        <v/>
      </c>
      <c r="S422" s="10" t="str">
        <f aca="false">IF(A422="","",IF(N422=0,"Chưa có tiền hàng",IF(P422&lt;0,"Thu thừa",IF(P422=0,"Đã thu đủ",IF(O422&gt;0,"Thu một phần","Chưa thu")))))</f>
        <v/>
      </c>
      <c r="T422" s="10" t="str">
        <f aca="false">IF(A422="","",IF(AND(F422="Đã giao",H422&lt;&gt;"Đã xuất"),"Đã giao - CHƯA XUẤT HĐ",IF(AND(H422="Đã xuất",F422="Chưa giao"),"Đã xuất HĐ - chưa giao",IF(F422="","Chưa cập nhật giao hàng",IF(R422&gt;0,"Quá hạn "&amp;R422&amp;" ngày - đòi tiền",IF(P422&gt;0,"Chờ thu tiền",IF(P422&lt;0,"Kiểm tra thu thừa",IF(AND(F422="Đã giao",H422="Đã xuất"),"Hoàn tất","Theo dõi"))))))))</f>
        <v/>
      </c>
      <c r="U422" s="8"/>
    </row>
    <row r="423" customFormat="false" ht="15" hidden="false" customHeight="false" outlineLevel="0" collapsed="false">
      <c r="A423" s="8"/>
      <c r="B423" s="9"/>
      <c r="C423" s="8"/>
      <c r="D423" s="10" t="str">
        <f aca="false">IF(C423="","",IFERROR(VLOOKUP(C423,KhachHang!$A$2:$B$200,2,FALSE())&amp;"",""))</f>
        <v/>
      </c>
      <c r="E423" s="8"/>
      <c r="F423" s="8"/>
      <c r="G423" s="9"/>
      <c r="H423" s="8"/>
      <c r="I423" s="8"/>
      <c r="J423" s="9"/>
      <c r="K423" s="11" t="str">
        <f aca="false">IF(A423="","",SUMIFS(ChiTiet!$I$2:$I$2000,ChiTiet!$A$2:$A$2000,A423))</f>
        <v/>
      </c>
      <c r="L423" s="12"/>
      <c r="M423" s="11" t="str">
        <f aca="false">IF(A423="","",ROUND(K423*IF(L423="",0.08,L423),0))</f>
        <v/>
      </c>
      <c r="N423" s="11" t="str">
        <f aca="false">IF(A423="","",K423+M423)</f>
        <v/>
      </c>
      <c r="O423" s="11" t="str">
        <f aca="false">IF(A423="","",SUMIFS(ThuTien!$D$2:$D$2000,ThuTien!$B$2:$B$2000,A423))</f>
        <v/>
      </c>
      <c r="P423" s="11" t="str">
        <f aca="false">IF(A423="","",N423-O423)</f>
        <v/>
      </c>
      <c r="Q423" s="9"/>
      <c r="R423" s="10" t="str">
        <f aca="true">IF(A423="","",IF(AND(Q423&lt;&gt;"",P423&gt;0,TODAY()&gt;Q423),TODAY()-Q423,0))</f>
        <v/>
      </c>
      <c r="S423" s="10" t="str">
        <f aca="false">IF(A423="","",IF(N423=0,"Chưa có tiền hàng",IF(P423&lt;0,"Thu thừa",IF(P423=0,"Đã thu đủ",IF(O423&gt;0,"Thu một phần","Chưa thu")))))</f>
        <v/>
      </c>
      <c r="T423" s="10" t="str">
        <f aca="false">IF(A423="","",IF(AND(F423="Đã giao",H423&lt;&gt;"Đã xuất"),"Đã giao - CHƯA XUẤT HĐ",IF(AND(H423="Đã xuất",F423="Chưa giao"),"Đã xuất HĐ - chưa giao",IF(F423="","Chưa cập nhật giao hàng",IF(R423&gt;0,"Quá hạn "&amp;R423&amp;" ngày - đòi tiền",IF(P423&gt;0,"Chờ thu tiền",IF(P423&lt;0,"Kiểm tra thu thừa",IF(AND(F423="Đã giao",H423="Đã xuất"),"Hoàn tất","Theo dõi"))))))))</f>
        <v/>
      </c>
      <c r="U423" s="8"/>
    </row>
    <row r="424" customFormat="false" ht="15" hidden="false" customHeight="false" outlineLevel="0" collapsed="false">
      <c r="A424" s="8"/>
      <c r="B424" s="9"/>
      <c r="C424" s="8"/>
      <c r="D424" s="10" t="str">
        <f aca="false">IF(C424="","",IFERROR(VLOOKUP(C424,KhachHang!$A$2:$B$200,2,FALSE())&amp;"",""))</f>
        <v/>
      </c>
      <c r="E424" s="8"/>
      <c r="F424" s="8"/>
      <c r="G424" s="9"/>
      <c r="H424" s="8"/>
      <c r="I424" s="8"/>
      <c r="J424" s="9"/>
      <c r="K424" s="11" t="str">
        <f aca="false">IF(A424="","",SUMIFS(ChiTiet!$I$2:$I$2000,ChiTiet!$A$2:$A$2000,A424))</f>
        <v/>
      </c>
      <c r="L424" s="12"/>
      <c r="M424" s="11" t="str">
        <f aca="false">IF(A424="","",ROUND(K424*IF(L424="",0.08,L424),0))</f>
        <v/>
      </c>
      <c r="N424" s="11" t="str">
        <f aca="false">IF(A424="","",K424+M424)</f>
        <v/>
      </c>
      <c r="O424" s="11" t="str">
        <f aca="false">IF(A424="","",SUMIFS(ThuTien!$D$2:$D$2000,ThuTien!$B$2:$B$2000,A424))</f>
        <v/>
      </c>
      <c r="P424" s="11" t="str">
        <f aca="false">IF(A424="","",N424-O424)</f>
        <v/>
      </c>
      <c r="Q424" s="9"/>
      <c r="R424" s="10" t="str">
        <f aca="true">IF(A424="","",IF(AND(Q424&lt;&gt;"",P424&gt;0,TODAY()&gt;Q424),TODAY()-Q424,0))</f>
        <v/>
      </c>
      <c r="S424" s="10" t="str">
        <f aca="false">IF(A424="","",IF(N424=0,"Chưa có tiền hàng",IF(P424&lt;0,"Thu thừa",IF(P424=0,"Đã thu đủ",IF(O424&gt;0,"Thu một phần","Chưa thu")))))</f>
        <v/>
      </c>
      <c r="T424" s="10" t="str">
        <f aca="false">IF(A424="","",IF(AND(F424="Đã giao",H424&lt;&gt;"Đã xuất"),"Đã giao - CHƯA XUẤT HĐ",IF(AND(H424="Đã xuất",F424="Chưa giao"),"Đã xuất HĐ - chưa giao",IF(F424="","Chưa cập nhật giao hàng",IF(R424&gt;0,"Quá hạn "&amp;R424&amp;" ngày - đòi tiền",IF(P424&gt;0,"Chờ thu tiền",IF(P424&lt;0,"Kiểm tra thu thừa",IF(AND(F424="Đã giao",H424="Đã xuất"),"Hoàn tất","Theo dõi"))))))))</f>
        <v/>
      </c>
      <c r="U424" s="8"/>
    </row>
    <row r="425" customFormat="false" ht="15" hidden="false" customHeight="false" outlineLevel="0" collapsed="false">
      <c r="A425" s="8"/>
      <c r="B425" s="9"/>
      <c r="C425" s="8"/>
      <c r="D425" s="10" t="str">
        <f aca="false">IF(C425="","",IFERROR(VLOOKUP(C425,KhachHang!$A$2:$B$200,2,FALSE())&amp;"",""))</f>
        <v/>
      </c>
      <c r="E425" s="8"/>
      <c r="F425" s="8"/>
      <c r="G425" s="9"/>
      <c r="H425" s="8"/>
      <c r="I425" s="8"/>
      <c r="J425" s="9"/>
      <c r="K425" s="11" t="str">
        <f aca="false">IF(A425="","",SUMIFS(ChiTiet!$I$2:$I$2000,ChiTiet!$A$2:$A$2000,A425))</f>
        <v/>
      </c>
      <c r="L425" s="12"/>
      <c r="M425" s="11" t="str">
        <f aca="false">IF(A425="","",ROUND(K425*IF(L425="",0.08,L425),0))</f>
        <v/>
      </c>
      <c r="N425" s="11" t="str">
        <f aca="false">IF(A425="","",K425+M425)</f>
        <v/>
      </c>
      <c r="O425" s="11" t="str">
        <f aca="false">IF(A425="","",SUMIFS(ThuTien!$D$2:$D$2000,ThuTien!$B$2:$B$2000,A425))</f>
        <v/>
      </c>
      <c r="P425" s="11" t="str">
        <f aca="false">IF(A425="","",N425-O425)</f>
        <v/>
      </c>
      <c r="Q425" s="9"/>
      <c r="R425" s="10" t="str">
        <f aca="true">IF(A425="","",IF(AND(Q425&lt;&gt;"",P425&gt;0,TODAY()&gt;Q425),TODAY()-Q425,0))</f>
        <v/>
      </c>
      <c r="S425" s="10" t="str">
        <f aca="false">IF(A425="","",IF(N425=0,"Chưa có tiền hàng",IF(P425&lt;0,"Thu thừa",IF(P425=0,"Đã thu đủ",IF(O425&gt;0,"Thu một phần","Chưa thu")))))</f>
        <v/>
      </c>
      <c r="T425" s="10" t="str">
        <f aca="false">IF(A425="","",IF(AND(F425="Đã giao",H425&lt;&gt;"Đã xuất"),"Đã giao - CHƯA XUẤT HĐ",IF(AND(H425="Đã xuất",F425="Chưa giao"),"Đã xuất HĐ - chưa giao",IF(F425="","Chưa cập nhật giao hàng",IF(R425&gt;0,"Quá hạn "&amp;R425&amp;" ngày - đòi tiền",IF(P425&gt;0,"Chờ thu tiền",IF(P425&lt;0,"Kiểm tra thu thừa",IF(AND(F425="Đã giao",H425="Đã xuất"),"Hoàn tất","Theo dõi"))))))))</f>
        <v/>
      </c>
      <c r="U425" s="8"/>
    </row>
    <row r="426" customFormat="false" ht="15" hidden="false" customHeight="false" outlineLevel="0" collapsed="false">
      <c r="A426" s="8"/>
      <c r="B426" s="9"/>
      <c r="C426" s="8"/>
      <c r="D426" s="10" t="str">
        <f aca="false">IF(C426="","",IFERROR(VLOOKUP(C426,KhachHang!$A$2:$B$200,2,FALSE())&amp;"",""))</f>
        <v/>
      </c>
      <c r="E426" s="8"/>
      <c r="F426" s="8"/>
      <c r="G426" s="9"/>
      <c r="H426" s="8"/>
      <c r="I426" s="8"/>
      <c r="J426" s="9"/>
      <c r="K426" s="11" t="str">
        <f aca="false">IF(A426="","",SUMIFS(ChiTiet!$I$2:$I$2000,ChiTiet!$A$2:$A$2000,A426))</f>
        <v/>
      </c>
      <c r="L426" s="12"/>
      <c r="M426" s="11" t="str">
        <f aca="false">IF(A426="","",ROUND(K426*IF(L426="",0.08,L426),0))</f>
        <v/>
      </c>
      <c r="N426" s="11" t="str">
        <f aca="false">IF(A426="","",K426+M426)</f>
        <v/>
      </c>
      <c r="O426" s="11" t="str">
        <f aca="false">IF(A426="","",SUMIFS(ThuTien!$D$2:$D$2000,ThuTien!$B$2:$B$2000,A426))</f>
        <v/>
      </c>
      <c r="P426" s="11" t="str">
        <f aca="false">IF(A426="","",N426-O426)</f>
        <v/>
      </c>
      <c r="Q426" s="9"/>
      <c r="R426" s="10" t="str">
        <f aca="true">IF(A426="","",IF(AND(Q426&lt;&gt;"",P426&gt;0,TODAY()&gt;Q426),TODAY()-Q426,0))</f>
        <v/>
      </c>
      <c r="S426" s="10" t="str">
        <f aca="false">IF(A426="","",IF(N426=0,"Chưa có tiền hàng",IF(P426&lt;0,"Thu thừa",IF(P426=0,"Đã thu đủ",IF(O426&gt;0,"Thu một phần","Chưa thu")))))</f>
        <v/>
      </c>
      <c r="T426" s="10" t="str">
        <f aca="false">IF(A426="","",IF(AND(F426="Đã giao",H426&lt;&gt;"Đã xuất"),"Đã giao - CHƯA XUẤT HĐ",IF(AND(H426="Đã xuất",F426="Chưa giao"),"Đã xuất HĐ - chưa giao",IF(F426="","Chưa cập nhật giao hàng",IF(R426&gt;0,"Quá hạn "&amp;R426&amp;" ngày - đòi tiền",IF(P426&gt;0,"Chờ thu tiền",IF(P426&lt;0,"Kiểm tra thu thừa",IF(AND(F426="Đã giao",H426="Đã xuất"),"Hoàn tất","Theo dõi"))))))))</f>
        <v/>
      </c>
      <c r="U426" s="8"/>
    </row>
    <row r="427" customFormat="false" ht="15" hidden="false" customHeight="false" outlineLevel="0" collapsed="false">
      <c r="A427" s="8"/>
      <c r="B427" s="9"/>
      <c r="C427" s="8"/>
      <c r="D427" s="10" t="str">
        <f aca="false">IF(C427="","",IFERROR(VLOOKUP(C427,KhachHang!$A$2:$B$200,2,FALSE())&amp;"",""))</f>
        <v/>
      </c>
      <c r="E427" s="8"/>
      <c r="F427" s="8"/>
      <c r="G427" s="9"/>
      <c r="H427" s="8"/>
      <c r="I427" s="8"/>
      <c r="J427" s="9"/>
      <c r="K427" s="11" t="str">
        <f aca="false">IF(A427="","",SUMIFS(ChiTiet!$I$2:$I$2000,ChiTiet!$A$2:$A$2000,A427))</f>
        <v/>
      </c>
      <c r="L427" s="12"/>
      <c r="M427" s="11" t="str">
        <f aca="false">IF(A427="","",ROUND(K427*IF(L427="",0.08,L427),0))</f>
        <v/>
      </c>
      <c r="N427" s="11" t="str">
        <f aca="false">IF(A427="","",K427+M427)</f>
        <v/>
      </c>
      <c r="O427" s="11" t="str">
        <f aca="false">IF(A427="","",SUMIFS(ThuTien!$D$2:$D$2000,ThuTien!$B$2:$B$2000,A427))</f>
        <v/>
      </c>
      <c r="P427" s="11" t="str">
        <f aca="false">IF(A427="","",N427-O427)</f>
        <v/>
      </c>
      <c r="Q427" s="9"/>
      <c r="R427" s="10" t="str">
        <f aca="true">IF(A427="","",IF(AND(Q427&lt;&gt;"",P427&gt;0,TODAY()&gt;Q427),TODAY()-Q427,0))</f>
        <v/>
      </c>
      <c r="S427" s="10" t="str">
        <f aca="false">IF(A427="","",IF(N427=0,"Chưa có tiền hàng",IF(P427&lt;0,"Thu thừa",IF(P427=0,"Đã thu đủ",IF(O427&gt;0,"Thu một phần","Chưa thu")))))</f>
        <v/>
      </c>
      <c r="T427" s="10" t="str">
        <f aca="false">IF(A427="","",IF(AND(F427="Đã giao",H427&lt;&gt;"Đã xuất"),"Đã giao - CHƯA XUẤT HĐ",IF(AND(H427="Đã xuất",F427="Chưa giao"),"Đã xuất HĐ - chưa giao",IF(F427="","Chưa cập nhật giao hàng",IF(R427&gt;0,"Quá hạn "&amp;R427&amp;" ngày - đòi tiền",IF(P427&gt;0,"Chờ thu tiền",IF(P427&lt;0,"Kiểm tra thu thừa",IF(AND(F427="Đã giao",H427="Đã xuất"),"Hoàn tất","Theo dõi"))))))))</f>
        <v/>
      </c>
      <c r="U427" s="8"/>
    </row>
    <row r="428" customFormat="false" ht="15" hidden="false" customHeight="false" outlineLevel="0" collapsed="false">
      <c r="A428" s="8"/>
      <c r="B428" s="9"/>
      <c r="C428" s="8"/>
      <c r="D428" s="10" t="str">
        <f aca="false">IF(C428="","",IFERROR(VLOOKUP(C428,KhachHang!$A$2:$B$200,2,FALSE())&amp;"",""))</f>
        <v/>
      </c>
      <c r="E428" s="8"/>
      <c r="F428" s="8"/>
      <c r="G428" s="9"/>
      <c r="H428" s="8"/>
      <c r="I428" s="8"/>
      <c r="J428" s="9"/>
      <c r="K428" s="11" t="str">
        <f aca="false">IF(A428="","",SUMIFS(ChiTiet!$I$2:$I$2000,ChiTiet!$A$2:$A$2000,A428))</f>
        <v/>
      </c>
      <c r="L428" s="12"/>
      <c r="M428" s="11" t="str">
        <f aca="false">IF(A428="","",ROUND(K428*IF(L428="",0.08,L428),0))</f>
        <v/>
      </c>
      <c r="N428" s="11" t="str">
        <f aca="false">IF(A428="","",K428+M428)</f>
        <v/>
      </c>
      <c r="O428" s="11" t="str">
        <f aca="false">IF(A428="","",SUMIFS(ThuTien!$D$2:$D$2000,ThuTien!$B$2:$B$2000,A428))</f>
        <v/>
      </c>
      <c r="P428" s="11" t="str">
        <f aca="false">IF(A428="","",N428-O428)</f>
        <v/>
      </c>
      <c r="Q428" s="9"/>
      <c r="R428" s="10" t="str">
        <f aca="true">IF(A428="","",IF(AND(Q428&lt;&gt;"",P428&gt;0,TODAY()&gt;Q428),TODAY()-Q428,0))</f>
        <v/>
      </c>
      <c r="S428" s="10" t="str">
        <f aca="false">IF(A428="","",IF(N428=0,"Chưa có tiền hàng",IF(P428&lt;0,"Thu thừa",IF(P428=0,"Đã thu đủ",IF(O428&gt;0,"Thu một phần","Chưa thu")))))</f>
        <v/>
      </c>
      <c r="T428" s="10" t="str">
        <f aca="false">IF(A428="","",IF(AND(F428="Đã giao",H428&lt;&gt;"Đã xuất"),"Đã giao - CHƯA XUẤT HĐ",IF(AND(H428="Đã xuất",F428="Chưa giao"),"Đã xuất HĐ - chưa giao",IF(F428="","Chưa cập nhật giao hàng",IF(R428&gt;0,"Quá hạn "&amp;R428&amp;" ngày - đòi tiền",IF(P428&gt;0,"Chờ thu tiền",IF(P428&lt;0,"Kiểm tra thu thừa",IF(AND(F428="Đã giao",H428="Đã xuất"),"Hoàn tất","Theo dõi"))))))))</f>
        <v/>
      </c>
      <c r="U428" s="8"/>
    </row>
    <row r="429" customFormat="false" ht="15" hidden="false" customHeight="false" outlineLevel="0" collapsed="false">
      <c r="A429" s="8"/>
      <c r="B429" s="9"/>
      <c r="C429" s="8"/>
      <c r="D429" s="10" t="str">
        <f aca="false">IF(C429="","",IFERROR(VLOOKUP(C429,KhachHang!$A$2:$B$200,2,FALSE())&amp;"",""))</f>
        <v/>
      </c>
      <c r="E429" s="8"/>
      <c r="F429" s="8"/>
      <c r="G429" s="9"/>
      <c r="H429" s="8"/>
      <c r="I429" s="8"/>
      <c r="J429" s="9"/>
      <c r="K429" s="11" t="str">
        <f aca="false">IF(A429="","",SUMIFS(ChiTiet!$I$2:$I$2000,ChiTiet!$A$2:$A$2000,A429))</f>
        <v/>
      </c>
      <c r="L429" s="12"/>
      <c r="M429" s="11" t="str">
        <f aca="false">IF(A429="","",ROUND(K429*IF(L429="",0.08,L429),0))</f>
        <v/>
      </c>
      <c r="N429" s="11" t="str">
        <f aca="false">IF(A429="","",K429+M429)</f>
        <v/>
      </c>
      <c r="O429" s="11" t="str">
        <f aca="false">IF(A429="","",SUMIFS(ThuTien!$D$2:$D$2000,ThuTien!$B$2:$B$2000,A429))</f>
        <v/>
      </c>
      <c r="P429" s="11" t="str">
        <f aca="false">IF(A429="","",N429-O429)</f>
        <v/>
      </c>
      <c r="Q429" s="9"/>
      <c r="R429" s="10" t="str">
        <f aca="true">IF(A429="","",IF(AND(Q429&lt;&gt;"",P429&gt;0,TODAY()&gt;Q429),TODAY()-Q429,0))</f>
        <v/>
      </c>
      <c r="S429" s="10" t="str">
        <f aca="false">IF(A429="","",IF(N429=0,"Chưa có tiền hàng",IF(P429&lt;0,"Thu thừa",IF(P429=0,"Đã thu đủ",IF(O429&gt;0,"Thu một phần","Chưa thu")))))</f>
        <v/>
      </c>
      <c r="T429" s="10" t="str">
        <f aca="false">IF(A429="","",IF(AND(F429="Đã giao",H429&lt;&gt;"Đã xuất"),"Đã giao - CHƯA XUẤT HĐ",IF(AND(H429="Đã xuất",F429="Chưa giao"),"Đã xuất HĐ - chưa giao",IF(F429="","Chưa cập nhật giao hàng",IF(R429&gt;0,"Quá hạn "&amp;R429&amp;" ngày - đòi tiền",IF(P429&gt;0,"Chờ thu tiền",IF(P429&lt;0,"Kiểm tra thu thừa",IF(AND(F429="Đã giao",H429="Đã xuất"),"Hoàn tất","Theo dõi"))))))))</f>
        <v/>
      </c>
      <c r="U429" s="8"/>
    </row>
    <row r="430" customFormat="false" ht="15" hidden="false" customHeight="false" outlineLevel="0" collapsed="false">
      <c r="A430" s="8"/>
      <c r="B430" s="9"/>
      <c r="C430" s="8"/>
      <c r="D430" s="10" t="str">
        <f aca="false">IF(C430="","",IFERROR(VLOOKUP(C430,KhachHang!$A$2:$B$200,2,FALSE())&amp;"",""))</f>
        <v/>
      </c>
      <c r="E430" s="8"/>
      <c r="F430" s="8"/>
      <c r="G430" s="9"/>
      <c r="H430" s="8"/>
      <c r="I430" s="8"/>
      <c r="J430" s="9"/>
      <c r="K430" s="11" t="str">
        <f aca="false">IF(A430="","",SUMIFS(ChiTiet!$I$2:$I$2000,ChiTiet!$A$2:$A$2000,A430))</f>
        <v/>
      </c>
      <c r="L430" s="12"/>
      <c r="M430" s="11" t="str">
        <f aca="false">IF(A430="","",ROUND(K430*IF(L430="",0.08,L430),0))</f>
        <v/>
      </c>
      <c r="N430" s="11" t="str">
        <f aca="false">IF(A430="","",K430+M430)</f>
        <v/>
      </c>
      <c r="O430" s="11" t="str">
        <f aca="false">IF(A430="","",SUMIFS(ThuTien!$D$2:$D$2000,ThuTien!$B$2:$B$2000,A430))</f>
        <v/>
      </c>
      <c r="P430" s="11" t="str">
        <f aca="false">IF(A430="","",N430-O430)</f>
        <v/>
      </c>
      <c r="Q430" s="9"/>
      <c r="R430" s="10" t="str">
        <f aca="true">IF(A430="","",IF(AND(Q430&lt;&gt;"",P430&gt;0,TODAY()&gt;Q430),TODAY()-Q430,0))</f>
        <v/>
      </c>
      <c r="S430" s="10" t="str">
        <f aca="false">IF(A430="","",IF(N430=0,"Chưa có tiền hàng",IF(P430&lt;0,"Thu thừa",IF(P430=0,"Đã thu đủ",IF(O430&gt;0,"Thu một phần","Chưa thu")))))</f>
        <v/>
      </c>
      <c r="T430" s="10" t="str">
        <f aca="false">IF(A430="","",IF(AND(F430="Đã giao",H430&lt;&gt;"Đã xuất"),"Đã giao - CHƯA XUẤT HĐ",IF(AND(H430="Đã xuất",F430="Chưa giao"),"Đã xuất HĐ - chưa giao",IF(F430="","Chưa cập nhật giao hàng",IF(R430&gt;0,"Quá hạn "&amp;R430&amp;" ngày - đòi tiền",IF(P430&gt;0,"Chờ thu tiền",IF(P430&lt;0,"Kiểm tra thu thừa",IF(AND(F430="Đã giao",H430="Đã xuất"),"Hoàn tất","Theo dõi"))))))))</f>
        <v/>
      </c>
      <c r="U430" s="8"/>
    </row>
    <row r="431" customFormat="false" ht="15" hidden="false" customHeight="false" outlineLevel="0" collapsed="false">
      <c r="A431" s="8"/>
      <c r="B431" s="9"/>
      <c r="C431" s="8"/>
      <c r="D431" s="10" t="str">
        <f aca="false">IF(C431="","",IFERROR(VLOOKUP(C431,KhachHang!$A$2:$B$200,2,FALSE())&amp;"",""))</f>
        <v/>
      </c>
      <c r="E431" s="8"/>
      <c r="F431" s="8"/>
      <c r="G431" s="9"/>
      <c r="H431" s="8"/>
      <c r="I431" s="8"/>
      <c r="J431" s="9"/>
      <c r="K431" s="11" t="str">
        <f aca="false">IF(A431="","",SUMIFS(ChiTiet!$I$2:$I$2000,ChiTiet!$A$2:$A$2000,A431))</f>
        <v/>
      </c>
      <c r="L431" s="12"/>
      <c r="M431" s="11" t="str">
        <f aca="false">IF(A431="","",ROUND(K431*IF(L431="",0.08,L431),0))</f>
        <v/>
      </c>
      <c r="N431" s="11" t="str">
        <f aca="false">IF(A431="","",K431+M431)</f>
        <v/>
      </c>
      <c r="O431" s="11" t="str">
        <f aca="false">IF(A431="","",SUMIFS(ThuTien!$D$2:$D$2000,ThuTien!$B$2:$B$2000,A431))</f>
        <v/>
      </c>
      <c r="P431" s="11" t="str">
        <f aca="false">IF(A431="","",N431-O431)</f>
        <v/>
      </c>
      <c r="Q431" s="9"/>
      <c r="R431" s="10" t="str">
        <f aca="true">IF(A431="","",IF(AND(Q431&lt;&gt;"",P431&gt;0,TODAY()&gt;Q431),TODAY()-Q431,0))</f>
        <v/>
      </c>
      <c r="S431" s="10" t="str">
        <f aca="false">IF(A431="","",IF(N431=0,"Chưa có tiền hàng",IF(P431&lt;0,"Thu thừa",IF(P431=0,"Đã thu đủ",IF(O431&gt;0,"Thu một phần","Chưa thu")))))</f>
        <v/>
      </c>
      <c r="T431" s="10" t="str">
        <f aca="false">IF(A431="","",IF(AND(F431="Đã giao",H431&lt;&gt;"Đã xuất"),"Đã giao - CHƯA XUẤT HĐ",IF(AND(H431="Đã xuất",F431="Chưa giao"),"Đã xuất HĐ - chưa giao",IF(F431="","Chưa cập nhật giao hàng",IF(R431&gt;0,"Quá hạn "&amp;R431&amp;" ngày - đòi tiền",IF(P431&gt;0,"Chờ thu tiền",IF(P431&lt;0,"Kiểm tra thu thừa",IF(AND(F431="Đã giao",H431="Đã xuất"),"Hoàn tất","Theo dõi"))))))))</f>
        <v/>
      </c>
      <c r="U431" s="8"/>
    </row>
    <row r="432" customFormat="false" ht="15" hidden="false" customHeight="false" outlineLevel="0" collapsed="false">
      <c r="A432" s="8"/>
      <c r="B432" s="9"/>
      <c r="C432" s="8"/>
      <c r="D432" s="10" t="str">
        <f aca="false">IF(C432="","",IFERROR(VLOOKUP(C432,KhachHang!$A$2:$B$200,2,FALSE())&amp;"",""))</f>
        <v/>
      </c>
      <c r="E432" s="8"/>
      <c r="F432" s="8"/>
      <c r="G432" s="9"/>
      <c r="H432" s="8"/>
      <c r="I432" s="8"/>
      <c r="J432" s="9"/>
      <c r="K432" s="11" t="str">
        <f aca="false">IF(A432="","",SUMIFS(ChiTiet!$I$2:$I$2000,ChiTiet!$A$2:$A$2000,A432))</f>
        <v/>
      </c>
      <c r="L432" s="12"/>
      <c r="M432" s="11" t="str">
        <f aca="false">IF(A432="","",ROUND(K432*IF(L432="",0.08,L432),0))</f>
        <v/>
      </c>
      <c r="N432" s="11" t="str">
        <f aca="false">IF(A432="","",K432+M432)</f>
        <v/>
      </c>
      <c r="O432" s="11" t="str">
        <f aca="false">IF(A432="","",SUMIFS(ThuTien!$D$2:$D$2000,ThuTien!$B$2:$B$2000,A432))</f>
        <v/>
      </c>
      <c r="P432" s="11" t="str">
        <f aca="false">IF(A432="","",N432-O432)</f>
        <v/>
      </c>
      <c r="Q432" s="9"/>
      <c r="R432" s="10" t="str">
        <f aca="true">IF(A432="","",IF(AND(Q432&lt;&gt;"",P432&gt;0,TODAY()&gt;Q432),TODAY()-Q432,0))</f>
        <v/>
      </c>
      <c r="S432" s="10" t="str">
        <f aca="false">IF(A432="","",IF(N432=0,"Chưa có tiền hàng",IF(P432&lt;0,"Thu thừa",IF(P432=0,"Đã thu đủ",IF(O432&gt;0,"Thu một phần","Chưa thu")))))</f>
        <v/>
      </c>
      <c r="T432" s="10" t="str">
        <f aca="false">IF(A432="","",IF(AND(F432="Đã giao",H432&lt;&gt;"Đã xuất"),"Đã giao - CHƯA XUẤT HĐ",IF(AND(H432="Đã xuất",F432="Chưa giao"),"Đã xuất HĐ - chưa giao",IF(F432="","Chưa cập nhật giao hàng",IF(R432&gt;0,"Quá hạn "&amp;R432&amp;" ngày - đòi tiền",IF(P432&gt;0,"Chờ thu tiền",IF(P432&lt;0,"Kiểm tra thu thừa",IF(AND(F432="Đã giao",H432="Đã xuất"),"Hoàn tất","Theo dõi"))))))))</f>
        <v/>
      </c>
      <c r="U432" s="8"/>
    </row>
    <row r="433" customFormat="false" ht="15" hidden="false" customHeight="false" outlineLevel="0" collapsed="false">
      <c r="A433" s="8"/>
      <c r="B433" s="9"/>
      <c r="C433" s="8"/>
      <c r="D433" s="10" t="str">
        <f aca="false">IF(C433="","",IFERROR(VLOOKUP(C433,KhachHang!$A$2:$B$200,2,FALSE())&amp;"",""))</f>
        <v/>
      </c>
      <c r="E433" s="8"/>
      <c r="F433" s="8"/>
      <c r="G433" s="9"/>
      <c r="H433" s="8"/>
      <c r="I433" s="8"/>
      <c r="J433" s="9"/>
      <c r="K433" s="11" t="str">
        <f aca="false">IF(A433="","",SUMIFS(ChiTiet!$I$2:$I$2000,ChiTiet!$A$2:$A$2000,A433))</f>
        <v/>
      </c>
      <c r="L433" s="12"/>
      <c r="M433" s="11" t="str">
        <f aca="false">IF(A433="","",ROUND(K433*IF(L433="",0.08,L433),0))</f>
        <v/>
      </c>
      <c r="N433" s="11" t="str">
        <f aca="false">IF(A433="","",K433+M433)</f>
        <v/>
      </c>
      <c r="O433" s="11" t="str">
        <f aca="false">IF(A433="","",SUMIFS(ThuTien!$D$2:$D$2000,ThuTien!$B$2:$B$2000,A433))</f>
        <v/>
      </c>
      <c r="P433" s="11" t="str">
        <f aca="false">IF(A433="","",N433-O433)</f>
        <v/>
      </c>
      <c r="Q433" s="9"/>
      <c r="R433" s="10" t="str">
        <f aca="true">IF(A433="","",IF(AND(Q433&lt;&gt;"",P433&gt;0,TODAY()&gt;Q433),TODAY()-Q433,0))</f>
        <v/>
      </c>
      <c r="S433" s="10" t="str">
        <f aca="false">IF(A433="","",IF(N433=0,"Chưa có tiền hàng",IF(P433&lt;0,"Thu thừa",IF(P433=0,"Đã thu đủ",IF(O433&gt;0,"Thu một phần","Chưa thu")))))</f>
        <v/>
      </c>
      <c r="T433" s="10" t="str">
        <f aca="false">IF(A433="","",IF(AND(F433="Đã giao",H433&lt;&gt;"Đã xuất"),"Đã giao - CHƯA XUẤT HĐ",IF(AND(H433="Đã xuất",F433="Chưa giao"),"Đã xuất HĐ - chưa giao",IF(F433="","Chưa cập nhật giao hàng",IF(R433&gt;0,"Quá hạn "&amp;R433&amp;" ngày - đòi tiền",IF(P433&gt;0,"Chờ thu tiền",IF(P433&lt;0,"Kiểm tra thu thừa",IF(AND(F433="Đã giao",H433="Đã xuất"),"Hoàn tất","Theo dõi"))))))))</f>
        <v/>
      </c>
      <c r="U433" s="8"/>
    </row>
    <row r="434" customFormat="false" ht="15" hidden="false" customHeight="false" outlineLevel="0" collapsed="false">
      <c r="A434" s="8"/>
      <c r="B434" s="9"/>
      <c r="C434" s="8"/>
      <c r="D434" s="10" t="str">
        <f aca="false">IF(C434="","",IFERROR(VLOOKUP(C434,KhachHang!$A$2:$B$200,2,FALSE())&amp;"",""))</f>
        <v/>
      </c>
      <c r="E434" s="8"/>
      <c r="F434" s="8"/>
      <c r="G434" s="9"/>
      <c r="H434" s="8"/>
      <c r="I434" s="8"/>
      <c r="J434" s="9"/>
      <c r="K434" s="11" t="str">
        <f aca="false">IF(A434="","",SUMIFS(ChiTiet!$I$2:$I$2000,ChiTiet!$A$2:$A$2000,A434))</f>
        <v/>
      </c>
      <c r="L434" s="12"/>
      <c r="M434" s="11" t="str">
        <f aca="false">IF(A434="","",ROUND(K434*IF(L434="",0.08,L434),0))</f>
        <v/>
      </c>
      <c r="N434" s="11" t="str">
        <f aca="false">IF(A434="","",K434+M434)</f>
        <v/>
      </c>
      <c r="O434" s="11" t="str">
        <f aca="false">IF(A434="","",SUMIFS(ThuTien!$D$2:$D$2000,ThuTien!$B$2:$B$2000,A434))</f>
        <v/>
      </c>
      <c r="P434" s="11" t="str">
        <f aca="false">IF(A434="","",N434-O434)</f>
        <v/>
      </c>
      <c r="Q434" s="9"/>
      <c r="R434" s="10" t="str">
        <f aca="true">IF(A434="","",IF(AND(Q434&lt;&gt;"",P434&gt;0,TODAY()&gt;Q434),TODAY()-Q434,0))</f>
        <v/>
      </c>
      <c r="S434" s="10" t="str">
        <f aca="false">IF(A434="","",IF(N434=0,"Chưa có tiền hàng",IF(P434&lt;0,"Thu thừa",IF(P434=0,"Đã thu đủ",IF(O434&gt;0,"Thu một phần","Chưa thu")))))</f>
        <v/>
      </c>
      <c r="T434" s="10" t="str">
        <f aca="false">IF(A434="","",IF(AND(F434="Đã giao",H434&lt;&gt;"Đã xuất"),"Đã giao - CHƯA XUẤT HĐ",IF(AND(H434="Đã xuất",F434="Chưa giao"),"Đã xuất HĐ - chưa giao",IF(F434="","Chưa cập nhật giao hàng",IF(R434&gt;0,"Quá hạn "&amp;R434&amp;" ngày - đòi tiền",IF(P434&gt;0,"Chờ thu tiền",IF(P434&lt;0,"Kiểm tra thu thừa",IF(AND(F434="Đã giao",H434="Đã xuất"),"Hoàn tất","Theo dõi"))))))))</f>
        <v/>
      </c>
      <c r="U434" s="8"/>
    </row>
    <row r="435" customFormat="false" ht="15" hidden="false" customHeight="false" outlineLevel="0" collapsed="false">
      <c r="A435" s="8"/>
      <c r="B435" s="9"/>
      <c r="C435" s="8"/>
      <c r="D435" s="10" t="str">
        <f aca="false">IF(C435="","",IFERROR(VLOOKUP(C435,KhachHang!$A$2:$B$200,2,FALSE())&amp;"",""))</f>
        <v/>
      </c>
      <c r="E435" s="8"/>
      <c r="F435" s="8"/>
      <c r="G435" s="9"/>
      <c r="H435" s="8"/>
      <c r="I435" s="8"/>
      <c r="J435" s="9"/>
      <c r="K435" s="11" t="str">
        <f aca="false">IF(A435="","",SUMIFS(ChiTiet!$I$2:$I$2000,ChiTiet!$A$2:$A$2000,A435))</f>
        <v/>
      </c>
      <c r="L435" s="12"/>
      <c r="M435" s="11" t="str">
        <f aca="false">IF(A435="","",ROUND(K435*IF(L435="",0.08,L435),0))</f>
        <v/>
      </c>
      <c r="N435" s="11" t="str">
        <f aca="false">IF(A435="","",K435+M435)</f>
        <v/>
      </c>
      <c r="O435" s="11" t="str">
        <f aca="false">IF(A435="","",SUMIFS(ThuTien!$D$2:$D$2000,ThuTien!$B$2:$B$2000,A435))</f>
        <v/>
      </c>
      <c r="P435" s="11" t="str">
        <f aca="false">IF(A435="","",N435-O435)</f>
        <v/>
      </c>
      <c r="Q435" s="9"/>
      <c r="R435" s="10" t="str">
        <f aca="true">IF(A435="","",IF(AND(Q435&lt;&gt;"",P435&gt;0,TODAY()&gt;Q435),TODAY()-Q435,0))</f>
        <v/>
      </c>
      <c r="S435" s="10" t="str">
        <f aca="false">IF(A435="","",IF(N435=0,"Chưa có tiền hàng",IF(P435&lt;0,"Thu thừa",IF(P435=0,"Đã thu đủ",IF(O435&gt;0,"Thu một phần","Chưa thu")))))</f>
        <v/>
      </c>
      <c r="T435" s="10" t="str">
        <f aca="false">IF(A435="","",IF(AND(F435="Đã giao",H435&lt;&gt;"Đã xuất"),"Đã giao - CHƯA XUẤT HĐ",IF(AND(H435="Đã xuất",F435="Chưa giao"),"Đã xuất HĐ - chưa giao",IF(F435="","Chưa cập nhật giao hàng",IF(R435&gt;0,"Quá hạn "&amp;R435&amp;" ngày - đòi tiền",IF(P435&gt;0,"Chờ thu tiền",IF(P435&lt;0,"Kiểm tra thu thừa",IF(AND(F435="Đã giao",H435="Đã xuất"),"Hoàn tất","Theo dõi"))))))))</f>
        <v/>
      </c>
      <c r="U435" s="8"/>
    </row>
    <row r="436" customFormat="false" ht="15" hidden="false" customHeight="false" outlineLevel="0" collapsed="false">
      <c r="A436" s="8"/>
      <c r="B436" s="9"/>
      <c r="C436" s="8"/>
      <c r="D436" s="10" t="str">
        <f aca="false">IF(C436="","",IFERROR(VLOOKUP(C436,KhachHang!$A$2:$B$200,2,FALSE())&amp;"",""))</f>
        <v/>
      </c>
      <c r="E436" s="8"/>
      <c r="F436" s="8"/>
      <c r="G436" s="9"/>
      <c r="H436" s="8"/>
      <c r="I436" s="8"/>
      <c r="J436" s="9"/>
      <c r="K436" s="11" t="str">
        <f aca="false">IF(A436="","",SUMIFS(ChiTiet!$I$2:$I$2000,ChiTiet!$A$2:$A$2000,A436))</f>
        <v/>
      </c>
      <c r="L436" s="12"/>
      <c r="M436" s="11" t="str">
        <f aca="false">IF(A436="","",ROUND(K436*IF(L436="",0.08,L436),0))</f>
        <v/>
      </c>
      <c r="N436" s="11" t="str">
        <f aca="false">IF(A436="","",K436+M436)</f>
        <v/>
      </c>
      <c r="O436" s="11" t="str">
        <f aca="false">IF(A436="","",SUMIFS(ThuTien!$D$2:$D$2000,ThuTien!$B$2:$B$2000,A436))</f>
        <v/>
      </c>
      <c r="P436" s="11" t="str">
        <f aca="false">IF(A436="","",N436-O436)</f>
        <v/>
      </c>
      <c r="Q436" s="9"/>
      <c r="R436" s="10" t="str">
        <f aca="true">IF(A436="","",IF(AND(Q436&lt;&gt;"",P436&gt;0,TODAY()&gt;Q436),TODAY()-Q436,0))</f>
        <v/>
      </c>
      <c r="S436" s="10" t="str">
        <f aca="false">IF(A436="","",IF(N436=0,"Chưa có tiền hàng",IF(P436&lt;0,"Thu thừa",IF(P436=0,"Đã thu đủ",IF(O436&gt;0,"Thu một phần","Chưa thu")))))</f>
        <v/>
      </c>
      <c r="T436" s="10" t="str">
        <f aca="false">IF(A436="","",IF(AND(F436="Đã giao",H436&lt;&gt;"Đã xuất"),"Đã giao - CHƯA XUẤT HĐ",IF(AND(H436="Đã xuất",F436="Chưa giao"),"Đã xuất HĐ - chưa giao",IF(F436="","Chưa cập nhật giao hàng",IF(R436&gt;0,"Quá hạn "&amp;R436&amp;" ngày - đòi tiền",IF(P436&gt;0,"Chờ thu tiền",IF(P436&lt;0,"Kiểm tra thu thừa",IF(AND(F436="Đã giao",H436="Đã xuất"),"Hoàn tất","Theo dõi"))))))))</f>
        <v/>
      </c>
      <c r="U436" s="8"/>
    </row>
    <row r="437" customFormat="false" ht="15" hidden="false" customHeight="false" outlineLevel="0" collapsed="false">
      <c r="A437" s="8"/>
      <c r="B437" s="9"/>
      <c r="C437" s="8"/>
      <c r="D437" s="10" t="str">
        <f aca="false">IF(C437="","",IFERROR(VLOOKUP(C437,KhachHang!$A$2:$B$200,2,FALSE())&amp;"",""))</f>
        <v/>
      </c>
      <c r="E437" s="8"/>
      <c r="F437" s="8"/>
      <c r="G437" s="9"/>
      <c r="H437" s="8"/>
      <c r="I437" s="8"/>
      <c r="J437" s="9"/>
      <c r="K437" s="11" t="str">
        <f aca="false">IF(A437="","",SUMIFS(ChiTiet!$I$2:$I$2000,ChiTiet!$A$2:$A$2000,A437))</f>
        <v/>
      </c>
      <c r="L437" s="12"/>
      <c r="M437" s="11" t="str">
        <f aca="false">IF(A437="","",ROUND(K437*IF(L437="",0.08,L437),0))</f>
        <v/>
      </c>
      <c r="N437" s="11" t="str">
        <f aca="false">IF(A437="","",K437+M437)</f>
        <v/>
      </c>
      <c r="O437" s="11" t="str">
        <f aca="false">IF(A437="","",SUMIFS(ThuTien!$D$2:$D$2000,ThuTien!$B$2:$B$2000,A437))</f>
        <v/>
      </c>
      <c r="P437" s="11" t="str">
        <f aca="false">IF(A437="","",N437-O437)</f>
        <v/>
      </c>
      <c r="Q437" s="9"/>
      <c r="R437" s="10" t="str">
        <f aca="true">IF(A437="","",IF(AND(Q437&lt;&gt;"",P437&gt;0,TODAY()&gt;Q437),TODAY()-Q437,0))</f>
        <v/>
      </c>
      <c r="S437" s="10" t="str">
        <f aca="false">IF(A437="","",IF(N437=0,"Chưa có tiền hàng",IF(P437&lt;0,"Thu thừa",IF(P437=0,"Đã thu đủ",IF(O437&gt;0,"Thu một phần","Chưa thu")))))</f>
        <v/>
      </c>
      <c r="T437" s="10" t="str">
        <f aca="false">IF(A437="","",IF(AND(F437="Đã giao",H437&lt;&gt;"Đã xuất"),"Đã giao - CHƯA XUẤT HĐ",IF(AND(H437="Đã xuất",F437="Chưa giao"),"Đã xuất HĐ - chưa giao",IF(F437="","Chưa cập nhật giao hàng",IF(R437&gt;0,"Quá hạn "&amp;R437&amp;" ngày - đòi tiền",IF(P437&gt;0,"Chờ thu tiền",IF(P437&lt;0,"Kiểm tra thu thừa",IF(AND(F437="Đã giao",H437="Đã xuất"),"Hoàn tất","Theo dõi"))))))))</f>
        <v/>
      </c>
      <c r="U437" s="8"/>
    </row>
    <row r="438" customFormat="false" ht="15" hidden="false" customHeight="false" outlineLevel="0" collapsed="false">
      <c r="A438" s="8"/>
      <c r="B438" s="9"/>
      <c r="C438" s="8"/>
      <c r="D438" s="10" t="str">
        <f aca="false">IF(C438="","",IFERROR(VLOOKUP(C438,KhachHang!$A$2:$B$200,2,FALSE())&amp;"",""))</f>
        <v/>
      </c>
      <c r="E438" s="8"/>
      <c r="F438" s="8"/>
      <c r="G438" s="9"/>
      <c r="H438" s="8"/>
      <c r="I438" s="8"/>
      <c r="J438" s="9"/>
      <c r="K438" s="11" t="str">
        <f aca="false">IF(A438="","",SUMIFS(ChiTiet!$I$2:$I$2000,ChiTiet!$A$2:$A$2000,A438))</f>
        <v/>
      </c>
      <c r="L438" s="12"/>
      <c r="M438" s="11" t="str">
        <f aca="false">IF(A438="","",ROUND(K438*IF(L438="",0.08,L438),0))</f>
        <v/>
      </c>
      <c r="N438" s="11" t="str">
        <f aca="false">IF(A438="","",K438+M438)</f>
        <v/>
      </c>
      <c r="O438" s="11" t="str">
        <f aca="false">IF(A438="","",SUMIFS(ThuTien!$D$2:$D$2000,ThuTien!$B$2:$B$2000,A438))</f>
        <v/>
      </c>
      <c r="P438" s="11" t="str">
        <f aca="false">IF(A438="","",N438-O438)</f>
        <v/>
      </c>
      <c r="Q438" s="9"/>
      <c r="R438" s="10" t="str">
        <f aca="true">IF(A438="","",IF(AND(Q438&lt;&gt;"",P438&gt;0,TODAY()&gt;Q438),TODAY()-Q438,0))</f>
        <v/>
      </c>
      <c r="S438" s="10" t="str">
        <f aca="false">IF(A438="","",IF(N438=0,"Chưa có tiền hàng",IF(P438&lt;0,"Thu thừa",IF(P438=0,"Đã thu đủ",IF(O438&gt;0,"Thu một phần","Chưa thu")))))</f>
        <v/>
      </c>
      <c r="T438" s="10" t="str">
        <f aca="false">IF(A438="","",IF(AND(F438="Đã giao",H438&lt;&gt;"Đã xuất"),"Đã giao - CHƯA XUẤT HĐ",IF(AND(H438="Đã xuất",F438="Chưa giao"),"Đã xuất HĐ - chưa giao",IF(F438="","Chưa cập nhật giao hàng",IF(R438&gt;0,"Quá hạn "&amp;R438&amp;" ngày - đòi tiền",IF(P438&gt;0,"Chờ thu tiền",IF(P438&lt;0,"Kiểm tra thu thừa",IF(AND(F438="Đã giao",H438="Đã xuất"),"Hoàn tất","Theo dõi"))))))))</f>
        <v/>
      </c>
      <c r="U438" s="8"/>
    </row>
    <row r="439" customFormat="false" ht="15" hidden="false" customHeight="false" outlineLevel="0" collapsed="false">
      <c r="A439" s="8"/>
      <c r="B439" s="9"/>
      <c r="C439" s="8"/>
      <c r="D439" s="10" t="str">
        <f aca="false">IF(C439="","",IFERROR(VLOOKUP(C439,KhachHang!$A$2:$B$200,2,FALSE())&amp;"",""))</f>
        <v/>
      </c>
      <c r="E439" s="8"/>
      <c r="F439" s="8"/>
      <c r="G439" s="9"/>
      <c r="H439" s="8"/>
      <c r="I439" s="8"/>
      <c r="J439" s="9"/>
      <c r="K439" s="11" t="str">
        <f aca="false">IF(A439="","",SUMIFS(ChiTiet!$I$2:$I$2000,ChiTiet!$A$2:$A$2000,A439))</f>
        <v/>
      </c>
      <c r="L439" s="12"/>
      <c r="M439" s="11" t="str">
        <f aca="false">IF(A439="","",ROUND(K439*IF(L439="",0.08,L439),0))</f>
        <v/>
      </c>
      <c r="N439" s="11" t="str">
        <f aca="false">IF(A439="","",K439+M439)</f>
        <v/>
      </c>
      <c r="O439" s="11" t="str">
        <f aca="false">IF(A439="","",SUMIFS(ThuTien!$D$2:$D$2000,ThuTien!$B$2:$B$2000,A439))</f>
        <v/>
      </c>
      <c r="P439" s="11" t="str">
        <f aca="false">IF(A439="","",N439-O439)</f>
        <v/>
      </c>
      <c r="Q439" s="9"/>
      <c r="R439" s="10" t="str">
        <f aca="true">IF(A439="","",IF(AND(Q439&lt;&gt;"",P439&gt;0,TODAY()&gt;Q439),TODAY()-Q439,0))</f>
        <v/>
      </c>
      <c r="S439" s="10" t="str">
        <f aca="false">IF(A439="","",IF(N439=0,"Chưa có tiền hàng",IF(P439&lt;0,"Thu thừa",IF(P439=0,"Đã thu đủ",IF(O439&gt;0,"Thu một phần","Chưa thu")))))</f>
        <v/>
      </c>
      <c r="T439" s="10" t="str">
        <f aca="false">IF(A439="","",IF(AND(F439="Đã giao",H439&lt;&gt;"Đã xuất"),"Đã giao - CHƯA XUẤT HĐ",IF(AND(H439="Đã xuất",F439="Chưa giao"),"Đã xuất HĐ - chưa giao",IF(F439="","Chưa cập nhật giao hàng",IF(R439&gt;0,"Quá hạn "&amp;R439&amp;" ngày - đòi tiền",IF(P439&gt;0,"Chờ thu tiền",IF(P439&lt;0,"Kiểm tra thu thừa",IF(AND(F439="Đã giao",H439="Đã xuất"),"Hoàn tất","Theo dõi"))))))))</f>
        <v/>
      </c>
      <c r="U439" s="8"/>
    </row>
    <row r="440" customFormat="false" ht="15" hidden="false" customHeight="false" outlineLevel="0" collapsed="false">
      <c r="A440" s="8"/>
      <c r="B440" s="9"/>
      <c r="C440" s="8"/>
      <c r="D440" s="10" t="str">
        <f aca="false">IF(C440="","",IFERROR(VLOOKUP(C440,KhachHang!$A$2:$B$200,2,FALSE())&amp;"",""))</f>
        <v/>
      </c>
      <c r="E440" s="8"/>
      <c r="F440" s="8"/>
      <c r="G440" s="9"/>
      <c r="H440" s="8"/>
      <c r="I440" s="8"/>
      <c r="J440" s="9"/>
      <c r="K440" s="11" t="str">
        <f aca="false">IF(A440="","",SUMIFS(ChiTiet!$I$2:$I$2000,ChiTiet!$A$2:$A$2000,A440))</f>
        <v/>
      </c>
      <c r="L440" s="12"/>
      <c r="M440" s="11" t="str">
        <f aca="false">IF(A440="","",ROUND(K440*IF(L440="",0.08,L440),0))</f>
        <v/>
      </c>
      <c r="N440" s="11" t="str">
        <f aca="false">IF(A440="","",K440+M440)</f>
        <v/>
      </c>
      <c r="O440" s="11" t="str">
        <f aca="false">IF(A440="","",SUMIFS(ThuTien!$D$2:$D$2000,ThuTien!$B$2:$B$2000,A440))</f>
        <v/>
      </c>
      <c r="P440" s="11" t="str">
        <f aca="false">IF(A440="","",N440-O440)</f>
        <v/>
      </c>
      <c r="Q440" s="9"/>
      <c r="R440" s="10" t="str">
        <f aca="true">IF(A440="","",IF(AND(Q440&lt;&gt;"",P440&gt;0,TODAY()&gt;Q440),TODAY()-Q440,0))</f>
        <v/>
      </c>
      <c r="S440" s="10" t="str">
        <f aca="false">IF(A440="","",IF(N440=0,"Chưa có tiền hàng",IF(P440&lt;0,"Thu thừa",IF(P440=0,"Đã thu đủ",IF(O440&gt;0,"Thu một phần","Chưa thu")))))</f>
        <v/>
      </c>
      <c r="T440" s="10" t="str">
        <f aca="false">IF(A440="","",IF(AND(F440="Đã giao",H440&lt;&gt;"Đã xuất"),"Đã giao - CHƯA XUẤT HĐ",IF(AND(H440="Đã xuất",F440="Chưa giao"),"Đã xuất HĐ - chưa giao",IF(F440="","Chưa cập nhật giao hàng",IF(R440&gt;0,"Quá hạn "&amp;R440&amp;" ngày - đòi tiền",IF(P440&gt;0,"Chờ thu tiền",IF(P440&lt;0,"Kiểm tra thu thừa",IF(AND(F440="Đã giao",H440="Đã xuất"),"Hoàn tất","Theo dõi"))))))))</f>
        <v/>
      </c>
      <c r="U440" s="8"/>
    </row>
    <row r="441" customFormat="false" ht="15" hidden="false" customHeight="false" outlineLevel="0" collapsed="false">
      <c r="A441" s="8"/>
      <c r="B441" s="9"/>
      <c r="C441" s="8"/>
      <c r="D441" s="10" t="str">
        <f aca="false">IF(C441="","",IFERROR(VLOOKUP(C441,KhachHang!$A$2:$B$200,2,FALSE())&amp;"",""))</f>
        <v/>
      </c>
      <c r="E441" s="8"/>
      <c r="F441" s="8"/>
      <c r="G441" s="9"/>
      <c r="H441" s="8"/>
      <c r="I441" s="8"/>
      <c r="J441" s="9"/>
      <c r="K441" s="11" t="str">
        <f aca="false">IF(A441="","",SUMIFS(ChiTiet!$I$2:$I$2000,ChiTiet!$A$2:$A$2000,A441))</f>
        <v/>
      </c>
      <c r="L441" s="12"/>
      <c r="M441" s="11" t="str">
        <f aca="false">IF(A441="","",ROUND(K441*IF(L441="",0.08,L441),0))</f>
        <v/>
      </c>
      <c r="N441" s="11" t="str">
        <f aca="false">IF(A441="","",K441+M441)</f>
        <v/>
      </c>
      <c r="O441" s="11" t="str">
        <f aca="false">IF(A441="","",SUMIFS(ThuTien!$D$2:$D$2000,ThuTien!$B$2:$B$2000,A441))</f>
        <v/>
      </c>
      <c r="P441" s="11" t="str">
        <f aca="false">IF(A441="","",N441-O441)</f>
        <v/>
      </c>
      <c r="Q441" s="9"/>
      <c r="R441" s="10" t="str">
        <f aca="true">IF(A441="","",IF(AND(Q441&lt;&gt;"",P441&gt;0,TODAY()&gt;Q441),TODAY()-Q441,0))</f>
        <v/>
      </c>
      <c r="S441" s="10" t="str">
        <f aca="false">IF(A441="","",IF(N441=0,"Chưa có tiền hàng",IF(P441&lt;0,"Thu thừa",IF(P441=0,"Đã thu đủ",IF(O441&gt;0,"Thu một phần","Chưa thu")))))</f>
        <v/>
      </c>
      <c r="T441" s="10" t="str">
        <f aca="false">IF(A441="","",IF(AND(F441="Đã giao",H441&lt;&gt;"Đã xuất"),"Đã giao - CHƯA XUẤT HĐ",IF(AND(H441="Đã xuất",F441="Chưa giao"),"Đã xuất HĐ - chưa giao",IF(F441="","Chưa cập nhật giao hàng",IF(R441&gt;0,"Quá hạn "&amp;R441&amp;" ngày - đòi tiền",IF(P441&gt;0,"Chờ thu tiền",IF(P441&lt;0,"Kiểm tra thu thừa",IF(AND(F441="Đã giao",H441="Đã xuất"),"Hoàn tất","Theo dõi"))))))))</f>
        <v/>
      </c>
      <c r="U441" s="8"/>
    </row>
    <row r="442" customFormat="false" ht="15" hidden="false" customHeight="false" outlineLevel="0" collapsed="false">
      <c r="A442" s="8"/>
      <c r="B442" s="9"/>
      <c r="C442" s="8"/>
      <c r="D442" s="10" t="str">
        <f aca="false">IF(C442="","",IFERROR(VLOOKUP(C442,KhachHang!$A$2:$B$200,2,FALSE())&amp;"",""))</f>
        <v/>
      </c>
      <c r="E442" s="8"/>
      <c r="F442" s="8"/>
      <c r="G442" s="9"/>
      <c r="H442" s="8"/>
      <c r="I442" s="8"/>
      <c r="J442" s="9"/>
      <c r="K442" s="11" t="str">
        <f aca="false">IF(A442="","",SUMIFS(ChiTiet!$I$2:$I$2000,ChiTiet!$A$2:$A$2000,A442))</f>
        <v/>
      </c>
      <c r="L442" s="12"/>
      <c r="M442" s="11" t="str">
        <f aca="false">IF(A442="","",ROUND(K442*IF(L442="",0.08,L442),0))</f>
        <v/>
      </c>
      <c r="N442" s="11" t="str">
        <f aca="false">IF(A442="","",K442+M442)</f>
        <v/>
      </c>
      <c r="O442" s="11" t="str">
        <f aca="false">IF(A442="","",SUMIFS(ThuTien!$D$2:$D$2000,ThuTien!$B$2:$B$2000,A442))</f>
        <v/>
      </c>
      <c r="P442" s="11" t="str">
        <f aca="false">IF(A442="","",N442-O442)</f>
        <v/>
      </c>
      <c r="Q442" s="9"/>
      <c r="R442" s="10" t="str">
        <f aca="true">IF(A442="","",IF(AND(Q442&lt;&gt;"",P442&gt;0,TODAY()&gt;Q442),TODAY()-Q442,0))</f>
        <v/>
      </c>
      <c r="S442" s="10" t="str">
        <f aca="false">IF(A442="","",IF(N442=0,"Chưa có tiền hàng",IF(P442&lt;0,"Thu thừa",IF(P442=0,"Đã thu đủ",IF(O442&gt;0,"Thu một phần","Chưa thu")))))</f>
        <v/>
      </c>
      <c r="T442" s="10" t="str">
        <f aca="false">IF(A442="","",IF(AND(F442="Đã giao",H442&lt;&gt;"Đã xuất"),"Đã giao - CHƯA XUẤT HĐ",IF(AND(H442="Đã xuất",F442="Chưa giao"),"Đã xuất HĐ - chưa giao",IF(F442="","Chưa cập nhật giao hàng",IF(R442&gt;0,"Quá hạn "&amp;R442&amp;" ngày - đòi tiền",IF(P442&gt;0,"Chờ thu tiền",IF(P442&lt;0,"Kiểm tra thu thừa",IF(AND(F442="Đã giao",H442="Đã xuất"),"Hoàn tất","Theo dõi"))))))))</f>
        <v/>
      </c>
      <c r="U442" s="8"/>
    </row>
    <row r="443" customFormat="false" ht="15" hidden="false" customHeight="false" outlineLevel="0" collapsed="false">
      <c r="A443" s="8"/>
      <c r="B443" s="9"/>
      <c r="C443" s="8"/>
      <c r="D443" s="10" t="str">
        <f aca="false">IF(C443="","",IFERROR(VLOOKUP(C443,KhachHang!$A$2:$B$200,2,FALSE())&amp;"",""))</f>
        <v/>
      </c>
      <c r="E443" s="8"/>
      <c r="F443" s="8"/>
      <c r="G443" s="9"/>
      <c r="H443" s="8"/>
      <c r="I443" s="8"/>
      <c r="J443" s="9"/>
      <c r="K443" s="11" t="str">
        <f aca="false">IF(A443="","",SUMIFS(ChiTiet!$I$2:$I$2000,ChiTiet!$A$2:$A$2000,A443))</f>
        <v/>
      </c>
      <c r="L443" s="12"/>
      <c r="M443" s="11" t="str">
        <f aca="false">IF(A443="","",ROUND(K443*IF(L443="",0.08,L443),0))</f>
        <v/>
      </c>
      <c r="N443" s="11" t="str">
        <f aca="false">IF(A443="","",K443+M443)</f>
        <v/>
      </c>
      <c r="O443" s="11" t="str">
        <f aca="false">IF(A443="","",SUMIFS(ThuTien!$D$2:$D$2000,ThuTien!$B$2:$B$2000,A443))</f>
        <v/>
      </c>
      <c r="P443" s="11" t="str">
        <f aca="false">IF(A443="","",N443-O443)</f>
        <v/>
      </c>
      <c r="Q443" s="9"/>
      <c r="R443" s="10" t="str">
        <f aca="true">IF(A443="","",IF(AND(Q443&lt;&gt;"",P443&gt;0,TODAY()&gt;Q443),TODAY()-Q443,0))</f>
        <v/>
      </c>
      <c r="S443" s="10" t="str">
        <f aca="false">IF(A443="","",IF(N443=0,"Chưa có tiền hàng",IF(P443&lt;0,"Thu thừa",IF(P443=0,"Đã thu đủ",IF(O443&gt;0,"Thu một phần","Chưa thu")))))</f>
        <v/>
      </c>
      <c r="T443" s="10" t="str">
        <f aca="false">IF(A443="","",IF(AND(F443="Đã giao",H443&lt;&gt;"Đã xuất"),"Đã giao - CHƯA XUẤT HĐ",IF(AND(H443="Đã xuất",F443="Chưa giao"),"Đã xuất HĐ - chưa giao",IF(F443="","Chưa cập nhật giao hàng",IF(R443&gt;0,"Quá hạn "&amp;R443&amp;" ngày - đòi tiền",IF(P443&gt;0,"Chờ thu tiền",IF(P443&lt;0,"Kiểm tra thu thừa",IF(AND(F443="Đã giao",H443="Đã xuất"),"Hoàn tất","Theo dõi"))))))))</f>
        <v/>
      </c>
      <c r="U443" s="8"/>
    </row>
    <row r="444" customFormat="false" ht="15" hidden="false" customHeight="false" outlineLevel="0" collapsed="false">
      <c r="A444" s="8"/>
      <c r="B444" s="9"/>
      <c r="C444" s="8"/>
      <c r="D444" s="10" t="str">
        <f aca="false">IF(C444="","",IFERROR(VLOOKUP(C444,KhachHang!$A$2:$B$200,2,FALSE())&amp;"",""))</f>
        <v/>
      </c>
      <c r="E444" s="8"/>
      <c r="F444" s="8"/>
      <c r="G444" s="9"/>
      <c r="H444" s="8"/>
      <c r="I444" s="8"/>
      <c r="J444" s="9"/>
      <c r="K444" s="11" t="str">
        <f aca="false">IF(A444="","",SUMIFS(ChiTiet!$I$2:$I$2000,ChiTiet!$A$2:$A$2000,A444))</f>
        <v/>
      </c>
      <c r="L444" s="12"/>
      <c r="M444" s="11" t="str">
        <f aca="false">IF(A444="","",ROUND(K444*IF(L444="",0.08,L444),0))</f>
        <v/>
      </c>
      <c r="N444" s="11" t="str">
        <f aca="false">IF(A444="","",K444+M444)</f>
        <v/>
      </c>
      <c r="O444" s="11" t="str">
        <f aca="false">IF(A444="","",SUMIFS(ThuTien!$D$2:$D$2000,ThuTien!$B$2:$B$2000,A444))</f>
        <v/>
      </c>
      <c r="P444" s="11" t="str">
        <f aca="false">IF(A444="","",N444-O444)</f>
        <v/>
      </c>
      <c r="Q444" s="9"/>
      <c r="R444" s="10" t="str">
        <f aca="true">IF(A444="","",IF(AND(Q444&lt;&gt;"",P444&gt;0,TODAY()&gt;Q444),TODAY()-Q444,0))</f>
        <v/>
      </c>
      <c r="S444" s="10" t="str">
        <f aca="false">IF(A444="","",IF(N444=0,"Chưa có tiền hàng",IF(P444&lt;0,"Thu thừa",IF(P444=0,"Đã thu đủ",IF(O444&gt;0,"Thu một phần","Chưa thu")))))</f>
        <v/>
      </c>
      <c r="T444" s="10" t="str">
        <f aca="false">IF(A444="","",IF(AND(F444="Đã giao",H444&lt;&gt;"Đã xuất"),"Đã giao - CHƯA XUẤT HĐ",IF(AND(H444="Đã xuất",F444="Chưa giao"),"Đã xuất HĐ - chưa giao",IF(F444="","Chưa cập nhật giao hàng",IF(R444&gt;0,"Quá hạn "&amp;R444&amp;" ngày - đòi tiền",IF(P444&gt;0,"Chờ thu tiền",IF(P444&lt;0,"Kiểm tra thu thừa",IF(AND(F444="Đã giao",H444="Đã xuất"),"Hoàn tất","Theo dõi"))))))))</f>
        <v/>
      </c>
      <c r="U444" s="8"/>
    </row>
    <row r="445" customFormat="false" ht="15" hidden="false" customHeight="false" outlineLevel="0" collapsed="false">
      <c r="A445" s="8"/>
      <c r="B445" s="9"/>
      <c r="C445" s="8"/>
      <c r="D445" s="10" t="str">
        <f aca="false">IF(C445="","",IFERROR(VLOOKUP(C445,KhachHang!$A$2:$B$200,2,FALSE())&amp;"",""))</f>
        <v/>
      </c>
      <c r="E445" s="8"/>
      <c r="F445" s="8"/>
      <c r="G445" s="9"/>
      <c r="H445" s="8"/>
      <c r="I445" s="8"/>
      <c r="J445" s="9"/>
      <c r="K445" s="11" t="str">
        <f aca="false">IF(A445="","",SUMIFS(ChiTiet!$I$2:$I$2000,ChiTiet!$A$2:$A$2000,A445))</f>
        <v/>
      </c>
      <c r="L445" s="12"/>
      <c r="M445" s="11" t="str">
        <f aca="false">IF(A445="","",ROUND(K445*IF(L445="",0.08,L445),0))</f>
        <v/>
      </c>
      <c r="N445" s="11" t="str">
        <f aca="false">IF(A445="","",K445+M445)</f>
        <v/>
      </c>
      <c r="O445" s="11" t="str">
        <f aca="false">IF(A445="","",SUMIFS(ThuTien!$D$2:$D$2000,ThuTien!$B$2:$B$2000,A445))</f>
        <v/>
      </c>
      <c r="P445" s="11" t="str">
        <f aca="false">IF(A445="","",N445-O445)</f>
        <v/>
      </c>
      <c r="Q445" s="9"/>
      <c r="R445" s="10" t="str">
        <f aca="true">IF(A445="","",IF(AND(Q445&lt;&gt;"",P445&gt;0,TODAY()&gt;Q445),TODAY()-Q445,0))</f>
        <v/>
      </c>
      <c r="S445" s="10" t="str">
        <f aca="false">IF(A445="","",IF(N445=0,"Chưa có tiền hàng",IF(P445&lt;0,"Thu thừa",IF(P445=0,"Đã thu đủ",IF(O445&gt;0,"Thu một phần","Chưa thu")))))</f>
        <v/>
      </c>
      <c r="T445" s="10" t="str">
        <f aca="false">IF(A445="","",IF(AND(F445="Đã giao",H445&lt;&gt;"Đã xuất"),"Đã giao - CHƯA XUẤT HĐ",IF(AND(H445="Đã xuất",F445="Chưa giao"),"Đã xuất HĐ - chưa giao",IF(F445="","Chưa cập nhật giao hàng",IF(R445&gt;0,"Quá hạn "&amp;R445&amp;" ngày - đòi tiền",IF(P445&gt;0,"Chờ thu tiền",IF(P445&lt;0,"Kiểm tra thu thừa",IF(AND(F445="Đã giao",H445="Đã xuất"),"Hoàn tất","Theo dõi"))))))))</f>
        <v/>
      </c>
      <c r="U445" s="8"/>
    </row>
    <row r="446" customFormat="false" ht="15" hidden="false" customHeight="false" outlineLevel="0" collapsed="false">
      <c r="A446" s="8"/>
      <c r="B446" s="9"/>
      <c r="C446" s="8"/>
      <c r="D446" s="10" t="str">
        <f aca="false">IF(C446="","",IFERROR(VLOOKUP(C446,KhachHang!$A$2:$B$200,2,FALSE())&amp;"",""))</f>
        <v/>
      </c>
      <c r="E446" s="8"/>
      <c r="F446" s="8"/>
      <c r="G446" s="9"/>
      <c r="H446" s="8"/>
      <c r="I446" s="8"/>
      <c r="J446" s="9"/>
      <c r="K446" s="11" t="str">
        <f aca="false">IF(A446="","",SUMIFS(ChiTiet!$I$2:$I$2000,ChiTiet!$A$2:$A$2000,A446))</f>
        <v/>
      </c>
      <c r="L446" s="12"/>
      <c r="M446" s="11" t="str">
        <f aca="false">IF(A446="","",ROUND(K446*IF(L446="",0.08,L446),0))</f>
        <v/>
      </c>
      <c r="N446" s="11" t="str">
        <f aca="false">IF(A446="","",K446+M446)</f>
        <v/>
      </c>
      <c r="O446" s="11" t="str">
        <f aca="false">IF(A446="","",SUMIFS(ThuTien!$D$2:$D$2000,ThuTien!$B$2:$B$2000,A446))</f>
        <v/>
      </c>
      <c r="P446" s="11" t="str">
        <f aca="false">IF(A446="","",N446-O446)</f>
        <v/>
      </c>
      <c r="Q446" s="9"/>
      <c r="R446" s="10" t="str">
        <f aca="true">IF(A446="","",IF(AND(Q446&lt;&gt;"",P446&gt;0,TODAY()&gt;Q446),TODAY()-Q446,0))</f>
        <v/>
      </c>
      <c r="S446" s="10" t="str">
        <f aca="false">IF(A446="","",IF(N446=0,"Chưa có tiền hàng",IF(P446&lt;0,"Thu thừa",IF(P446=0,"Đã thu đủ",IF(O446&gt;0,"Thu một phần","Chưa thu")))))</f>
        <v/>
      </c>
      <c r="T446" s="10" t="str">
        <f aca="false">IF(A446="","",IF(AND(F446="Đã giao",H446&lt;&gt;"Đã xuất"),"Đã giao - CHƯA XUẤT HĐ",IF(AND(H446="Đã xuất",F446="Chưa giao"),"Đã xuất HĐ - chưa giao",IF(F446="","Chưa cập nhật giao hàng",IF(R446&gt;0,"Quá hạn "&amp;R446&amp;" ngày - đòi tiền",IF(P446&gt;0,"Chờ thu tiền",IF(P446&lt;0,"Kiểm tra thu thừa",IF(AND(F446="Đã giao",H446="Đã xuất"),"Hoàn tất","Theo dõi"))))))))</f>
        <v/>
      </c>
      <c r="U446" s="8"/>
    </row>
    <row r="447" customFormat="false" ht="15" hidden="false" customHeight="false" outlineLevel="0" collapsed="false">
      <c r="A447" s="8"/>
      <c r="B447" s="9"/>
      <c r="C447" s="8"/>
      <c r="D447" s="10" t="str">
        <f aca="false">IF(C447="","",IFERROR(VLOOKUP(C447,KhachHang!$A$2:$B$200,2,FALSE())&amp;"",""))</f>
        <v/>
      </c>
      <c r="E447" s="8"/>
      <c r="F447" s="8"/>
      <c r="G447" s="9"/>
      <c r="H447" s="8"/>
      <c r="I447" s="8"/>
      <c r="J447" s="9"/>
      <c r="K447" s="11" t="str">
        <f aca="false">IF(A447="","",SUMIFS(ChiTiet!$I$2:$I$2000,ChiTiet!$A$2:$A$2000,A447))</f>
        <v/>
      </c>
      <c r="L447" s="12"/>
      <c r="M447" s="11" t="str">
        <f aca="false">IF(A447="","",ROUND(K447*IF(L447="",0.08,L447),0))</f>
        <v/>
      </c>
      <c r="N447" s="11" t="str">
        <f aca="false">IF(A447="","",K447+M447)</f>
        <v/>
      </c>
      <c r="O447" s="11" t="str">
        <f aca="false">IF(A447="","",SUMIFS(ThuTien!$D$2:$D$2000,ThuTien!$B$2:$B$2000,A447))</f>
        <v/>
      </c>
      <c r="P447" s="11" t="str">
        <f aca="false">IF(A447="","",N447-O447)</f>
        <v/>
      </c>
      <c r="Q447" s="9"/>
      <c r="R447" s="10" t="str">
        <f aca="true">IF(A447="","",IF(AND(Q447&lt;&gt;"",P447&gt;0,TODAY()&gt;Q447),TODAY()-Q447,0))</f>
        <v/>
      </c>
      <c r="S447" s="10" t="str">
        <f aca="false">IF(A447="","",IF(N447=0,"Chưa có tiền hàng",IF(P447&lt;0,"Thu thừa",IF(P447=0,"Đã thu đủ",IF(O447&gt;0,"Thu một phần","Chưa thu")))))</f>
        <v/>
      </c>
      <c r="T447" s="10" t="str">
        <f aca="false">IF(A447="","",IF(AND(F447="Đã giao",H447&lt;&gt;"Đã xuất"),"Đã giao - CHƯA XUẤT HĐ",IF(AND(H447="Đã xuất",F447="Chưa giao"),"Đã xuất HĐ - chưa giao",IF(F447="","Chưa cập nhật giao hàng",IF(R447&gt;0,"Quá hạn "&amp;R447&amp;" ngày - đòi tiền",IF(P447&gt;0,"Chờ thu tiền",IF(P447&lt;0,"Kiểm tra thu thừa",IF(AND(F447="Đã giao",H447="Đã xuất"),"Hoàn tất","Theo dõi"))))))))</f>
        <v/>
      </c>
      <c r="U447" s="8"/>
    </row>
    <row r="448" customFormat="false" ht="15" hidden="false" customHeight="false" outlineLevel="0" collapsed="false">
      <c r="A448" s="8"/>
      <c r="B448" s="9"/>
      <c r="C448" s="8"/>
      <c r="D448" s="10" t="str">
        <f aca="false">IF(C448="","",IFERROR(VLOOKUP(C448,KhachHang!$A$2:$B$200,2,FALSE())&amp;"",""))</f>
        <v/>
      </c>
      <c r="E448" s="8"/>
      <c r="F448" s="8"/>
      <c r="G448" s="9"/>
      <c r="H448" s="8"/>
      <c r="I448" s="8"/>
      <c r="J448" s="9"/>
      <c r="K448" s="11" t="str">
        <f aca="false">IF(A448="","",SUMIFS(ChiTiet!$I$2:$I$2000,ChiTiet!$A$2:$A$2000,A448))</f>
        <v/>
      </c>
      <c r="L448" s="12"/>
      <c r="M448" s="11" t="str">
        <f aca="false">IF(A448="","",ROUND(K448*IF(L448="",0.08,L448),0))</f>
        <v/>
      </c>
      <c r="N448" s="11" t="str">
        <f aca="false">IF(A448="","",K448+M448)</f>
        <v/>
      </c>
      <c r="O448" s="11" t="str">
        <f aca="false">IF(A448="","",SUMIFS(ThuTien!$D$2:$D$2000,ThuTien!$B$2:$B$2000,A448))</f>
        <v/>
      </c>
      <c r="P448" s="11" t="str">
        <f aca="false">IF(A448="","",N448-O448)</f>
        <v/>
      </c>
      <c r="Q448" s="9"/>
      <c r="R448" s="10" t="str">
        <f aca="true">IF(A448="","",IF(AND(Q448&lt;&gt;"",P448&gt;0,TODAY()&gt;Q448),TODAY()-Q448,0))</f>
        <v/>
      </c>
      <c r="S448" s="10" t="str">
        <f aca="false">IF(A448="","",IF(N448=0,"Chưa có tiền hàng",IF(P448&lt;0,"Thu thừa",IF(P448=0,"Đã thu đủ",IF(O448&gt;0,"Thu một phần","Chưa thu")))))</f>
        <v/>
      </c>
      <c r="T448" s="10" t="str">
        <f aca="false">IF(A448="","",IF(AND(F448="Đã giao",H448&lt;&gt;"Đã xuất"),"Đã giao - CHƯA XUẤT HĐ",IF(AND(H448="Đã xuất",F448="Chưa giao"),"Đã xuất HĐ - chưa giao",IF(F448="","Chưa cập nhật giao hàng",IF(R448&gt;0,"Quá hạn "&amp;R448&amp;" ngày - đòi tiền",IF(P448&gt;0,"Chờ thu tiền",IF(P448&lt;0,"Kiểm tra thu thừa",IF(AND(F448="Đã giao",H448="Đã xuất"),"Hoàn tất","Theo dõi"))))))))</f>
        <v/>
      </c>
      <c r="U448" s="8"/>
    </row>
    <row r="449" customFormat="false" ht="15" hidden="false" customHeight="false" outlineLevel="0" collapsed="false">
      <c r="A449" s="8"/>
      <c r="B449" s="9"/>
      <c r="C449" s="8"/>
      <c r="D449" s="10" t="str">
        <f aca="false">IF(C449="","",IFERROR(VLOOKUP(C449,KhachHang!$A$2:$B$200,2,FALSE())&amp;"",""))</f>
        <v/>
      </c>
      <c r="E449" s="8"/>
      <c r="F449" s="8"/>
      <c r="G449" s="9"/>
      <c r="H449" s="8"/>
      <c r="I449" s="8"/>
      <c r="J449" s="9"/>
      <c r="K449" s="11" t="str">
        <f aca="false">IF(A449="","",SUMIFS(ChiTiet!$I$2:$I$2000,ChiTiet!$A$2:$A$2000,A449))</f>
        <v/>
      </c>
      <c r="L449" s="12"/>
      <c r="M449" s="11" t="str">
        <f aca="false">IF(A449="","",ROUND(K449*IF(L449="",0.08,L449),0))</f>
        <v/>
      </c>
      <c r="N449" s="11" t="str">
        <f aca="false">IF(A449="","",K449+M449)</f>
        <v/>
      </c>
      <c r="O449" s="11" t="str">
        <f aca="false">IF(A449="","",SUMIFS(ThuTien!$D$2:$D$2000,ThuTien!$B$2:$B$2000,A449))</f>
        <v/>
      </c>
      <c r="P449" s="11" t="str">
        <f aca="false">IF(A449="","",N449-O449)</f>
        <v/>
      </c>
      <c r="Q449" s="9"/>
      <c r="R449" s="10" t="str">
        <f aca="true">IF(A449="","",IF(AND(Q449&lt;&gt;"",P449&gt;0,TODAY()&gt;Q449),TODAY()-Q449,0))</f>
        <v/>
      </c>
      <c r="S449" s="10" t="str">
        <f aca="false">IF(A449="","",IF(N449=0,"Chưa có tiền hàng",IF(P449&lt;0,"Thu thừa",IF(P449=0,"Đã thu đủ",IF(O449&gt;0,"Thu một phần","Chưa thu")))))</f>
        <v/>
      </c>
      <c r="T449" s="10" t="str">
        <f aca="false">IF(A449="","",IF(AND(F449="Đã giao",H449&lt;&gt;"Đã xuất"),"Đã giao - CHƯA XUẤT HĐ",IF(AND(H449="Đã xuất",F449="Chưa giao"),"Đã xuất HĐ - chưa giao",IF(F449="","Chưa cập nhật giao hàng",IF(R449&gt;0,"Quá hạn "&amp;R449&amp;" ngày - đòi tiền",IF(P449&gt;0,"Chờ thu tiền",IF(P449&lt;0,"Kiểm tra thu thừa",IF(AND(F449="Đã giao",H449="Đã xuất"),"Hoàn tất","Theo dõi"))))))))</f>
        <v/>
      </c>
      <c r="U449" s="8"/>
    </row>
    <row r="450" customFormat="false" ht="15" hidden="false" customHeight="false" outlineLevel="0" collapsed="false">
      <c r="A450" s="8"/>
      <c r="B450" s="9"/>
      <c r="C450" s="8"/>
      <c r="D450" s="10" t="str">
        <f aca="false">IF(C450="","",IFERROR(VLOOKUP(C450,KhachHang!$A$2:$B$200,2,FALSE())&amp;"",""))</f>
        <v/>
      </c>
      <c r="E450" s="8"/>
      <c r="F450" s="8"/>
      <c r="G450" s="9"/>
      <c r="H450" s="8"/>
      <c r="I450" s="8"/>
      <c r="J450" s="9"/>
      <c r="K450" s="11" t="str">
        <f aca="false">IF(A450="","",SUMIFS(ChiTiet!$I$2:$I$2000,ChiTiet!$A$2:$A$2000,A450))</f>
        <v/>
      </c>
      <c r="L450" s="12"/>
      <c r="M450" s="11" t="str">
        <f aca="false">IF(A450="","",ROUND(K450*IF(L450="",0.08,L450),0))</f>
        <v/>
      </c>
      <c r="N450" s="11" t="str">
        <f aca="false">IF(A450="","",K450+M450)</f>
        <v/>
      </c>
      <c r="O450" s="11" t="str">
        <f aca="false">IF(A450="","",SUMIFS(ThuTien!$D$2:$D$2000,ThuTien!$B$2:$B$2000,A450))</f>
        <v/>
      </c>
      <c r="P450" s="11" t="str">
        <f aca="false">IF(A450="","",N450-O450)</f>
        <v/>
      </c>
      <c r="Q450" s="9"/>
      <c r="R450" s="10" t="str">
        <f aca="true">IF(A450="","",IF(AND(Q450&lt;&gt;"",P450&gt;0,TODAY()&gt;Q450),TODAY()-Q450,0))</f>
        <v/>
      </c>
      <c r="S450" s="10" t="str">
        <f aca="false">IF(A450="","",IF(N450=0,"Chưa có tiền hàng",IF(P450&lt;0,"Thu thừa",IF(P450=0,"Đã thu đủ",IF(O450&gt;0,"Thu một phần","Chưa thu")))))</f>
        <v/>
      </c>
      <c r="T450" s="10" t="str">
        <f aca="false">IF(A450="","",IF(AND(F450="Đã giao",H450&lt;&gt;"Đã xuất"),"Đã giao - CHƯA XUẤT HĐ",IF(AND(H450="Đã xuất",F450="Chưa giao"),"Đã xuất HĐ - chưa giao",IF(F450="","Chưa cập nhật giao hàng",IF(R450&gt;0,"Quá hạn "&amp;R450&amp;" ngày - đòi tiền",IF(P450&gt;0,"Chờ thu tiền",IF(P450&lt;0,"Kiểm tra thu thừa",IF(AND(F450="Đã giao",H450="Đã xuất"),"Hoàn tất","Theo dõi"))))))))</f>
        <v/>
      </c>
      <c r="U450" s="8"/>
    </row>
    <row r="451" customFormat="false" ht="15" hidden="false" customHeight="false" outlineLevel="0" collapsed="false">
      <c r="A451" s="8"/>
      <c r="B451" s="9"/>
      <c r="C451" s="8"/>
      <c r="D451" s="10" t="str">
        <f aca="false">IF(C451="","",IFERROR(VLOOKUP(C451,KhachHang!$A$2:$B$200,2,FALSE())&amp;"",""))</f>
        <v/>
      </c>
      <c r="E451" s="8"/>
      <c r="F451" s="8"/>
      <c r="G451" s="9"/>
      <c r="H451" s="8"/>
      <c r="I451" s="8"/>
      <c r="J451" s="9"/>
      <c r="K451" s="11" t="str">
        <f aca="false">IF(A451="","",SUMIFS(ChiTiet!$I$2:$I$2000,ChiTiet!$A$2:$A$2000,A451))</f>
        <v/>
      </c>
      <c r="L451" s="12"/>
      <c r="M451" s="11" t="str">
        <f aca="false">IF(A451="","",ROUND(K451*IF(L451="",0.08,L451),0))</f>
        <v/>
      </c>
      <c r="N451" s="11" t="str">
        <f aca="false">IF(A451="","",K451+M451)</f>
        <v/>
      </c>
      <c r="O451" s="11" t="str">
        <f aca="false">IF(A451="","",SUMIFS(ThuTien!$D$2:$D$2000,ThuTien!$B$2:$B$2000,A451))</f>
        <v/>
      </c>
      <c r="P451" s="11" t="str">
        <f aca="false">IF(A451="","",N451-O451)</f>
        <v/>
      </c>
      <c r="Q451" s="9"/>
      <c r="R451" s="10" t="str">
        <f aca="true">IF(A451="","",IF(AND(Q451&lt;&gt;"",P451&gt;0,TODAY()&gt;Q451),TODAY()-Q451,0))</f>
        <v/>
      </c>
      <c r="S451" s="10" t="str">
        <f aca="false">IF(A451="","",IF(N451=0,"Chưa có tiền hàng",IF(P451&lt;0,"Thu thừa",IF(P451=0,"Đã thu đủ",IF(O451&gt;0,"Thu một phần","Chưa thu")))))</f>
        <v/>
      </c>
      <c r="T451" s="10" t="str">
        <f aca="false">IF(A451="","",IF(AND(F451="Đã giao",H451&lt;&gt;"Đã xuất"),"Đã giao - CHƯA XUẤT HĐ",IF(AND(H451="Đã xuất",F451="Chưa giao"),"Đã xuất HĐ - chưa giao",IF(F451="","Chưa cập nhật giao hàng",IF(R451&gt;0,"Quá hạn "&amp;R451&amp;" ngày - đòi tiền",IF(P451&gt;0,"Chờ thu tiền",IF(P451&lt;0,"Kiểm tra thu thừa",IF(AND(F451="Đã giao",H451="Đã xuất"),"Hoàn tất","Theo dõi"))))))))</f>
        <v/>
      </c>
      <c r="U451" s="8"/>
    </row>
    <row r="452" customFormat="false" ht="15" hidden="false" customHeight="false" outlineLevel="0" collapsed="false">
      <c r="A452" s="8"/>
      <c r="B452" s="9"/>
      <c r="C452" s="8"/>
      <c r="D452" s="10" t="str">
        <f aca="false">IF(C452="","",IFERROR(VLOOKUP(C452,KhachHang!$A$2:$B$200,2,FALSE())&amp;"",""))</f>
        <v/>
      </c>
      <c r="E452" s="8"/>
      <c r="F452" s="8"/>
      <c r="G452" s="9"/>
      <c r="H452" s="8"/>
      <c r="I452" s="8"/>
      <c r="J452" s="9"/>
      <c r="K452" s="11" t="str">
        <f aca="false">IF(A452="","",SUMIFS(ChiTiet!$I$2:$I$2000,ChiTiet!$A$2:$A$2000,A452))</f>
        <v/>
      </c>
      <c r="L452" s="12"/>
      <c r="M452" s="11" t="str">
        <f aca="false">IF(A452="","",ROUND(K452*IF(L452="",0.08,L452),0))</f>
        <v/>
      </c>
      <c r="N452" s="11" t="str">
        <f aca="false">IF(A452="","",K452+M452)</f>
        <v/>
      </c>
      <c r="O452" s="11" t="str">
        <f aca="false">IF(A452="","",SUMIFS(ThuTien!$D$2:$D$2000,ThuTien!$B$2:$B$2000,A452))</f>
        <v/>
      </c>
      <c r="P452" s="11" t="str">
        <f aca="false">IF(A452="","",N452-O452)</f>
        <v/>
      </c>
      <c r="Q452" s="9"/>
      <c r="R452" s="10" t="str">
        <f aca="true">IF(A452="","",IF(AND(Q452&lt;&gt;"",P452&gt;0,TODAY()&gt;Q452),TODAY()-Q452,0))</f>
        <v/>
      </c>
      <c r="S452" s="10" t="str">
        <f aca="false">IF(A452="","",IF(N452=0,"Chưa có tiền hàng",IF(P452&lt;0,"Thu thừa",IF(P452=0,"Đã thu đủ",IF(O452&gt;0,"Thu một phần","Chưa thu")))))</f>
        <v/>
      </c>
      <c r="T452" s="10" t="str">
        <f aca="false">IF(A452="","",IF(AND(F452="Đã giao",H452&lt;&gt;"Đã xuất"),"Đã giao - CHƯA XUẤT HĐ",IF(AND(H452="Đã xuất",F452="Chưa giao"),"Đã xuất HĐ - chưa giao",IF(F452="","Chưa cập nhật giao hàng",IF(R452&gt;0,"Quá hạn "&amp;R452&amp;" ngày - đòi tiền",IF(P452&gt;0,"Chờ thu tiền",IF(P452&lt;0,"Kiểm tra thu thừa",IF(AND(F452="Đã giao",H452="Đã xuất"),"Hoàn tất","Theo dõi"))))))))</f>
        <v/>
      </c>
      <c r="U452" s="8"/>
    </row>
    <row r="453" customFormat="false" ht="15" hidden="false" customHeight="false" outlineLevel="0" collapsed="false">
      <c r="A453" s="8"/>
      <c r="B453" s="9"/>
      <c r="C453" s="8"/>
      <c r="D453" s="10" t="str">
        <f aca="false">IF(C453="","",IFERROR(VLOOKUP(C453,KhachHang!$A$2:$B$200,2,FALSE())&amp;"",""))</f>
        <v/>
      </c>
      <c r="E453" s="8"/>
      <c r="F453" s="8"/>
      <c r="G453" s="9"/>
      <c r="H453" s="8"/>
      <c r="I453" s="8"/>
      <c r="J453" s="9"/>
      <c r="K453" s="11" t="str">
        <f aca="false">IF(A453="","",SUMIFS(ChiTiet!$I$2:$I$2000,ChiTiet!$A$2:$A$2000,A453))</f>
        <v/>
      </c>
      <c r="L453" s="12"/>
      <c r="M453" s="11" t="str">
        <f aca="false">IF(A453="","",ROUND(K453*IF(L453="",0.08,L453),0))</f>
        <v/>
      </c>
      <c r="N453" s="11" t="str">
        <f aca="false">IF(A453="","",K453+M453)</f>
        <v/>
      </c>
      <c r="O453" s="11" t="str">
        <f aca="false">IF(A453="","",SUMIFS(ThuTien!$D$2:$D$2000,ThuTien!$B$2:$B$2000,A453))</f>
        <v/>
      </c>
      <c r="P453" s="11" t="str">
        <f aca="false">IF(A453="","",N453-O453)</f>
        <v/>
      </c>
      <c r="Q453" s="9"/>
      <c r="R453" s="10" t="str">
        <f aca="true">IF(A453="","",IF(AND(Q453&lt;&gt;"",P453&gt;0,TODAY()&gt;Q453),TODAY()-Q453,0))</f>
        <v/>
      </c>
      <c r="S453" s="10" t="str">
        <f aca="false">IF(A453="","",IF(N453=0,"Chưa có tiền hàng",IF(P453&lt;0,"Thu thừa",IF(P453=0,"Đã thu đủ",IF(O453&gt;0,"Thu một phần","Chưa thu")))))</f>
        <v/>
      </c>
      <c r="T453" s="10" t="str">
        <f aca="false">IF(A453="","",IF(AND(F453="Đã giao",H453&lt;&gt;"Đã xuất"),"Đã giao - CHƯA XUẤT HĐ",IF(AND(H453="Đã xuất",F453="Chưa giao"),"Đã xuất HĐ - chưa giao",IF(F453="","Chưa cập nhật giao hàng",IF(R453&gt;0,"Quá hạn "&amp;R453&amp;" ngày - đòi tiền",IF(P453&gt;0,"Chờ thu tiền",IF(P453&lt;0,"Kiểm tra thu thừa",IF(AND(F453="Đã giao",H453="Đã xuất"),"Hoàn tất","Theo dõi"))))))))</f>
        <v/>
      </c>
      <c r="U453" s="8"/>
    </row>
    <row r="454" customFormat="false" ht="15" hidden="false" customHeight="false" outlineLevel="0" collapsed="false">
      <c r="A454" s="8"/>
      <c r="B454" s="9"/>
      <c r="C454" s="8"/>
      <c r="D454" s="10" t="str">
        <f aca="false">IF(C454="","",IFERROR(VLOOKUP(C454,KhachHang!$A$2:$B$200,2,FALSE())&amp;"",""))</f>
        <v/>
      </c>
      <c r="E454" s="8"/>
      <c r="F454" s="8"/>
      <c r="G454" s="9"/>
      <c r="H454" s="8"/>
      <c r="I454" s="8"/>
      <c r="J454" s="9"/>
      <c r="K454" s="11" t="str">
        <f aca="false">IF(A454="","",SUMIFS(ChiTiet!$I$2:$I$2000,ChiTiet!$A$2:$A$2000,A454))</f>
        <v/>
      </c>
      <c r="L454" s="12"/>
      <c r="M454" s="11" t="str">
        <f aca="false">IF(A454="","",ROUND(K454*IF(L454="",0.08,L454),0))</f>
        <v/>
      </c>
      <c r="N454" s="11" t="str">
        <f aca="false">IF(A454="","",K454+M454)</f>
        <v/>
      </c>
      <c r="O454" s="11" t="str">
        <f aca="false">IF(A454="","",SUMIFS(ThuTien!$D$2:$D$2000,ThuTien!$B$2:$B$2000,A454))</f>
        <v/>
      </c>
      <c r="P454" s="11" t="str">
        <f aca="false">IF(A454="","",N454-O454)</f>
        <v/>
      </c>
      <c r="Q454" s="9"/>
      <c r="R454" s="10" t="str">
        <f aca="true">IF(A454="","",IF(AND(Q454&lt;&gt;"",P454&gt;0,TODAY()&gt;Q454),TODAY()-Q454,0))</f>
        <v/>
      </c>
      <c r="S454" s="10" t="str">
        <f aca="false">IF(A454="","",IF(N454=0,"Chưa có tiền hàng",IF(P454&lt;0,"Thu thừa",IF(P454=0,"Đã thu đủ",IF(O454&gt;0,"Thu một phần","Chưa thu")))))</f>
        <v/>
      </c>
      <c r="T454" s="10" t="str">
        <f aca="false">IF(A454="","",IF(AND(F454="Đã giao",H454&lt;&gt;"Đã xuất"),"Đã giao - CHƯA XUẤT HĐ",IF(AND(H454="Đã xuất",F454="Chưa giao"),"Đã xuất HĐ - chưa giao",IF(F454="","Chưa cập nhật giao hàng",IF(R454&gt;0,"Quá hạn "&amp;R454&amp;" ngày - đòi tiền",IF(P454&gt;0,"Chờ thu tiền",IF(P454&lt;0,"Kiểm tra thu thừa",IF(AND(F454="Đã giao",H454="Đã xuất"),"Hoàn tất","Theo dõi"))))))))</f>
        <v/>
      </c>
      <c r="U454" s="8"/>
    </row>
    <row r="455" customFormat="false" ht="15" hidden="false" customHeight="false" outlineLevel="0" collapsed="false">
      <c r="A455" s="8"/>
      <c r="B455" s="9"/>
      <c r="C455" s="8"/>
      <c r="D455" s="10" t="str">
        <f aca="false">IF(C455="","",IFERROR(VLOOKUP(C455,KhachHang!$A$2:$B$200,2,FALSE())&amp;"",""))</f>
        <v/>
      </c>
      <c r="E455" s="8"/>
      <c r="F455" s="8"/>
      <c r="G455" s="9"/>
      <c r="H455" s="8"/>
      <c r="I455" s="8"/>
      <c r="J455" s="9"/>
      <c r="K455" s="11" t="str">
        <f aca="false">IF(A455="","",SUMIFS(ChiTiet!$I$2:$I$2000,ChiTiet!$A$2:$A$2000,A455))</f>
        <v/>
      </c>
      <c r="L455" s="12"/>
      <c r="M455" s="11" t="str">
        <f aca="false">IF(A455="","",ROUND(K455*IF(L455="",0.08,L455),0))</f>
        <v/>
      </c>
      <c r="N455" s="11" t="str">
        <f aca="false">IF(A455="","",K455+M455)</f>
        <v/>
      </c>
      <c r="O455" s="11" t="str">
        <f aca="false">IF(A455="","",SUMIFS(ThuTien!$D$2:$D$2000,ThuTien!$B$2:$B$2000,A455))</f>
        <v/>
      </c>
      <c r="P455" s="11" t="str">
        <f aca="false">IF(A455="","",N455-O455)</f>
        <v/>
      </c>
      <c r="Q455" s="9"/>
      <c r="R455" s="10" t="str">
        <f aca="true">IF(A455="","",IF(AND(Q455&lt;&gt;"",P455&gt;0,TODAY()&gt;Q455),TODAY()-Q455,0))</f>
        <v/>
      </c>
      <c r="S455" s="10" t="str">
        <f aca="false">IF(A455="","",IF(N455=0,"Chưa có tiền hàng",IF(P455&lt;0,"Thu thừa",IF(P455=0,"Đã thu đủ",IF(O455&gt;0,"Thu một phần","Chưa thu")))))</f>
        <v/>
      </c>
      <c r="T455" s="10" t="str">
        <f aca="false">IF(A455="","",IF(AND(F455="Đã giao",H455&lt;&gt;"Đã xuất"),"Đã giao - CHƯA XUẤT HĐ",IF(AND(H455="Đã xuất",F455="Chưa giao"),"Đã xuất HĐ - chưa giao",IF(F455="","Chưa cập nhật giao hàng",IF(R455&gt;0,"Quá hạn "&amp;R455&amp;" ngày - đòi tiền",IF(P455&gt;0,"Chờ thu tiền",IF(P455&lt;0,"Kiểm tra thu thừa",IF(AND(F455="Đã giao",H455="Đã xuất"),"Hoàn tất","Theo dõi"))))))))</f>
        <v/>
      </c>
      <c r="U455" s="8"/>
    </row>
    <row r="456" customFormat="false" ht="15" hidden="false" customHeight="false" outlineLevel="0" collapsed="false">
      <c r="A456" s="8"/>
      <c r="B456" s="9"/>
      <c r="C456" s="8"/>
      <c r="D456" s="10" t="str">
        <f aca="false">IF(C456="","",IFERROR(VLOOKUP(C456,KhachHang!$A$2:$B$200,2,FALSE())&amp;"",""))</f>
        <v/>
      </c>
      <c r="E456" s="8"/>
      <c r="F456" s="8"/>
      <c r="G456" s="9"/>
      <c r="H456" s="8"/>
      <c r="I456" s="8"/>
      <c r="J456" s="9"/>
      <c r="K456" s="11" t="str">
        <f aca="false">IF(A456="","",SUMIFS(ChiTiet!$I$2:$I$2000,ChiTiet!$A$2:$A$2000,A456))</f>
        <v/>
      </c>
      <c r="L456" s="12"/>
      <c r="M456" s="11" t="str">
        <f aca="false">IF(A456="","",ROUND(K456*IF(L456="",0.08,L456),0))</f>
        <v/>
      </c>
      <c r="N456" s="11" t="str">
        <f aca="false">IF(A456="","",K456+M456)</f>
        <v/>
      </c>
      <c r="O456" s="11" t="str">
        <f aca="false">IF(A456="","",SUMIFS(ThuTien!$D$2:$D$2000,ThuTien!$B$2:$B$2000,A456))</f>
        <v/>
      </c>
      <c r="P456" s="11" t="str">
        <f aca="false">IF(A456="","",N456-O456)</f>
        <v/>
      </c>
      <c r="Q456" s="9"/>
      <c r="R456" s="10" t="str">
        <f aca="true">IF(A456="","",IF(AND(Q456&lt;&gt;"",P456&gt;0,TODAY()&gt;Q456),TODAY()-Q456,0))</f>
        <v/>
      </c>
      <c r="S456" s="10" t="str">
        <f aca="false">IF(A456="","",IF(N456=0,"Chưa có tiền hàng",IF(P456&lt;0,"Thu thừa",IF(P456=0,"Đã thu đủ",IF(O456&gt;0,"Thu một phần","Chưa thu")))))</f>
        <v/>
      </c>
      <c r="T456" s="10" t="str">
        <f aca="false">IF(A456="","",IF(AND(F456="Đã giao",H456&lt;&gt;"Đã xuất"),"Đã giao - CHƯA XUẤT HĐ",IF(AND(H456="Đã xuất",F456="Chưa giao"),"Đã xuất HĐ - chưa giao",IF(F456="","Chưa cập nhật giao hàng",IF(R456&gt;0,"Quá hạn "&amp;R456&amp;" ngày - đòi tiền",IF(P456&gt;0,"Chờ thu tiền",IF(P456&lt;0,"Kiểm tra thu thừa",IF(AND(F456="Đã giao",H456="Đã xuất"),"Hoàn tất","Theo dõi"))))))))</f>
        <v/>
      </c>
      <c r="U456" s="8"/>
    </row>
    <row r="457" customFormat="false" ht="15" hidden="false" customHeight="false" outlineLevel="0" collapsed="false">
      <c r="A457" s="8"/>
      <c r="B457" s="9"/>
      <c r="C457" s="8"/>
      <c r="D457" s="10" t="str">
        <f aca="false">IF(C457="","",IFERROR(VLOOKUP(C457,KhachHang!$A$2:$B$200,2,FALSE())&amp;"",""))</f>
        <v/>
      </c>
      <c r="E457" s="8"/>
      <c r="F457" s="8"/>
      <c r="G457" s="9"/>
      <c r="H457" s="8"/>
      <c r="I457" s="8"/>
      <c r="J457" s="9"/>
      <c r="K457" s="11" t="str">
        <f aca="false">IF(A457="","",SUMIFS(ChiTiet!$I$2:$I$2000,ChiTiet!$A$2:$A$2000,A457))</f>
        <v/>
      </c>
      <c r="L457" s="12"/>
      <c r="M457" s="11" t="str">
        <f aca="false">IF(A457="","",ROUND(K457*IF(L457="",0.08,L457),0))</f>
        <v/>
      </c>
      <c r="N457" s="11" t="str">
        <f aca="false">IF(A457="","",K457+M457)</f>
        <v/>
      </c>
      <c r="O457" s="11" t="str">
        <f aca="false">IF(A457="","",SUMIFS(ThuTien!$D$2:$D$2000,ThuTien!$B$2:$B$2000,A457))</f>
        <v/>
      </c>
      <c r="P457" s="11" t="str">
        <f aca="false">IF(A457="","",N457-O457)</f>
        <v/>
      </c>
      <c r="Q457" s="9"/>
      <c r="R457" s="10" t="str">
        <f aca="true">IF(A457="","",IF(AND(Q457&lt;&gt;"",P457&gt;0,TODAY()&gt;Q457),TODAY()-Q457,0))</f>
        <v/>
      </c>
      <c r="S457" s="10" t="str">
        <f aca="false">IF(A457="","",IF(N457=0,"Chưa có tiền hàng",IF(P457&lt;0,"Thu thừa",IF(P457=0,"Đã thu đủ",IF(O457&gt;0,"Thu một phần","Chưa thu")))))</f>
        <v/>
      </c>
      <c r="T457" s="10" t="str">
        <f aca="false">IF(A457="","",IF(AND(F457="Đã giao",H457&lt;&gt;"Đã xuất"),"Đã giao - CHƯA XUẤT HĐ",IF(AND(H457="Đã xuất",F457="Chưa giao"),"Đã xuất HĐ - chưa giao",IF(F457="","Chưa cập nhật giao hàng",IF(R457&gt;0,"Quá hạn "&amp;R457&amp;" ngày - đòi tiền",IF(P457&gt;0,"Chờ thu tiền",IF(P457&lt;0,"Kiểm tra thu thừa",IF(AND(F457="Đã giao",H457="Đã xuất"),"Hoàn tất","Theo dõi"))))))))</f>
        <v/>
      </c>
      <c r="U457" s="8"/>
    </row>
    <row r="458" customFormat="false" ht="15" hidden="false" customHeight="false" outlineLevel="0" collapsed="false">
      <c r="A458" s="8"/>
      <c r="B458" s="9"/>
      <c r="C458" s="8"/>
      <c r="D458" s="10" t="str">
        <f aca="false">IF(C458="","",IFERROR(VLOOKUP(C458,KhachHang!$A$2:$B$200,2,FALSE())&amp;"",""))</f>
        <v/>
      </c>
      <c r="E458" s="8"/>
      <c r="F458" s="8"/>
      <c r="G458" s="9"/>
      <c r="H458" s="8"/>
      <c r="I458" s="8"/>
      <c r="J458" s="9"/>
      <c r="K458" s="11" t="str">
        <f aca="false">IF(A458="","",SUMIFS(ChiTiet!$I$2:$I$2000,ChiTiet!$A$2:$A$2000,A458))</f>
        <v/>
      </c>
      <c r="L458" s="12"/>
      <c r="M458" s="11" t="str">
        <f aca="false">IF(A458="","",ROUND(K458*IF(L458="",0.08,L458),0))</f>
        <v/>
      </c>
      <c r="N458" s="11" t="str">
        <f aca="false">IF(A458="","",K458+M458)</f>
        <v/>
      </c>
      <c r="O458" s="11" t="str">
        <f aca="false">IF(A458="","",SUMIFS(ThuTien!$D$2:$D$2000,ThuTien!$B$2:$B$2000,A458))</f>
        <v/>
      </c>
      <c r="P458" s="11" t="str">
        <f aca="false">IF(A458="","",N458-O458)</f>
        <v/>
      </c>
      <c r="Q458" s="9"/>
      <c r="R458" s="10" t="str">
        <f aca="true">IF(A458="","",IF(AND(Q458&lt;&gt;"",P458&gt;0,TODAY()&gt;Q458),TODAY()-Q458,0))</f>
        <v/>
      </c>
      <c r="S458" s="10" t="str">
        <f aca="false">IF(A458="","",IF(N458=0,"Chưa có tiền hàng",IF(P458&lt;0,"Thu thừa",IF(P458=0,"Đã thu đủ",IF(O458&gt;0,"Thu một phần","Chưa thu")))))</f>
        <v/>
      </c>
      <c r="T458" s="10" t="str">
        <f aca="false">IF(A458="","",IF(AND(F458="Đã giao",H458&lt;&gt;"Đã xuất"),"Đã giao - CHƯA XUẤT HĐ",IF(AND(H458="Đã xuất",F458="Chưa giao"),"Đã xuất HĐ - chưa giao",IF(F458="","Chưa cập nhật giao hàng",IF(R458&gt;0,"Quá hạn "&amp;R458&amp;" ngày - đòi tiền",IF(P458&gt;0,"Chờ thu tiền",IF(P458&lt;0,"Kiểm tra thu thừa",IF(AND(F458="Đã giao",H458="Đã xuất"),"Hoàn tất","Theo dõi"))))))))</f>
        <v/>
      </c>
      <c r="U458" s="8"/>
    </row>
    <row r="459" customFormat="false" ht="15" hidden="false" customHeight="false" outlineLevel="0" collapsed="false">
      <c r="A459" s="8"/>
      <c r="B459" s="9"/>
      <c r="C459" s="8"/>
      <c r="D459" s="10" t="str">
        <f aca="false">IF(C459="","",IFERROR(VLOOKUP(C459,KhachHang!$A$2:$B$200,2,FALSE())&amp;"",""))</f>
        <v/>
      </c>
      <c r="E459" s="8"/>
      <c r="F459" s="8"/>
      <c r="G459" s="9"/>
      <c r="H459" s="8"/>
      <c r="I459" s="8"/>
      <c r="J459" s="9"/>
      <c r="K459" s="11" t="str">
        <f aca="false">IF(A459="","",SUMIFS(ChiTiet!$I$2:$I$2000,ChiTiet!$A$2:$A$2000,A459))</f>
        <v/>
      </c>
      <c r="L459" s="12"/>
      <c r="M459" s="11" t="str">
        <f aca="false">IF(A459="","",ROUND(K459*IF(L459="",0.08,L459),0))</f>
        <v/>
      </c>
      <c r="N459" s="11" t="str">
        <f aca="false">IF(A459="","",K459+M459)</f>
        <v/>
      </c>
      <c r="O459" s="11" t="str">
        <f aca="false">IF(A459="","",SUMIFS(ThuTien!$D$2:$D$2000,ThuTien!$B$2:$B$2000,A459))</f>
        <v/>
      </c>
      <c r="P459" s="11" t="str">
        <f aca="false">IF(A459="","",N459-O459)</f>
        <v/>
      </c>
      <c r="Q459" s="9"/>
      <c r="R459" s="10" t="str">
        <f aca="true">IF(A459="","",IF(AND(Q459&lt;&gt;"",P459&gt;0,TODAY()&gt;Q459),TODAY()-Q459,0))</f>
        <v/>
      </c>
      <c r="S459" s="10" t="str">
        <f aca="false">IF(A459="","",IF(N459=0,"Chưa có tiền hàng",IF(P459&lt;0,"Thu thừa",IF(P459=0,"Đã thu đủ",IF(O459&gt;0,"Thu một phần","Chưa thu")))))</f>
        <v/>
      </c>
      <c r="T459" s="10" t="str">
        <f aca="false">IF(A459="","",IF(AND(F459="Đã giao",H459&lt;&gt;"Đã xuất"),"Đã giao - CHƯA XUẤT HĐ",IF(AND(H459="Đã xuất",F459="Chưa giao"),"Đã xuất HĐ - chưa giao",IF(F459="","Chưa cập nhật giao hàng",IF(R459&gt;0,"Quá hạn "&amp;R459&amp;" ngày - đòi tiền",IF(P459&gt;0,"Chờ thu tiền",IF(P459&lt;0,"Kiểm tra thu thừa",IF(AND(F459="Đã giao",H459="Đã xuất"),"Hoàn tất","Theo dõi"))))))))</f>
        <v/>
      </c>
      <c r="U459" s="8"/>
    </row>
    <row r="460" customFormat="false" ht="15" hidden="false" customHeight="false" outlineLevel="0" collapsed="false">
      <c r="A460" s="8"/>
      <c r="B460" s="9"/>
      <c r="C460" s="8"/>
      <c r="D460" s="10" t="str">
        <f aca="false">IF(C460="","",IFERROR(VLOOKUP(C460,KhachHang!$A$2:$B$200,2,FALSE())&amp;"",""))</f>
        <v/>
      </c>
      <c r="E460" s="8"/>
      <c r="F460" s="8"/>
      <c r="G460" s="9"/>
      <c r="H460" s="8"/>
      <c r="I460" s="8"/>
      <c r="J460" s="9"/>
      <c r="K460" s="11" t="str">
        <f aca="false">IF(A460="","",SUMIFS(ChiTiet!$I$2:$I$2000,ChiTiet!$A$2:$A$2000,A460))</f>
        <v/>
      </c>
      <c r="L460" s="12"/>
      <c r="M460" s="11" t="str">
        <f aca="false">IF(A460="","",ROUND(K460*IF(L460="",0.08,L460),0))</f>
        <v/>
      </c>
      <c r="N460" s="11" t="str">
        <f aca="false">IF(A460="","",K460+M460)</f>
        <v/>
      </c>
      <c r="O460" s="11" t="str">
        <f aca="false">IF(A460="","",SUMIFS(ThuTien!$D$2:$D$2000,ThuTien!$B$2:$B$2000,A460))</f>
        <v/>
      </c>
      <c r="P460" s="11" t="str">
        <f aca="false">IF(A460="","",N460-O460)</f>
        <v/>
      </c>
      <c r="Q460" s="9"/>
      <c r="R460" s="10" t="str">
        <f aca="true">IF(A460="","",IF(AND(Q460&lt;&gt;"",P460&gt;0,TODAY()&gt;Q460),TODAY()-Q460,0))</f>
        <v/>
      </c>
      <c r="S460" s="10" t="str">
        <f aca="false">IF(A460="","",IF(N460=0,"Chưa có tiền hàng",IF(P460&lt;0,"Thu thừa",IF(P460=0,"Đã thu đủ",IF(O460&gt;0,"Thu một phần","Chưa thu")))))</f>
        <v/>
      </c>
      <c r="T460" s="10" t="str">
        <f aca="false">IF(A460="","",IF(AND(F460="Đã giao",H460&lt;&gt;"Đã xuất"),"Đã giao - CHƯA XUẤT HĐ",IF(AND(H460="Đã xuất",F460="Chưa giao"),"Đã xuất HĐ - chưa giao",IF(F460="","Chưa cập nhật giao hàng",IF(R460&gt;0,"Quá hạn "&amp;R460&amp;" ngày - đòi tiền",IF(P460&gt;0,"Chờ thu tiền",IF(P460&lt;0,"Kiểm tra thu thừa",IF(AND(F460="Đã giao",H460="Đã xuất"),"Hoàn tất","Theo dõi"))))))))</f>
        <v/>
      </c>
      <c r="U460" s="8"/>
    </row>
    <row r="461" customFormat="false" ht="15" hidden="false" customHeight="false" outlineLevel="0" collapsed="false">
      <c r="A461" s="8"/>
      <c r="B461" s="9"/>
      <c r="C461" s="8"/>
      <c r="D461" s="10" t="str">
        <f aca="false">IF(C461="","",IFERROR(VLOOKUP(C461,KhachHang!$A$2:$B$200,2,FALSE())&amp;"",""))</f>
        <v/>
      </c>
      <c r="E461" s="8"/>
      <c r="F461" s="8"/>
      <c r="G461" s="9"/>
      <c r="H461" s="8"/>
      <c r="I461" s="8"/>
      <c r="J461" s="9"/>
      <c r="K461" s="11" t="str">
        <f aca="false">IF(A461="","",SUMIFS(ChiTiet!$I$2:$I$2000,ChiTiet!$A$2:$A$2000,A461))</f>
        <v/>
      </c>
      <c r="L461" s="12"/>
      <c r="M461" s="11" t="str">
        <f aca="false">IF(A461="","",ROUND(K461*IF(L461="",0.08,L461),0))</f>
        <v/>
      </c>
      <c r="N461" s="11" t="str">
        <f aca="false">IF(A461="","",K461+M461)</f>
        <v/>
      </c>
      <c r="O461" s="11" t="str">
        <f aca="false">IF(A461="","",SUMIFS(ThuTien!$D$2:$D$2000,ThuTien!$B$2:$B$2000,A461))</f>
        <v/>
      </c>
      <c r="P461" s="11" t="str">
        <f aca="false">IF(A461="","",N461-O461)</f>
        <v/>
      </c>
      <c r="Q461" s="9"/>
      <c r="R461" s="10" t="str">
        <f aca="true">IF(A461="","",IF(AND(Q461&lt;&gt;"",P461&gt;0,TODAY()&gt;Q461),TODAY()-Q461,0))</f>
        <v/>
      </c>
      <c r="S461" s="10" t="str">
        <f aca="false">IF(A461="","",IF(N461=0,"Chưa có tiền hàng",IF(P461&lt;0,"Thu thừa",IF(P461=0,"Đã thu đủ",IF(O461&gt;0,"Thu một phần","Chưa thu")))))</f>
        <v/>
      </c>
      <c r="T461" s="10" t="str">
        <f aca="false">IF(A461="","",IF(AND(F461="Đã giao",H461&lt;&gt;"Đã xuất"),"Đã giao - CHƯA XUẤT HĐ",IF(AND(H461="Đã xuất",F461="Chưa giao"),"Đã xuất HĐ - chưa giao",IF(F461="","Chưa cập nhật giao hàng",IF(R461&gt;0,"Quá hạn "&amp;R461&amp;" ngày - đòi tiền",IF(P461&gt;0,"Chờ thu tiền",IF(P461&lt;0,"Kiểm tra thu thừa",IF(AND(F461="Đã giao",H461="Đã xuất"),"Hoàn tất","Theo dõi"))))))))</f>
        <v/>
      </c>
      <c r="U461" s="8"/>
    </row>
    <row r="462" customFormat="false" ht="15" hidden="false" customHeight="false" outlineLevel="0" collapsed="false">
      <c r="A462" s="8"/>
      <c r="B462" s="9"/>
      <c r="C462" s="8"/>
      <c r="D462" s="10" t="str">
        <f aca="false">IF(C462="","",IFERROR(VLOOKUP(C462,KhachHang!$A$2:$B$200,2,FALSE())&amp;"",""))</f>
        <v/>
      </c>
      <c r="E462" s="8"/>
      <c r="F462" s="8"/>
      <c r="G462" s="9"/>
      <c r="H462" s="8"/>
      <c r="I462" s="8"/>
      <c r="J462" s="9"/>
      <c r="K462" s="11" t="str">
        <f aca="false">IF(A462="","",SUMIFS(ChiTiet!$I$2:$I$2000,ChiTiet!$A$2:$A$2000,A462))</f>
        <v/>
      </c>
      <c r="L462" s="12"/>
      <c r="M462" s="11" t="str">
        <f aca="false">IF(A462="","",ROUND(K462*IF(L462="",0.08,L462),0))</f>
        <v/>
      </c>
      <c r="N462" s="11" t="str">
        <f aca="false">IF(A462="","",K462+M462)</f>
        <v/>
      </c>
      <c r="O462" s="11" t="str">
        <f aca="false">IF(A462="","",SUMIFS(ThuTien!$D$2:$D$2000,ThuTien!$B$2:$B$2000,A462))</f>
        <v/>
      </c>
      <c r="P462" s="11" t="str">
        <f aca="false">IF(A462="","",N462-O462)</f>
        <v/>
      </c>
      <c r="Q462" s="9"/>
      <c r="R462" s="10" t="str">
        <f aca="true">IF(A462="","",IF(AND(Q462&lt;&gt;"",P462&gt;0,TODAY()&gt;Q462),TODAY()-Q462,0))</f>
        <v/>
      </c>
      <c r="S462" s="10" t="str">
        <f aca="false">IF(A462="","",IF(N462=0,"Chưa có tiền hàng",IF(P462&lt;0,"Thu thừa",IF(P462=0,"Đã thu đủ",IF(O462&gt;0,"Thu một phần","Chưa thu")))))</f>
        <v/>
      </c>
      <c r="T462" s="10" t="str">
        <f aca="false">IF(A462="","",IF(AND(F462="Đã giao",H462&lt;&gt;"Đã xuất"),"Đã giao - CHƯA XUẤT HĐ",IF(AND(H462="Đã xuất",F462="Chưa giao"),"Đã xuất HĐ - chưa giao",IF(F462="","Chưa cập nhật giao hàng",IF(R462&gt;0,"Quá hạn "&amp;R462&amp;" ngày - đòi tiền",IF(P462&gt;0,"Chờ thu tiền",IF(P462&lt;0,"Kiểm tra thu thừa",IF(AND(F462="Đã giao",H462="Đã xuất"),"Hoàn tất","Theo dõi"))))))))</f>
        <v/>
      </c>
      <c r="U462" s="8"/>
    </row>
    <row r="463" customFormat="false" ht="15" hidden="false" customHeight="false" outlineLevel="0" collapsed="false">
      <c r="A463" s="8"/>
      <c r="B463" s="9"/>
      <c r="C463" s="8"/>
      <c r="D463" s="10" t="str">
        <f aca="false">IF(C463="","",IFERROR(VLOOKUP(C463,KhachHang!$A$2:$B$200,2,FALSE())&amp;"",""))</f>
        <v/>
      </c>
      <c r="E463" s="8"/>
      <c r="F463" s="8"/>
      <c r="G463" s="9"/>
      <c r="H463" s="8"/>
      <c r="I463" s="8"/>
      <c r="J463" s="9"/>
      <c r="K463" s="11" t="str">
        <f aca="false">IF(A463="","",SUMIFS(ChiTiet!$I$2:$I$2000,ChiTiet!$A$2:$A$2000,A463))</f>
        <v/>
      </c>
      <c r="L463" s="12"/>
      <c r="M463" s="11" t="str">
        <f aca="false">IF(A463="","",ROUND(K463*IF(L463="",0.08,L463),0))</f>
        <v/>
      </c>
      <c r="N463" s="11" t="str">
        <f aca="false">IF(A463="","",K463+M463)</f>
        <v/>
      </c>
      <c r="O463" s="11" t="str">
        <f aca="false">IF(A463="","",SUMIFS(ThuTien!$D$2:$D$2000,ThuTien!$B$2:$B$2000,A463))</f>
        <v/>
      </c>
      <c r="P463" s="11" t="str">
        <f aca="false">IF(A463="","",N463-O463)</f>
        <v/>
      </c>
      <c r="Q463" s="9"/>
      <c r="R463" s="10" t="str">
        <f aca="true">IF(A463="","",IF(AND(Q463&lt;&gt;"",P463&gt;0,TODAY()&gt;Q463),TODAY()-Q463,0))</f>
        <v/>
      </c>
      <c r="S463" s="10" t="str">
        <f aca="false">IF(A463="","",IF(N463=0,"Chưa có tiền hàng",IF(P463&lt;0,"Thu thừa",IF(P463=0,"Đã thu đủ",IF(O463&gt;0,"Thu một phần","Chưa thu")))))</f>
        <v/>
      </c>
      <c r="T463" s="10" t="str">
        <f aca="false">IF(A463="","",IF(AND(F463="Đã giao",H463&lt;&gt;"Đã xuất"),"Đã giao - CHƯA XUẤT HĐ",IF(AND(H463="Đã xuất",F463="Chưa giao"),"Đã xuất HĐ - chưa giao",IF(F463="","Chưa cập nhật giao hàng",IF(R463&gt;0,"Quá hạn "&amp;R463&amp;" ngày - đòi tiền",IF(P463&gt;0,"Chờ thu tiền",IF(P463&lt;0,"Kiểm tra thu thừa",IF(AND(F463="Đã giao",H463="Đã xuất"),"Hoàn tất","Theo dõi"))))))))</f>
        <v/>
      </c>
      <c r="U463" s="8"/>
    </row>
    <row r="464" customFormat="false" ht="15" hidden="false" customHeight="false" outlineLevel="0" collapsed="false">
      <c r="A464" s="8"/>
      <c r="B464" s="9"/>
      <c r="C464" s="8"/>
      <c r="D464" s="10" t="str">
        <f aca="false">IF(C464="","",IFERROR(VLOOKUP(C464,KhachHang!$A$2:$B$200,2,FALSE())&amp;"",""))</f>
        <v/>
      </c>
      <c r="E464" s="8"/>
      <c r="F464" s="8"/>
      <c r="G464" s="9"/>
      <c r="H464" s="8"/>
      <c r="I464" s="8"/>
      <c r="J464" s="9"/>
      <c r="K464" s="11" t="str">
        <f aca="false">IF(A464="","",SUMIFS(ChiTiet!$I$2:$I$2000,ChiTiet!$A$2:$A$2000,A464))</f>
        <v/>
      </c>
      <c r="L464" s="12"/>
      <c r="M464" s="11" t="str">
        <f aca="false">IF(A464="","",ROUND(K464*IF(L464="",0.08,L464),0))</f>
        <v/>
      </c>
      <c r="N464" s="11" t="str">
        <f aca="false">IF(A464="","",K464+M464)</f>
        <v/>
      </c>
      <c r="O464" s="11" t="str">
        <f aca="false">IF(A464="","",SUMIFS(ThuTien!$D$2:$D$2000,ThuTien!$B$2:$B$2000,A464))</f>
        <v/>
      </c>
      <c r="P464" s="11" t="str">
        <f aca="false">IF(A464="","",N464-O464)</f>
        <v/>
      </c>
      <c r="Q464" s="9"/>
      <c r="R464" s="10" t="str">
        <f aca="true">IF(A464="","",IF(AND(Q464&lt;&gt;"",P464&gt;0,TODAY()&gt;Q464),TODAY()-Q464,0))</f>
        <v/>
      </c>
      <c r="S464" s="10" t="str">
        <f aca="false">IF(A464="","",IF(N464=0,"Chưa có tiền hàng",IF(P464&lt;0,"Thu thừa",IF(P464=0,"Đã thu đủ",IF(O464&gt;0,"Thu một phần","Chưa thu")))))</f>
        <v/>
      </c>
      <c r="T464" s="10" t="str">
        <f aca="false">IF(A464="","",IF(AND(F464="Đã giao",H464&lt;&gt;"Đã xuất"),"Đã giao - CHƯA XUẤT HĐ",IF(AND(H464="Đã xuất",F464="Chưa giao"),"Đã xuất HĐ - chưa giao",IF(F464="","Chưa cập nhật giao hàng",IF(R464&gt;0,"Quá hạn "&amp;R464&amp;" ngày - đòi tiền",IF(P464&gt;0,"Chờ thu tiền",IF(P464&lt;0,"Kiểm tra thu thừa",IF(AND(F464="Đã giao",H464="Đã xuất"),"Hoàn tất","Theo dõi"))))))))</f>
        <v/>
      </c>
      <c r="U464" s="8"/>
    </row>
    <row r="465" customFormat="false" ht="15" hidden="false" customHeight="false" outlineLevel="0" collapsed="false">
      <c r="A465" s="8"/>
      <c r="B465" s="9"/>
      <c r="C465" s="8"/>
      <c r="D465" s="10" t="str">
        <f aca="false">IF(C465="","",IFERROR(VLOOKUP(C465,KhachHang!$A$2:$B$200,2,FALSE())&amp;"",""))</f>
        <v/>
      </c>
      <c r="E465" s="8"/>
      <c r="F465" s="8"/>
      <c r="G465" s="9"/>
      <c r="H465" s="8"/>
      <c r="I465" s="8"/>
      <c r="J465" s="9"/>
      <c r="K465" s="11" t="str">
        <f aca="false">IF(A465="","",SUMIFS(ChiTiet!$I$2:$I$2000,ChiTiet!$A$2:$A$2000,A465))</f>
        <v/>
      </c>
      <c r="L465" s="12"/>
      <c r="M465" s="11" t="str">
        <f aca="false">IF(A465="","",ROUND(K465*IF(L465="",0.08,L465),0))</f>
        <v/>
      </c>
      <c r="N465" s="11" t="str">
        <f aca="false">IF(A465="","",K465+M465)</f>
        <v/>
      </c>
      <c r="O465" s="11" t="str">
        <f aca="false">IF(A465="","",SUMIFS(ThuTien!$D$2:$D$2000,ThuTien!$B$2:$B$2000,A465))</f>
        <v/>
      </c>
      <c r="P465" s="11" t="str">
        <f aca="false">IF(A465="","",N465-O465)</f>
        <v/>
      </c>
      <c r="Q465" s="9"/>
      <c r="R465" s="10" t="str">
        <f aca="true">IF(A465="","",IF(AND(Q465&lt;&gt;"",P465&gt;0,TODAY()&gt;Q465),TODAY()-Q465,0))</f>
        <v/>
      </c>
      <c r="S465" s="10" t="str">
        <f aca="false">IF(A465="","",IF(N465=0,"Chưa có tiền hàng",IF(P465&lt;0,"Thu thừa",IF(P465=0,"Đã thu đủ",IF(O465&gt;0,"Thu một phần","Chưa thu")))))</f>
        <v/>
      </c>
      <c r="T465" s="10" t="str">
        <f aca="false">IF(A465="","",IF(AND(F465="Đã giao",H465&lt;&gt;"Đã xuất"),"Đã giao - CHƯA XUẤT HĐ",IF(AND(H465="Đã xuất",F465="Chưa giao"),"Đã xuất HĐ - chưa giao",IF(F465="","Chưa cập nhật giao hàng",IF(R465&gt;0,"Quá hạn "&amp;R465&amp;" ngày - đòi tiền",IF(P465&gt;0,"Chờ thu tiền",IF(P465&lt;0,"Kiểm tra thu thừa",IF(AND(F465="Đã giao",H465="Đã xuất"),"Hoàn tất","Theo dõi"))))))))</f>
        <v/>
      </c>
      <c r="U465" s="8"/>
    </row>
    <row r="466" customFormat="false" ht="15" hidden="false" customHeight="false" outlineLevel="0" collapsed="false">
      <c r="A466" s="8"/>
      <c r="B466" s="9"/>
      <c r="C466" s="8"/>
      <c r="D466" s="10" t="str">
        <f aca="false">IF(C466="","",IFERROR(VLOOKUP(C466,KhachHang!$A$2:$B$200,2,FALSE())&amp;"",""))</f>
        <v/>
      </c>
      <c r="E466" s="8"/>
      <c r="F466" s="8"/>
      <c r="G466" s="9"/>
      <c r="H466" s="8"/>
      <c r="I466" s="8"/>
      <c r="J466" s="9"/>
      <c r="K466" s="11" t="str">
        <f aca="false">IF(A466="","",SUMIFS(ChiTiet!$I$2:$I$2000,ChiTiet!$A$2:$A$2000,A466))</f>
        <v/>
      </c>
      <c r="L466" s="12"/>
      <c r="M466" s="11" t="str">
        <f aca="false">IF(A466="","",ROUND(K466*IF(L466="",0.08,L466),0))</f>
        <v/>
      </c>
      <c r="N466" s="11" t="str">
        <f aca="false">IF(A466="","",K466+M466)</f>
        <v/>
      </c>
      <c r="O466" s="11" t="str">
        <f aca="false">IF(A466="","",SUMIFS(ThuTien!$D$2:$D$2000,ThuTien!$B$2:$B$2000,A466))</f>
        <v/>
      </c>
      <c r="P466" s="11" t="str">
        <f aca="false">IF(A466="","",N466-O466)</f>
        <v/>
      </c>
      <c r="Q466" s="9"/>
      <c r="R466" s="10" t="str">
        <f aca="true">IF(A466="","",IF(AND(Q466&lt;&gt;"",P466&gt;0,TODAY()&gt;Q466),TODAY()-Q466,0))</f>
        <v/>
      </c>
      <c r="S466" s="10" t="str">
        <f aca="false">IF(A466="","",IF(N466=0,"Chưa có tiền hàng",IF(P466&lt;0,"Thu thừa",IF(P466=0,"Đã thu đủ",IF(O466&gt;0,"Thu một phần","Chưa thu")))))</f>
        <v/>
      </c>
      <c r="T466" s="10" t="str">
        <f aca="false">IF(A466="","",IF(AND(F466="Đã giao",H466&lt;&gt;"Đã xuất"),"Đã giao - CHƯA XUẤT HĐ",IF(AND(H466="Đã xuất",F466="Chưa giao"),"Đã xuất HĐ - chưa giao",IF(F466="","Chưa cập nhật giao hàng",IF(R466&gt;0,"Quá hạn "&amp;R466&amp;" ngày - đòi tiền",IF(P466&gt;0,"Chờ thu tiền",IF(P466&lt;0,"Kiểm tra thu thừa",IF(AND(F466="Đã giao",H466="Đã xuất"),"Hoàn tất","Theo dõi"))))))))</f>
        <v/>
      </c>
      <c r="U466" s="8"/>
    </row>
    <row r="467" customFormat="false" ht="15" hidden="false" customHeight="false" outlineLevel="0" collapsed="false">
      <c r="A467" s="8"/>
      <c r="B467" s="9"/>
      <c r="C467" s="8"/>
      <c r="D467" s="10" t="str">
        <f aca="false">IF(C467="","",IFERROR(VLOOKUP(C467,KhachHang!$A$2:$B$200,2,FALSE())&amp;"",""))</f>
        <v/>
      </c>
      <c r="E467" s="8"/>
      <c r="F467" s="8"/>
      <c r="G467" s="9"/>
      <c r="H467" s="8"/>
      <c r="I467" s="8"/>
      <c r="J467" s="9"/>
      <c r="K467" s="11" t="str">
        <f aca="false">IF(A467="","",SUMIFS(ChiTiet!$I$2:$I$2000,ChiTiet!$A$2:$A$2000,A467))</f>
        <v/>
      </c>
      <c r="L467" s="12"/>
      <c r="M467" s="11" t="str">
        <f aca="false">IF(A467="","",ROUND(K467*IF(L467="",0.08,L467),0))</f>
        <v/>
      </c>
      <c r="N467" s="11" t="str">
        <f aca="false">IF(A467="","",K467+M467)</f>
        <v/>
      </c>
      <c r="O467" s="11" t="str">
        <f aca="false">IF(A467="","",SUMIFS(ThuTien!$D$2:$D$2000,ThuTien!$B$2:$B$2000,A467))</f>
        <v/>
      </c>
      <c r="P467" s="11" t="str">
        <f aca="false">IF(A467="","",N467-O467)</f>
        <v/>
      </c>
      <c r="Q467" s="9"/>
      <c r="R467" s="10" t="str">
        <f aca="true">IF(A467="","",IF(AND(Q467&lt;&gt;"",P467&gt;0,TODAY()&gt;Q467),TODAY()-Q467,0))</f>
        <v/>
      </c>
      <c r="S467" s="10" t="str">
        <f aca="false">IF(A467="","",IF(N467=0,"Chưa có tiền hàng",IF(P467&lt;0,"Thu thừa",IF(P467=0,"Đã thu đủ",IF(O467&gt;0,"Thu một phần","Chưa thu")))))</f>
        <v/>
      </c>
      <c r="T467" s="10" t="str">
        <f aca="false">IF(A467="","",IF(AND(F467="Đã giao",H467&lt;&gt;"Đã xuất"),"Đã giao - CHƯA XUẤT HĐ",IF(AND(H467="Đã xuất",F467="Chưa giao"),"Đã xuất HĐ - chưa giao",IF(F467="","Chưa cập nhật giao hàng",IF(R467&gt;0,"Quá hạn "&amp;R467&amp;" ngày - đòi tiền",IF(P467&gt;0,"Chờ thu tiền",IF(P467&lt;0,"Kiểm tra thu thừa",IF(AND(F467="Đã giao",H467="Đã xuất"),"Hoàn tất","Theo dõi"))))))))</f>
        <v/>
      </c>
      <c r="U467" s="8"/>
    </row>
    <row r="468" customFormat="false" ht="15" hidden="false" customHeight="false" outlineLevel="0" collapsed="false">
      <c r="A468" s="8"/>
      <c r="B468" s="9"/>
      <c r="C468" s="8"/>
      <c r="D468" s="10" t="str">
        <f aca="false">IF(C468="","",IFERROR(VLOOKUP(C468,KhachHang!$A$2:$B$200,2,FALSE())&amp;"",""))</f>
        <v/>
      </c>
      <c r="E468" s="8"/>
      <c r="F468" s="8"/>
      <c r="G468" s="9"/>
      <c r="H468" s="8"/>
      <c r="I468" s="8"/>
      <c r="J468" s="9"/>
      <c r="K468" s="11" t="str">
        <f aca="false">IF(A468="","",SUMIFS(ChiTiet!$I$2:$I$2000,ChiTiet!$A$2:$A$2000,A468))</f>
        <v/>
      </c>
      <c r="L468" s="12"/>
      <c r="M468" s="11" t="str">
        <f aca="false">IF(A468="","",ROUND(K468*IF(L468="",0.08,L468),0))</f>
        <v/>
      </c>
      <c r="N468" s="11" t="str">
        <f aca="false">IF(A468="","",K468+M468)</f>
        <v/>
      </c>
      <c r="O468" s="11" t="str">
        <f aca="false">IF(A468="","",SUMIFS(ThuTien!$D$2:$D$2000,ThuTien!$B$2:$B$2000,A468))</f>
        <v/>
      </c>
      <c r="P468" s="11" t="str">
        <f aca="false">IF(A468="","",N468-O468)</f>
        <v/>
      </c>
      <c r="Q468" s="9"/>
      <c r="R468" s="10" t="str">
        <f aca="true">IF(A468="","",IF(AND(Q468&lt;&gt;"",P468&gt;0,TODAY()&gt;Q468),TODAY()-Q468,0))</f>
        <v/>
      </c>
      <c r="S468" s="10" t="str">
        <f aca="false">IF(A468="","",IF(N468=0,"Chưa có tiền hàng",IF(P468&lt;0,"Thu thừa",IF(P468=0,"Đã thu đủ",IF(O468&gt;0,"Thu một phần","Chưa thu")))))</f>
        <v/>
      </c>
      <c r="T468" s="10" t="str">
        <f aca="false">IF(A468="","",IF(AND(F468="Đã giao",H468&lt;&gt;"Đã xuất"),"Đã giao - CHƯA XUẤT HĐ",IF(AND(H468="Đã xuất",F468="Chưa giao"),"Đã xuất HĐ - chưa giao",IF(F468="","Chưa cập nhật giao hàng",IF(R468&gt;0,"Quá hạn "&amp;R468&amp;" ngày - đòi tiền",IF(P468&gt;0,"Chờ thu tiền",IF(P468&lt;0,"Kiểm tra thu thừa",IF(AND(F468="Đã giao",H468="Đã xuất"),"Hoàn tất","Theo dõi"))))))))</f>
        <v/>
      </c>
      <c r="U468" s="8"/>
    </row>
    <row r="469" customFormat="false" ht="15" hidden="false" customHeight="false" outlineLevel="0" collapsed="false">
      <c r="A469" s="8"/>
      <c r="B469" s="9"/>
      <c r="C469" s="8"/>
      <c r="D469" s="10" t="str">
        <f aca="false">IF(C469="","",IFERROR(VLOOKUP(C469,KhachHang!$A$2:$B$200,2,FALSE())&amp;"",""))</f>
        <v/>
      </c>
      <c r="E469" s="8"/>
      <c r="F469" s="8"/>
      <c r="G469" s="9"/>
      <c r="H469" s="8"/>
      <c r="I469" s="8"/>
      <c r="J469" s="9"/>
      <c r="K469" s="11" t="str">
        <f aca="false">IF(A469="","",SUMIFS(ChiTiet!$I$2:$I$2000,ChiTiet!$A$2:$A$2000,A469))</f>
        <v/>
      </c>
      <c r="L469" s="12"/>
      <c r="M469" s="11" t="str">
        <f aca="false">IF(A469="","",ROUND(K469*IF(L469="",0.08,L469),0))</f>
        <v/>
      </c>
      <c r="N469" s="11" t="str">
        <f aca="false">IF(A469="","",K469+M469)</f>
        <v/>
      </c>
      <c r="O469" s="11" t="str">
        <f aca="false">IF(A469="","",SUMIFS(ThuTien!$D$2:$D$2000,ThuTien!$B$2:$B$2000,A469))</f>
        <v/>
      </c>
      <c r="P469" s="11" t="str">
        <f aca="false">IF(A469="","",N469-O469)</f>
        <v/>
      </c>
      <c r="Q469" s="9"/>
      <c r="R469" s="10" t="str">
        <f aca="true">IF(A469="","",IF(AND(Q469&lt;&gt;"",P469&gt;0,TODAY()&gt;Q469),TODAY()-Q469,0))</f>
        <v/>
      </c>
      <c r="S469" s="10" t="str">
        <f aca="false">IF(A469="","",IF(N469=0,"Chưa có tiền hàng",IF(P469&lt;0,"Thu thừa",IF(P469=0,"Đã thu đủ",IF(O469&gt;0,"Thu một phần","Chưa thu")))))</f>
        <v/>
      </c>
      <c r="T469" s="10" t="str">
        <f aca="false">IF(A469="","",IF(AND(F469="Đã giao",H469&lt;&gt;"Đã xuất"),"Đã giao - CHƯA XUẤT HĐ",IF(AND(H469="Đã xuất",F469="Chưa giao"),"Đã xuất HĐ - chưa giao",IF(F469="","Chưa cập nhật giao hàng",IF(R469&gt;0,"Quá hạn "&amp;R469&amp;" ngày - đòi tiền",IF(P469&gt;0,"Chờ thu tiền",IF(P469&lt;0,"Kiểm tra thu thừa",IF(AND(F469="Đã giao",H469="Đã xuất"),"Hoàn tất","Theo dõi"))))))))</f>
        <v/>
      </c>
      <c r="U469" s="8"/>
    </row>
    <row r="470" customFormat="false" ht="15" hidden="false" customHeight="false" outlineLevel="0" collapsed="false">
      <c r="A470" s="8"/>
      <c r="B470" s="9"/>
      <c r="C470" s="8"/>
      <c r="D470" s="10" t="str">
        <f aca="false">IF(C470="","",IFERROR(VLOOKUP(C470,KhachHang!$A$2:$B$200,2,FALSE())&amp;"",""))</f>
        <v/>
      </c>
      <c r="E470" s="8"/>
      <c r="F470" s="8"/>
      <c r="G470" s="9"/>
      <c r="H470" s="8"/>
      <c r="I470" s="8"/>
      <c r="J470" s="9"/>
      <c r="K470" s="11" t="str">
        <f aca="false">IF(A470="","",SUMIFS(ChiTiet!$I$2:$I$2000,ChiTiet!$A$2:$A$2000,A470))</f>
        <v/>
      </c>
      <c r="L470" s="12"/>
      <c r="M470" s="11" t="str">
        <f aca="false">IF(A470="","",ROUND(K470*IF(L470="",0.08,L470),0))</f>
        <v/>
      </c>
      <c r="N470" s="11" t="str">
        <f aca="false">IF(A470="","",K470+M470)</f>
        <v/>
      </c>
      <c r="O470" s="11" t="str">
        <f aca="false">IF(A470="","",SUMIFS(ThuTien!$D$2:$D$2000,ThuTien!$B$2:$B$2000,A470))</f>
        <v/>
      </c>
      <c r="P470" s="11" t="str">
        <f aca="false">IF(A470="","",N470-O470)</f>
        <v/>
      </c>
      <c r="Q470" s="9"/>
      <c r="R470" s="10" t="str">
        <f aca="true">IF(A470="","",IF(AND(Q470&lt;&gt;"",P470&gt;0,TODAY()&gt;Q470),TODAY()-Q470,0))</f>
        <v/>
      </c>
      <c r="S470" s="10" t="str">
        <f aca="false">IF(A470="","",IF(N470=0,"Chưa có tiền hàng",IF(P470&lt;0,"Thu thừa",IF(P470=0,"Đã thu đủ",IF(O470&gt;0,"Thu một phần","Chưa thu")))))</f>
        <v/>
      </c>
      <c r="T470" s="10" t="str">
        <f aca="false">IF(A470="","",IF(AND(F470="Đã giao",H470&lt;&gt;"Đã xuất"),"Đã giao - CHƯA XUẤT HĐ",IF(AND(H470="Đã xuất",F470="Chưa giao"),"Đã xuất HĐ - chưa giao",IF(F470="","Chưa cập nhật giao hàng",IF(R470&gt;0,"Quá hạn "&amp;R470&amp;" ngày - đòi tiền",IF(P470&gt;0,"Chờ thu tiền",IF(P470&lt;0,"Kiểm tra thu thừa",IF(AND(F470="Đã giao",H470="Đã xuất"),"Hoàn tất","Theo dõi"))))))))</f>
        <v/>
      </c>
      <c r="U470" s="8"/>
    </row>
    <row r="471" customFormat="false" ht="15" hidden="false" customHeight="false" outlineLevel="0" collapsed="false">
      <c r="A471" s="8"/>
      <c r="B471" s="9"/>
      <c r="C471" s="8"/>
      <c r="D471" s="10" t="str">
        <f aca="false">IF(C471="","",IFERROR(VLOOKUP(C471,KhachHang!$A$2:$B$200,2,FALSE())&amp;"",""))</f>
        <v/>
      </c>
      <c r="E471" s="8"/>
      <c r="F471" s="8"/>
      <c r="G471" s="9"/>
      <c r="H471" s="8"/>
      <c r="I471" s="8"/>
      <c r="J471" s="9"/>
      <c r="K471" s="11" t="str">
        <f aca="false">IF(A471="","",SUMIFS(ChiTiet!$I$2:$I$2000,ChiTiet!$A$2:$A$2000,A471))</f>
        <v/>
      </c>
      <c r="L471" s="12"/>
      <c r="M471" s="11" t="str">
        <f aca="false">IF(A471="","",ROUND(K471*IF(L471="",0.08,L471),0))</f>
        <v/>
      </c>
      <c r="N471" s="11" t="str">
        <f aca="false">IF(A471="","",K471+M471)</f>
        <v/>
      </c>
      <c r="O471" s="11" t="str">
        <f aca="false">IF(A471="","",SUMIFS(ThuTien!$D$2:$D$2000,ThuTien!$B$2:$B$2000,A471))</f>
        <v/>
      </c>
      <c r="P471" s="11" t="str">
        <f aca="false">IF(A471="","",N471-O471)</f>
        <v/>
      </c>
      <c r="Q471" s="9"/>
      <c r="R471" s="10" t="str">
        <f aca="true">IF(A471="","",IF(AND(Q471&lt;&gt;"",P471&gt;0,TODAY()&gt;Q471),TODAY()-Q471,0))</f>
        <v/>
      </c>
      <c r="S471" s="10" t="str">
        <f aca="false">IF(A471="","",IF(N471=0,"Chưa có tiền hàng",IF(P471&lt;0,"Thu thừa",IF(P471=0,"Đã thu đủ",IF(O471&gt;0,"Thu một phần","Chưa thu")))))</f>
        <v/>
      </c>
      <c r="T471" s="10" t="str">
        <f aca="false">IF(A471="","",IF(AND(F471="Đã giao",H471&lt;&gt;"Đã xuất"),"Đã giao - CHƯA XUẤT HĐ",IF(AND(H471="Đã xuất",F471="Chưa giao"),"Đã xuất HĐ - chưa giao",IF(F471="","Chưa cập nhật giao hàng",IF(R471&gt;0,"Quá hạn "&amp;R471&amp;" ngày - đòi tiền",IF(P471&gt;0,"Chờ thu tiền",IF(P471&lt;0,"Kiểm tra thu thừa",IF(AND(F471="Đã giao",H471="Đã xuất"),"Hoàn tất","Theo dõi"))))))))</f>
        <v/>
      </c>
      <c r="U471" s="8"/>
    </row>
    <row r="472" customFormat="false" ht="15" hidden="false" customHeight="false" outlineLevel="0" collapsed="false">
      <c r="A472" s="8"/>
      <c r="B472" s="9"/>
      <c r="C472" s="8"/>
      <c r="D472" s="10" t="str">
        <f aca="false">IF(C472="","",IFERROR(VLOOKUP(C472,KhachHang!$A$2:$B$200,2,FALSE())&amp;"",""))</f>
        <v/>
      </c>
      <c r="E472" s="8"/>
      <c r="F472" s="8"/>
      <c r="G472" s="9"/>
      <c r="H472" s="8"/>
      <c r="I472" s="8"/>
      <c r="J472" s="9"/>
      <c r="K472" s="11" t="str">
        <f aca="false">IF(A472="","",SUMIFS(ChiTiet!$I$2:$I$2000,ChiTiet!$A$2:$A$2000,A472))</f>
        <v/>
      </c>
      <c r="L472" s="12"/>
      <c r="M472" s="11" t="str">
        <f aca="false">IF(A472="","",ROUND(K472*IF(L472="",0.08,L472),0))</f>
        <v/>
      </c>
      <c r="N472" s="11" t="str">
        <f aca="false">IF(A472="","",K472+M472)</f>
        <v/>
      </c>
      <c r="O472" s="11" t="str">
        <f aca="false">IF(A472="","",SUMIFS(ThuTien!$D$2:$D$2000,ThuTien!$B$2:$B$2000,A472))</f>
        <v/>
      </c>
      <c r="P472" s="11" t="str">
        <f aca="false">IF(A472="","",N472-O472)</f>
        <v/>
      </c>
      <c r="Q472" s="9"/>
      <c r="R472" s="10" t="str">
        <f aca="true">IF(A472="","",IF(AND(Q472&lt;&gt;"",P472&gt;0,TODAY()&gt;Q472),TODAY()-Q472,0))</f>
        <v/>
      </c>
      <c r="S472" s="10" t="str">
        <f aca="false">IF(A472="","",IF(N472=0,"Chưa có tiền hàng",IF(P472&lt;0,"Thu thừa",IF(P472=0,"Đã thu đủ",IF(O472&gt;0,"Thu một phần","Chưa thu")))))</f>
        <v/>
      </c>
      <c r="T472" s="10" t="str">
        <f aca="false">IF(A472="","",IF(AND(F472="Đã giao",H472&lt;&gt;"Đã xuất"),"Đã giao - CHƯA XUẤT HĐ",IF(AND(H472="Đã xuất",F472="Chưa giao"),"Đã xuất HĐ - chưa giao",IF(F472="","Chưa cập nhật giao hàng",IF(R472&gt;0,"Quá hạn "&amp;R472&amp;" ngày - đòi tiền",IF(P472&gt;0,"Chờ thu tiền",IF(P472&lt;0,"Kiểm tra thu thừa",IF(AND(F472="Đã giao",H472="Đã xuất"),"Hoàn tất","Theo dõi"))))))))</f>
        <v/>
      </c>
      <c r="U472" s="8"/>
    </row>
    <row r="473" customFormat="false" ht="15" hidden="false" customHeight="false" outlineLevel="0" collapsed="false">
      <c r="A473" s="8"/>
      <c r="B473" s="9"/>
      <c r="C473" s="8"/>
      <c r="D473" s="10" t="str">
        <f aca="false">IF(C473="","",IFERROR(VLOOKUP(C473,KhachHang!$A$2:$B$200,2,FALSE())&amp;"",""))</f>
        <v/>
      </c>
      <c r="E473" s="8"/>
      <c r="F473" s="8"/>
      <c r="G473" s="9"/>
      <c r="H473" s="8"/>
      <c r="I473" s="8"/>
      <c r="J473" s="9"/>
      <c r="K473" s="11" t="str">
        <f aca="false">IF(A473="","",SUMIFS(ChiTiet!$I$2:$I$2000,ChiTiet!$A$2:$A$2000,A473))</f>
        <v/>
      </c>
      <c r="L473" s="12"/>
      <c r="M473" s="11" t="str">
        <f aca="false">IF(A473="","",ROUND(K473*IF(L473="",0.08,L473),0))</f>
        <v/>
      </c>
      <c r="N473" s="11" t="str">
        <f aca="false">IF(A473="","",K473+M473)</f>
        <v/>
      </c>
      <c r="O473" s="11" t="str">
        <f aca="false">IF(A473="","",SUMIFS(ThuTien!$D$2:$D$2000,ThuTien!$B$2:$B$2000,A473))</f>
        <v/>
      </c>
      <c r="P473" s="11" t="str">
        <f aca="false">IF(A473="","",N473-O473)</f>
        <v/>
      </c>
      <c r="Q473" s="9"/>
      <c r="R473" s="10" t="str">
        <f aca="true">IF(A473="","",IF(AND(Q473&lt;&gt;"",P473&gt;0,TODAY()&gt;Q473),TODAY()-Q473,0))</f>
        <v/>
      </c>
      <c r="S473" s="10" t="str">
        <f aca="false">IF(A473="","",IF(N473=0,"Chưa có tiền hàng",IF(P473&lt;0,"Thu thừa",IF(P473=0,"Đã thu đủ",IF(O473&gt;0,"Thu một phần","Chưa thu")))))</f>
        <v/>
      </c>
      <c r="T473" s="10" t="str">
        <f aca="false">IF(A473="","",IF(AND(F473="Đã giao",H473&lt;&gt;"Đã xuất"),"Đã giao - CHƯA XUẤT HĐ",IF(AND(H473="Đã xuất",F473="Chưa giao"),"Đã xuất HĐ - chưa giao",IF(F473="","Chưa cập nhật giao hàng",IF(R473&gt;0,"Quá hạn "&amp;R473&amp;" ngày - đòi tiền",IF(P473&gt;0,"Chờ thu tiền",IF(P473&lt;0,"Kiểm tra thu thừa",IF(AND(F473="Đã giao",H473="Đã xuất"),"Hoàn tất","Theo dõi"))))))))</f>
        <v/>
      </c>
      <c r="U473" s="8"/>
    </row>
    <row r="474" customFormat="false" ht="15" hidden="false" customHeight="false" outlineLevel="0" collapsed="false">
      <c r="A474" s="8"/>
      <c r="B474" s="9"/>
      <c r="C474" s="8"/>
      <c r="D474" s="10" t="str">
        <f aca="false">IF(C474="","",IFERROR(VLOOKUP(C474,KhachHang!$A$2:$B$200,2,FALSE())&amp;"",""))</f>
        <v/>
      </c>
      <c r="E474" s="8"/>
      <c r="F474" s="8"/>
      <c r="G474" s="9"/>
      <c r="H474" s="8"/>
      <c r="I474" s="8"/>
      <c r="J474" s="9"/>
      <c r="K474" s="11" t="str">
        <f aca="false">IF(A474="","",SUMIFS(ChiTiet!$I$2:$I$2000,ChiTiet!$A$2:$A$2000,A474))</f>
        <v/>
      </c>
      <c r="L474" s="12"/>
      <c r="M474" s="11" t="str">
        <f aca="false">IF(A474="","",ROUND(K474*IF(L474="",0.08,L474),0))</f>
        <v/>
      </c>
      <c r="N474" s="11" t="str">
        <f aca="false">IF(A474="","",K474+M474)</f>
        <v/>
      </c>
      <c r="O474" s="11" t="str">
        <f aca="false">IF(A474="","",SUMIFS(ThuTien!$D$2:$D$2000,ThuTien!$B$2:$B$2000,A474))</f>
        <v/>
      </c>
      <c r="P474" s="11" t="str">
        <f aca="false">IF(A474="","",N474-O474)</f>
        <v/>
      </c>
      <c r="Q474" s="9"/>
      <c r="R474" s="10" t="str">
        <f aca="true">IF(A474="","",IF(AND(Q474&lt;&gt;"",P474&gt;0,TODAY()&gt;Q474),TODAY()-Q474,0))</f>
        <v/>
      </c>
      <c r="S474" s="10" t="str">
        <f aca="false">IF(A474="","",IF(N474=0,"Chưa có tiền hàng",IF(P474&lt;0,"Thu thừa",IF(P474=0,"Đã thu đủ",IF(O474&gt;0,"Thu một phần","Chưa thu")))))</f>
        <v/>
      </c>
      <c r="T474" s="10" t="str">
        <f aca="false">IF(A474="","",IF(AND(F474="Đã giao",H474&lt;&gt;"Đã xuất"),"Đã giao - CHƯA XUẤT HĐ",IF(AND(H474="Đã xuất",F474="Chưa giao"),"Đã xuất HĐ - chưa giao",IF(F474="","Chưa cập nhật giao hàng",IF(R474&gt;0,"Quá hạn "&amp;R474&amp;" ngày - đòi tiền",IF(P474&gt;0,"Chờ thu tiền",IF(P474&lt;0,"Kiểm tra thu thừa",IF(AND(F474="Đã giao",H474="Đã xuất"),"Hoàn tất","Theo dõi"))))))))</f>
        <v/>
      </c>
      <c r="U474" s="8"/>
    </row>
    <row r="475" customFormat="false" ht="15" hidden="false" customHeight="false" outlineLevel="0" collapsed="false">
      <c r="A475" s="8"/>
      <c r="B475" s="9"/>
      <c r="C475" s="8"/>
      <c r="D475" s="10" t="str">
        <f aca="false">IF(C475="","",IFERROR(VLOOKUP(C475,KhachHang!$A$2:$B$200,2,FALSE())&amp;"",""))</f>
        <v/>
      </c>
      <c r="E475" s="8"/>
      <c r="F475" s="8"/>
      <c r="G475" s="9"/>
      <c r="H475" s="8"/>
      <c r="I475" s="8"/>
      <c r="J475" s="9"/>
      <c r="K475" s="11" t="str">
        <f aca="false">IF(A475="","",SUMIFS(ChiTiet!$I$2:$I$2000,ChiTiet!$A$2:$A$2000,A475))</f>
        <v/>
      </c>
      <c r="L475" s="12"/>
      <c r="M475" s="11" t="str">
        <f aca="false">IF(A475="","",ROUND(K475*IF(L475="",0.08,L475),0))</f>
        <v/>
      </c>
      <c r="N475" s="11" t="str">
        <f aca="false">IF(A475="","",K475+M475)</f>
        <v/>
      </c>
      <c r="O475" s="11" t="str">
        <f aca="false">IF(A475="","",SUMIFS(ThuTien!$D$2:$D$2000,ThuTien!$B$2:$B$2000,A475))</f>
        <v/>
      </c>
      <c r="P475" s="11" t="str">
        <f aca="false">IF(A475="","",N475-O475)</f>
        <v/>
      </c>
      <c r="Q475" s="9"/>
      <c r="R475" s="10" t="str">
        <f aca="true">IF(A475="","",IF(AND(Q475&lt;&gt;"",P475&gt;0,TODAY()&gt;Q475),TODAY()-Q475,0))</f>
        <v/>
      </c>
      <c r="S475" s="10" t="str">
        <f aca="false">IF(A475="","",IF(N475=0,"Chưa có tiền hàng",IF(P475&lt;0,"Thu thừa",IF(P475=0,"Đã thu đủ",IF(O475&gt;0,"Thu một phần","Chưa thu")))))</f>
        <v/>
      </c>
      <c r="T475" s="10" t="str">
        <f aca="false">IF(A475="","",IF(AND(F475="Đã giao",H475&lt;&gt;"Đã xuất"),"Đã giao - CHƯA XUẤT HĐ",IF(AND(H475="Đã xuất",F475="Chưa giao"),"Đã xuất HĐ - chưa giao",IF(F475="","Chưa cập nhật giao hàng",IF(R475&gt;0,"Quá hạn "&amp;R475&amp;" ngày - đòi tiền",IF(P475&gt;0,"Chờ thu tiền",IF(P475&lt;0,"Kiểm tra thu thừa",IF(AND(F475="Đã giao",H475="Đã xuất"),"Hoàn tất","Theo dõi"))))))))</f>
        <v/>
      </c>
      <c r="U475" s="8"/>
    </row>
    <row r="476" customFormat="false" ht="15" hidden="false" customHeight="false" outlineLevel="0" collapsed="false">
      <c r="A476" s="8"/>
      <c r="B476" s="9"/>
      <c r="C476" s="8"/>
      <c r="D476" s="10" t="str">
        <f aca="false">IF(C476="","",IFERROR(VLOOKUP(C476,KhachHang!$A$2:$B$200,2,FALSE())&amp;"",""))</f>
        <v/>
      </c>
      <c r="E476" s="8"/>
      <c r="F476" s="8"/>
      <c r="G476" s="9"/>
      <c r="H476" s="8"/>
      <c r="I476" s="8"/>
      <c r="J476" s="9"/>
      <c r="K476" s="11" t="str">
        <f aca="false">IF(A476="","",SUMIFS(ChiTiet!$I$2:$I$2000,ChiTiet!$A$2:$A$2000,A476))</f>
        <v/>
      </c>
      <c r="L476" s="12"/>
      <c r="M476" s="11" t="str">
        <f aca="false">IF(A476="","",ROUND(K476*IF(L476="",0.08,L476),0))</f>
        <v/>
      </c>
      <c r="N476" s="11" t="str">
        <f aca="false">IF(A476="","",K476+M476)</f>
        <v/>
      </c>
      <c r="O476" s="11" t="str">
        <f aca="false">IF(A476="","",SUMIFS(ThuTien!$D$2:$D$2000,ThuTien!$B$2:$B$2000,A476))</f>
        <v/>
      </c>
      <c r="P476" s="11" t="str">
        <f aca="false">IF(A476="","",N476-O476)</f>
        <v/>
      </c>
      <c r="Q476" s="9"/>
      <c r="R476" s="10" t="str">
        <f aca="true">IF(A476="","",IF(AND(Q476&lt;&gt;"",P476&gt;0,TODAY()&gt;Q476),TODAY()-Q476,0))</f>
        <v/>
      </c>
      <c r="S476" s="10" t="str">
        <f aca="false">IF(A476="","",IF(N476=0,"Chưa có tiền hàng",IF(P476&lt;0,"Thu thừa",IF(P476=0,"Đã thu đủ",IF(O476&gt;0,"Thu một phần","Chưa thu")))))</f>
        <v/>
      </c>
      <c r="T476" s="10" t="str">
        <f aca="false">IF(A476="","",IF(AND(F476="Đã giao",H476&lt;&gt;"Đã xuất"),"Đã giao - CHƯA XUẤT HĐ",IF(AND(H476="Đã xuất",F476="Chưa giao"),"Đã xuất HĐ - chưa giao",IF(F476="","Chưa cập nhật giao hàng",IF(R476&gt;0,"Quá hạn "&amp;R476&amp;" ngày - đòi tiền",IF(P476&gt;0,"Chờ thu tiền",IF(P476&lt;0,"Kiểm tra thu thừa",IF(AND(F476="Đã giao",H476="Đã xuất"),"Hoàn tất","Theo dõi"))))))))</f>
        <v/>
      </c>
      <c r="U476" s="8"/>
    </row>
    <row r="477" customFormat="false" ht="15" hidden="false" customHeight="false" outlineLevel="0" collapsed="false">
      <c r="A477" s="8"/>
      <c r="B477" s="9"/>
      <c r="C477" s="8"/>
      <c r="D477" s="10" t="str">
        <f aca="false">IF(C477="","",IFERROR(VLOOKUP(C477,KhachHang!$A$2:$B$200,2,FALSE())&amp;"",""))</f>
        <v/>
      </c>
      <c r="E477" s="8"/>
      <c r="F477" s="8"/>
      <c r="G477" s="9"/>
      <c r="H477" s="8"/>
      <c r="I477" s="8"/>
      <c r="J477" s="9"/>
      <c r="K477" s="11" t="str">
        <f aca="false">IF(A477="","",SUMIFS(ChiTiet!$I$2:$I$2000,ChiTiet!$A$2:$A$2000,A477))</f>
        <v/>
      </c>
      <c r="L477" s="12"/>
      <c r="M477" s="11" t="str">
        <f aca="false">IF(A477="","",ROUND(K477*IF(L477="",0.08,L477),0))</f>
        <v/>
      </c>
      <c r="N477" s="11" t="str">
        <f aca="false">IF(A477="","",K477+M477)</f>
        <v/>
      </c>
      <c r="O477" s="11" t="str">
        <f aca="false">IF(A477="","",SUMIFS(ThuTien!$D$2:$D$2000,ThuTien!$B$2:$B$2000,A477))</f>
        <v/>
      </c>
      <c r="P477" s="11" t="str">
        <f aca="false">IF(A477="","",N477-O477)</f>
        <v/>
      </c>
      <c r="Q477" s="9"/>
      <c r="R477" s="10" t="str">
        <f aca="true">IF(A477="","",IF(AND(Q477&lt;&gt;"",P477&gt;0,TODAY()&gt;Q477),TODAY()-Q477,0))</f>
        <v/>
      </c>
      <c r="S477" s="10" t="str">
        <f aca="false">IF(A477="","",IF(N477=0,"Chưa có tiền hàng",IF(P477&lt;0,"Thu thừa",IF(P477=0,"Đã thu đủ",IF(O477&gt;0,"Thu một phần","Chưa thu")))))</f>
        <v/>
      </c>
      <c r="T477" s="10" t="str">
        <f aca="false">IF(A477="","",IF(AND(F477="Đã giao",H477&lt;&gt;"Đã xuất"),"Đã giao - CHƯA XUẤT HĐ",IF(AND(H477="Đã xuất",F477="Chưa giao"),"Đã xuất HĐ - chưa giao",IF(F477="","Chưa cập nhật giao hàng",IF(R477&gt;0,"Quá hạn "&amp;R477&amp;" ngày - đòi tiền",IF(P477&gt;0,"Chờ thu tiền",IF(P477&lt;0,"Kiểm tra thu thừa",IF(AND(F477="Đã giao",H477="Đã xuất"),"Hoàn tất","Theo dõi"))))))))</f>
        <v/>
      </c>
      <c r="U477" s="8"/>
    </row>
    <row r="478" customFormat="false" ht="15" hidden="false" customHeight="false" outlineLevel="0" collapsed="false">
      <c r="A478" s="8"/>
      <c r="B478" s="9"/>
      <c r="C478" s="8"/>
      <c r="D478" s="10" t="str">
        <f aca="false">IF(C478="","",IFERROR(VLOOKUP(C478,KhachHang!$A$2:$B$200,2,FALSE())&amp;"",""))</f>
        <v/>
      </c>
      <c r="E478" s="8"/>
      <c r="F478" s="8"/>
      <c r="G478" s="9"/>
      <c r="H478" s="8"/>
      <c r="I478" s="8"/>
      <c r="J478" s="9"/>
      <c r="K478" s="11" t="str">
        <f aca="false">IF(A478="","",SUMIFS(ChiTiet!$I$2:$I$2000,ChiTiet!$A$2:$A$2000,A478))</f>
        <v/>
      </c>
      <c r="L478" s="12"/>
      <c r="M478" s="11" t="str">
        <f aca="false">IF(A478="","",ROUND(K478*IF(L478="",0.08,L478),0))</f>
        <v/>
      </c>
      <c r="N478" s="11" t="str">
        <f aca="false">IF(A478="","",K478+M478)</f>
        <v/>
      </c>
      <c r="O478" s="11" t="str">
        <f aca="false">IF(A478="","",SUMIFS(ThuTien!$D$2:$D$2000,ThuTien!$B$2:$B$2000,A478))</f>
        <v/>
      </c>
      <c r="P478" s="11" t="str">
        <f aca="false">IF(A478="","",N478-O478)</f>
        <v/>
      </c>
      <c r="Q478" s="9"/>
      <c r="R478" s="10" t="str">
        <f aca="true">IF(A478="","",IF(AND(Q478&lt;&gt;"",P478&gt;0,TODAY()&gt;Q478),TODAY()-Q478,0))</f>
        <v/>
      </c>
      <c r="S478" s="10" t="str">
        <f aca="false">IF(A478="","",IF(N478=0,"Chưa có tiền hàng",IF(P478&lt;0,"Thu thừa",IF(P478=0,"Đã thu đủ",IF(O478&gt;0,"Thu một phần","Chưa thu")))))</f>
        <v/>
      </c>
      <c r="T478" s="10" t="str">
        <f aca="false">IF(A478="","",IF(AND(F478="Đã giao",H478&lt;&gt;"Đã xuất"),"Đã giao - CHƯA XUẤT HĐ",IF(AND(H478="Đã xuất",F478="Chưa giao"),"Đã xuất HĐ - chưa giao",IF(F478="","Chưa cập nhật giao hàng",IF(R478&gt;0,"Quá hạn "&amp;R478&amp;" ngày - đòi tiền",IF(P478&gt;0,"Chờ thu tiền",IF(P478&lt;0,"Kiểm tra thu thừa",IF(AND(F478="Đã giao",H478="Đã xuất"),"Hoàn tất","Theo dõi"))))))))</f>
        <v/>
      </c>
      <c r="U478" s="8"/>
    </row>
    <row r="479" customFormat="false" ht="15" hidden="false" customHeight="false" outlineLevel="0" collapsed="false">
      <c r="A479" s="8"/>
      <c r="B479" s="9"/>
      <c r="C479" s="8"/>
      <c r="D479" s="10" t="str">
        <f aca="false">IF(C479="","",IFERROR(VLOOKUP(C479,KhachHang!$A$2:$B$200,2,FALSE())&amp;"",""))</f>
        <v/>
      </c>
      <c r="E479" s="8"/>
      <c r="F479" s="8"/>
      <c r="G479" s="9"/>
      <c r="H479" s="8"/>
      <c r="I479" s="8"/>
      <c r="J479" s="9"/>
      <c r="K479" s="11" t="str">
        <f aca="false">IF(A479="","",SUMIFS(ChiTiet!$I$2:$I$2000,ChiTiet!$A$2:$A$2000,A479))</f>
        <v/>
      </c>
      <c r="L479" s="12"/>
      <c r="M479" s="11" t="str">
        <f aca="false">IF(A479="","",ROUND(K479*IF(L479="",0.08,L479),0))</f>
        <v/>
      </c>
      <c r="N479" s="11" t="str">
        <f aca="false">IF(A479="","",K479+M479)</f>
        <v/>
      </c>
      <c r="O479" s="11" t="str">
        <f aca="false">IF(A479="","",SUMIFS(ThuTien!$D$2:$D$2000,ThuTien!$B$2:$B$2000,A479))</f>
        <v/>
      </c>
      <c r="P479" s="11" t="str">
        <f aca="false">IF(A479="","",N479-O479)</f>
        <v/>
      </c>
      <c r="Q479" s="9"/>
      <c r="R479" s="10" t="str">
        <f aca="true">IF(A479="","",IF(AND(Q479&lt;&gt;"",P479&gt;0,TODAY()&gt;Q479),TODAY()-Q479,0))</f>
        <v/>
      </c>
      <c r="S479" s="10" t="str">
        <f aca="false">IF(A479="","",IF(N479=0,"Chưa có tiền hàng",IF(P479&lt;0,"Thu thừa",IF(P479=0,"Đã thu đủ",IF(O479&gt;0,"Thu một phần","Chưa thu")))))</f>
        <v/>
      </c>
      <c r="T479" s="10" t="str">
        <f aca="false">IF(A479="","",IF(AND(F479="Đã giao",H479&lt;&gt;"Đã xuất"),"Đã giao - CHƯA XUẤT HĐ",IF(AND(H479="Đã xuất",F479="Chưa giao"),"Đã xuất HĐ - chưa giao",IF(F479="","Chưa cập nhật giao hàng",IF(R479&gt;0,"Quá hạn "&amp;R479&amp;" ngày - đòi tiền",IF(P479&gt;0,"Chờ thu tiền",IF(P479&lt;0,"Kiểm tra thu thừa",IF(AND(F479="Đã giao",H479="Đã xuất"),"Hoàn tất","Theo dõi"))))))))</f>
        <v/>
      </c>
      <c r="U479" s="8"/>
    </row>
    <row r="480" customFormat="false" ht="15" hidden="false" customHeight="false" outlineLevel="0" collapsed="false">
      <c r="A480" s="8"/>
      <c r="B480" s="9"/>
      <c r="C480" s="8"/>
      <c r="D480" s="10" t="str">
        <f aca="false">IF(C480="","",IFERROR(VLOOKUP(C480,KhachHang!$A$2:$B$200,2,FALSE())&amp;"",""))</f>
        <v/>
      </c>
      <c r="E480" s="8"/>
      <c r="F480" s="8"/>
      <c r="G480" s="9"/>
      <c r="H480" s="8"/>
      <c r="I480" s="8"/>
      <c r="J480" s="9"/>
      <c r="K480" s="11" t="str">
        <f aca="false">IF(A480="","",SUMIFS(ChiTiet!$I$2:$I$2000,ChiTiet!$A$2:$A$2000,A480))</f>
        <v/>
      </c>
      <c r="L480" s="12"/>
      <c r="M480" s="11" t="str">
        <f aca="false">IF(A480="","",ROUND(K480*IF(L480="",0.08,L480),0))</f>
        <v/>
      </c>
      <c r="N480" s="11" t="str">
        <f aca="false">IF(A480="","",K480+M480)</f>
        <v/>
      </c>
      <c r="O480" s="11" t="str">
        <f aca="false">IF(A480="","",SUMIFS(ThuTien!$D$2:$D$2000,ThuTien!$B$2:$B$2000,A480))</f>
        <v/>
      </c>
      <c r="P480" s="11" t="str">
        <f aca="false">IF(A480="","",N480-O480)</f>
        <v/>
      </c>
      <c r="Q480" s="9"/>
      <c r="R480" s="10" t="str">
        <f aca="true">IF(A480="","",IF(AND(Q480&lt;&gt;"",P480&gt;0,TODAY()&gt;Q480),TODAY()-Q480,0))</f>
        <v/>
      </c>
      <c r="S480" s="10" t="str">
        <f aca="false">IF(A480="","",IF(N480=0,"Chưa có tiền hàng",IF(P480&lt;0,"Thu thừa",IF(P480=0,"Đã thu đủ",IF(O480&gt;0,"Thu một phần","Chưa thu")))))</f>
        <v/>
      </c>
      <c r="T480" s="10" t="str">
        <f aca="false">IF(A480="","",IF(AND(F480="Đã giao",H480&lt;&gt;"Đã xuất"),"Đã giao - CHƯA XUẤT HĐ",IF(AND(H480="Đã xuất",F480="Chưa giao"),"Đã xuất HĐ - chưa giao",IF(F480="","Chưa cập nhật giao hàng",IF(R480&gt;0,"Quá hạn "&amp;R480&amp;" ngày - đòi tiền",IF(P480&gt;0,"Chờ thu tiền",IF(P480&lt;0,"Kiểm tra thu thừa",IF(AND(F480="Đã giao",H480="Đã xuất"),"Hoàn tất","Theo dõi"))))))))</f>
        <v/>
      </c>
      <c r="U480" s="8"/>
    </row>
    <row r="481" customFormat="false" ht="15" hidden="false" customHeight="false" outlineLevel="0" collapsed="false">
      <c r="A481" s="8"/>
      <c r="B481" s="9"/>
      <c r="C481" s="8"/>
      <c r="D481" s="10" t="str">
        <f aca="false">IF(C481="","",IFERROR(VLOOKUP(C481,KhachHang!$A$2:$B$200,2,FALSE())&amp;"",""))</f>
        <v/>
      </c>
      <c r="E481" s="8"/>
      <c r="F481" s="8"/>
      <c r="G481" s="9"/>
      <c r="H481" s="8"/>
      <c r="I481" s="8"/>
      <c r="J481" s="9"/>
      <c r="K481" s="11" t="str">
        <f aca="false">IF(A481="","",SUMIFS(ChiTiet!$I$2:$I$2000,ChiTiet!$A$2:$A$2000,A481))</f>
        <v/>
      </c>
      <c r="L481" s="12"/>
      <c r="M481" s="11" t="str">
        <f aca="false">IF(A481="","",ROUND(K481*IF(L481="",0.08,L481),0))</f>
        <v/>
      </c>
      <c r="N481" s="11" t="str">
        <f aca="false">IF(A481="","",K481+M481)</f>
        <v/>
      </c>
      <c r="O481" s="11" t="str">
        <f aca="false">IF(A481="","",SUMIFS(ThuTien!$D$2:$D$2000,ThuTien!$B$2:$B$2000,A481))</f>
        <v/>
      </c>
      <c r="P481" s="11" t="str">
        <f aca="false">IF(A481="","",N481-O481)</f>
        <v/>
      </c>
      <c r="Q481" s="9"/>
      <c r="R481" s="10" t="str">
        <f aca="true">IF(A481="","",IF(AND(Q481&lt;&gt;"",P481&gt;0,TODAY()&gt;Q481),TODAY()-Q481,0))</f>
        <v/>
      </c>
      <c r="S481" s="10" t="str">
        <f aca="false">IF(A481="","",IF(N481=0,"Chưa có tiền hàng",IF(P481&lt;0,"Thu thừa",IF(P481=0,"Đã thu đủ",IF(O481&gt;0,"Thu một phần","Chưa thu")))))</f>
        <v/>
      </c>
      <c r="T481" s="10" t="str">
        <f aca="false">IF(A481="","",IF(AND(F481="Đã giao",H481&lt;&gt;"Đã xuất"),"Đã giao - CHƯA XUẤT HĐ",IF(AND(H481="Đã xuất",F481="Chưa giao"),"Đã xuất HĐ - chưa giao",IF(F481="","Chưa cập nhật giao hàng",IF(R481&gt;0,"Quá hạn "&amp;R481&amp;" ngày - đòi tiền",IF(P481&gt;0,"Chờ thu tiền",IF(P481&lt;0,"Kiểm tra thu thừa",IF(AND(F481="Đã giao",H481="Đã xuất"),"Hoàn tất","Theo dõi"))))))))</f>
        <v/>
      </c>
      <c r="U481" s="8"/>
    </row>
    <row r="482" customFormat="false" ht="15" hidden="false" customHeight="false" outlineLevel="0" collapsed="false">
      <c r="A482" s="8"/>
      <c r="B482" s="9"/>
      <c r="C482" s="8"/>
      <c r="D482" s="10" t="str">
        <f aca="false">IF(C482="","",IFERROR(VLOOKUP(C482,KhachHang!$A$2:$B$200,2,FALSE())&amp;"",""))</f>
        <v/>
      </c>
      <c r="E482" s="8"/>
      <c r="F482" s="8"/>
      <c r="G482" s="9"/>
      <c r="H482" s="8"/>
      <c r="I482" s="8"/>
      <c r="J482" s="9"/>
      <c r="K482" s="11" t="str">
        <f aca="false">IF(A482="","",SUMIFS(ChiTiet!$I$2:$I$2000,ChiTiet!$A$2:$A$2000,A482))</f>
        <v/>
      </c>
      <c r="L482" s="12"/>
      <c r="M482" s="11" t="str">
        <f aca="false">IF(A482="","",ROUND(K482*IF(L482="",0.08,L482),0))</f>
        <v/>
      </c>
      <c r="N482" s="11" t="str">
        <f aca="false">IF(A482="","",K482+M482)</f>
        <v/>
      </c>
      <c r="O482" s="11" t="str">
        <f aca="false">IF(A482="","",SUMIFS(ThuTien!$D$2:$D$2000,ThuTien!$B$2:$B$2000,A482))</f>
        <v/>
      </c>
      <c r="P482" s="11" t="str">
        <f aca="false">IF(A482="","",N482-O482)</f>
        <v/>
      </c>
      <c r="Q482" s="9"/>
      <c r="R482" s="10" t="str">
        <f aca="true">IF(A482="","",IF(AND(Q482&lt;&gt;"",P482&gt;0,TODAY()&gt;Q482),TODAY()-Q482,0))</f>
        <v/>
      </c>
      <c r="S482" s="10" t="str">
        <f aca="false">IF(A482="","",IF(N482=0,"Chưa có tiền hàng",IF(P482&lt;0,"Thu thừa",IF(P482=0,"Đã thu đủ",IF(O482&gt;0,"Thu một phần","Chưa thu")))))</f>
        <v/>
      </c>
      <c r="T482" s="10" t="str">
        <f aca="false">IF(A482="","",IF(AND(F482="Đã giao",H482&lt;&gt;"Đã xuất"),"Đã giao - CHƯA XUẤT HĐ",IF(AND(H482="Đã xuất",F482="Chưa giao"),"Đã xuất HĐ - chưa giao",IF(F482="","Chưa cập nhật giao hàng",IF(R482&gt;0,"Quá hạn "&amp;R482&amp;" ngày - đòi tiền",IF(P482&gt;0,"Chờ thu tiền",IF(P482&lt;0,"Kiểm tra thu thừa",IF(AND(F482="Đã giao",H482="Đã xuất"),"Hoàn tất","Theo dõi"))))))))</f>
        <v/>
      </c>
      <c r="U482" s="8"/>
    </row>
    <row r="483" customFormat="false" ht="15" hidden="false" customHeight="false" outlineLevel="0" collapsed="false">
      <c r="A483" s="8"/>
      <c r="B483" s="9"/>
      <c r="C483" s="8"/>
      <c r="D483" s="10" t="str">
        <f aca="false">IF(C483="","",IFERROR(VLOOKUP(C483,KhachHang!$A$2:$B$200,2,FALSE())&amp;"",""))</f>
        <v/>
      </c>
      <c r="E483" s="8"/>
      <c r="F483" s="8"/>
      <c r="G483" s="9"/>
      <c r="H483" s="8"/>
      <c r="I483" s="8"/>
      <c r="J483" s="9"/>
      <c r="K483" s="11" t="str">
        <f aca="false">IF(A483="","",SUMIFS(ChiTiet!$I$2:$I$2000,ChiTiet!$A$2:$A$2000,A483))</f>
        <v/>
      </c>
      <c r="L483" s="12"/>
      <c r="M483" s="11" t="str">
        <f aca="false">IF(A483="","",ROUND(K483*IF(L483="",0.08,L483),0))</f>
        <v/>
      </c>
      <c r="N483" s="11" t="str">
        <f aca="false">IF(A483="","",K483+M483)</f>
        <v/>
      </c>
      <c r="O483" s="11" t="str">
        <f aca="false">IF(A483="","",SUMIFS(ThuTien!$D$2:$D$2000,ThuTien!$B$2:$B$2000,A483))</f>
        <v/>
      </c>
      <c r="P483" s="11" t="str">
        <f aca="false">IF(A483="","",N483-O483)</f>
        <v/>
      </c>
      <c r="Q483" s="9"/>
      <c r="R483" s="10" t="str">
        <f aca="true">IF(A483="","",IF(AND(Q483&lt;&gt;"",P483&gt;0,TODAY()&gt;Q483),TODAY()-Q483,0))</f>
        <v/>
      </c>
      <c r="S483" s="10" t="str">
        <f aca="false">IF(A483="","",IF(N483=0,"Chưa có tiền hàng",IF(P483&lt;0,"Thu thừa",IF(P483=0,"Đã thu đủ",IF(O483&gt;0,"Thu một phần","Chưa thu")))))</f>
        <v/>
      </c>
      <c r="T483" s="10" t="str">
        <f aca="false">IF(A483="","",IF(AND(F483="Đã giao",H483&lt;&gt;"Đã xuất"),"Đã giao - CHƯA XUẤT HĐ",IF(AND(H483="Đã xuất",F483="Chưa giao"),"Đã xuất HĐ - chưa giao",IF(F483="","Chưa cập nhật giao hàng",IF(R483&gt;0,"Quá hạn "&amp;R483&amp;" ngày - đòi tiền",IF(P483&gt;0,"Chờ thu tiền",IF(P483&lt;0,"Kiểm tra thu thừa",IF(AND(F483="Đã giao",H483="Đã xuất"),"Hoàn tất","Theo dõi"))))))))</f>
        <v/>
      </c>
      <c r="U483" s="8"/>
    </row>
    <row r="484" customFormat="false" ht="15" hidden="false" customHeight="false" outlineLevel="0" collapsed="false">
      <c r="A484" s="8"/>
      <c r="B484" s="9"/>
      <c r="C484" s="8"/>
      <c r="D484" s="10" t="str">
        <f aca="false">IF(C484="","",IFERROR(VLOOKUP(C484,KhachHang!$A$2:$B$200,2,FALSE())&amp;"",""))</f>
        <v/>
      </c>
      <c r="E484" s="8"/>
      <c r="F484" s="8"/>
      <c r="G484" s="9"/>
      <c r="H484" s="8"/>
      <c r="I484" s="8"/>
      <c r="J484" s="9"/>
      <c r="K484" s="11" t="str">
        <f aca="false">IF(A484="","",SUMIFS(ChiTiet!$I$2:$I$2000,ChiTiet!$A$2:$A$2000,A484))</f>
        <v/>
      </c>
      <c r="L484" s="12"/>
      <c r="M484" s="11" t="str">
        <f aca="false">IF(A484="","",ROUND(K484*IF(L484="",0.08,L484),0))</f>
        <v/>
      </c>
      <c r="N484" s="11" t="str">
        <f aca="false">IF(A484="","",K484+M484)</f>
        <v/>
      </c>
      <c r="O484" s="11" t="str">
        <f aca="false">IF(A484="","",SUMIFS(ThuTien!$D$2:$D$2000,ThuTien!$B$2:$B$2000,A484))</f>
        <v/>
      </c>
      <c r="P484" s="11" t="str">
        <f aca="false">IF(A484="","",N484-O484)</f>
        <v/>
      </c>
      <c r="Q484" s="9"/>
      <c r="R484" s="10" t="str">
        <f aca="true">IF(A484="","",IF(AND(Q484&lt;&gt;"",P484&gt;0,TODAY()&gt;Q484),TODAY()-Q484,0))</f>
        <v/>
      </c>
      <c r="S484" s="10" t="str">
        <f aca="false">IF(A484="","",IF(N484=0,"Chưa có tiền hàng",IF(P484&lt;0,"Thu thừa",IF(P484=0,"Đã thu đủ",IF(O484&gt;0,"Thu một phần","Chưa thu")))))</f>
        <v/>
      </c>
      <c r="T484" s="10" t="str">
        <f aca="false">IF(A484="","",IF(AND(F484="Đã giao",H484&lt;&gt;"Đã xuất"),"Đã giao - CHƯA XUẤT HĐ",IF(AND(H484="Đã xuất",F484="Chưa giao"),"Đã xuất HĐ - chưa giao",IF(F484="","Chưa cập nhật giao hàng",IF(R484&gt;0,"Quá hạn "&amp;R484&amp;" ngày - đòi tiền",IF(P484&gt;0,"Chờ thu tiền",IF(P484&lt;0,"Kiểm tra thu thừa",IF(AND(F484="Đã giao",H484="Đã xuất"),"Hoàn tất","Theo dõi"))))))))</f>
        <v/>
      </c>
      <c r="U484" s="8"/>
    </row>
    <row r="485" customFormat="false" ht="15" hidden="false" customHeight="false" outlineLevel="0" collapsed="false">
      <c r="A485" s="8"/>
      <c r="B485" s="9"/>
      <c r="C485" s="8"/>
      <c r="D485" s="10" t="str">
        <f aca="false">IF(C485="","",IFERROR(VLOOKUP(C485,KhachHang!$A$2:$B$200,2,FALSE())&amp;"",""))</f>
        <v/>
      </c>
      <c r="E485" s="8"/>
      <c r="F485" s="8"/>
      <c r="G485" s="9"/>
      <c r="H485" s="8"/>
      <c r="I485" s="8"/>
      <c r="J485" s="9"/>
      <c r="K485" s="11" t="str">
        <f aca="false">IF(A485="","",SUMIFS(ChiTiet!$I$2:$I$2000,ChiTiet!$A$2:$A$2000,A485))</f>
        <v/>
      </c>
      <c r="L485" s="12"/>
      <c r="M485" s="11" t="str">
        <f aca="false">IF(A485="","",ROUND(K485*IF(L485="",0.08,L485),0))</f>
        <v/>
      </c>
      <c r="N485" s="11" t="str">
        <f aca="false">IF(A485="","",K485+M485)</f>
        <v/>
      </c>
      <c r="O485" s="11" t="str">
        <f aca="false">IF(A485="","",SUMIFS(ThuTien!$D$2:$D$2000,ThuTien!$B$2:$B$2000,A485))</f>
        <v/>
      </c>
      <c r="P485" s="11" t="str">
        <f aca="false">IF(A485="","",N485-O485)</f>
        <v/>
      </c>
      <c r="Q485" s="9"/>
      <c r="R485" s="10" t="str">
        <f aca="true">IF(A485="","",IF(AND(Q485&lt;&gt;"",P485&gt;0,TODAY()&gt;Q485),TODAY()-Q485,0))</f>
        <v/>
      </c>
      <c r="S485" s="10" t="str">
        <f aca="false">IF(A485="","",IF(N485=0,"Chưa có tiền hàng",IF(P485&lt;0,"Thu thừa",IF(P485=0,"Đã thu đủ",IF(O485&gt;0,"Thu một phần","Chưa thu")))))</f>
        <v/>
      </c>
      <c r="T485" s="10" t="str">
        <f aca="false">IF(A485="","",IF(AND(F485="Đã giao",H485&lt;&gt;"Đã xuất"),"Đã giao - CHƯA XUẤT HĐ",IF(AND(H485="Đã xuất",F485="Chưa giao"),"Đã xuất HĐ - chưa giao",IF(F485="","Chưa cập nhật giao hàng",IF(R485&gt;0,"Quá hạn "&amp;R485&amp;" ngày - đòi tiền",IF(P485&gt;0,"Chờ thu tiền",IF(P485&lt;0,"Kiểm tra thu thừa",IF(AND(F485="Đã giao",H485="Đã xuất"),"Hoàn tất","Theo dõi"))))))))</f>
        <v/>
      </c>
      <c r="U485" s="8"/>
    </row>
    <row r="486" customFormat="false" ht="15" hidden="false" customHeight="false" outlineLevel="0" collapsed="false">
      <c r="A486" s="8"/>
      <c r="B486" s="9"/>
      <c r="C486" s="8"/>
      <c r="D486" s="10" t="str">
        <f aca="false">IF(C486="","",IFERROR(VLOOKUP(C486,KhachHang!$A$2:$B$200,2,FALSE())&amp;"",""))</f>
        <v/>
      </c>
      <c r="E486" s="8"/>
      <c r="F486" s="8"/>
      <c r="G486" s="9"/>
      <c r="H486" s="8"/>
      <c r="I486" s="8"/>
      <c r="J486" s="9"/>
      <c r="K486" s="11" t="str">
        <f aca="false">IF(A486="","",SUMIFS(ChiTiet!$I$2:$I$2000,ChiTiet!$A$2:$A$2000,A486))</f>
        <v/>
      </c>
      <c r="L486" s="12"/>
      <c r="M486" s="11" t="str">
        <f aca="false">IF(A486="","",ROUND(K486*IF(L486="",0.08,L486),0))</f>
        <v/>
      </c>
      <c r="N486" s="11" t="str">
        <f aca="false">IF(A486="","",K486+M486)</f>
        <v/>
      </c>
      <c r="O486" s="11" t="str">
        <f aca="false">IF(A486="","",SUMIFS(ThuTien!$D$2:$D$2000,ThuTien!$B$2:$B$2000,A486))</f>
        <v/>
      </c>
      <c r="P486" s="11" t="str">
        <f aca="false">IF(A486="","",N486-O486)</f>
        <v/>
      </c>
      <c r="Q486" s="9"/>
      <c r="R486" s="10" t="str">
        <f aca="true">IF(A486="","",IF(AND(Q486&lt;&gt;"",P486&gt;0,TODAY()&gt;Q486),TODAY()-Q486,0))</f>
        <v/>
      </c>
      <c r="S486" s="10" t="str">
        <f aca="false">IF(A486="","",IF(N486=0,"Chưa có tiền hàng",IF(P486&lt;0,"Thu thừa",IF(P486=0,"Đã thu đủ",IF(O486&gt;0,"Thu một phần","Chưa thu")))))</f>
        <v/>
      </c>
      <c r="T486" s="10" t="str">
        <f aca="false">IF(A486="","",IF(AND(F486="Đã giao",H486&lt;&gt;"Đã xuất"),"Đã giao - CHƯA XUẤT HĐ",IF(AND(H486="Đã xuất",F486="Chưa giao"),"Đã xuất HĐ - chưa giao",IF(F486="","Chưa cập nhật giao hàng",IF(R486&gt;0,"Quá hạn "&amp;R486&amp;" ngày - đòi tiền",IF(P486&gt;0,"Chờ thu tiền",IF(P486&lt;0,"Kiểm tra thu thừa",IF(AND(F486="Đã giao",H486="Đã xuất"),"Hoàn tất","Theo dõi"))))))))</f>
        <v/>
      </c>
      <c r="U486" s="8"/>
    </row>
    <row r="487" customFormat="false" ht="15" hidden="false" customHeight="false" outlineLevel="0" collapsed="false">
      <c r="A487" s="8"/>
      <c r="B487" s="9"/>
      <c r="C487" s="8"/>
      <c r="D487" s="10" t="str">
        <f aca="false">IF(C487="","",IFERROR(VLOOKUP(C487,KhachHang!$A$2:$B$200,2,FALSE())&amp;"",""))</f>
        <v/>
      </c>
      <c r="E487" s="8"/>
      <c r="F487" s="8"/>
      <c r="G487" s="9"/>
      <c r="H487" s="8"/>
      <c r="I487" s="8"/>
      <c r="J487" s="9"/>
      <c r="K487" s="11" t="str">
        <f aca="false">IF(A487="","",SUMIFS(ChiTiet!$I$2:$I$2000,ChiTiet!$A$2:$A$2000,A487))</f>
        <v/>
      </c>
      <c r="L487" s="12"/>
      <c r="M487" s="11" t="str">
        <f aca="false">IF(A487="","",ROUND(K487*IF(L487="",0.08,L487),0))</f>
        <v/>
      </c>
      <c r="N487" s="11" t="str">
        <f aca="false">IF(A487="","",K487+M487)</f>
        <v/>
      </c>
      <c r="O487" s="11" t="str">
        <f aca="false">IF(A487="","",SUMIFS(ThuTien!$D$2:$D$2000,ThuTien!$B$2:$B$2000,A487))</f>
        <v/>
      </c>
      <c r="P487" s="11" t="str">
        <f aca="false">IF(A487="","",N487-O487)</f>
        <v/>
      </c>
      <c r="Q487" s="9"/>
      <c r="R487" s="10" t="str">
        <f aca="true">IF(A487="","",IF(AND(Q487&lt;&gt;"",P487&gt;0,TODAY()&gt;Q487),TODAY()-Q487,0))</f>
        <v/>
      </c>
      <c r="S487" s="10" t="str">
        <f aca="false">IF(A487="","",IF(N487=0,"Chưa có tiền hàng",IF(P487&lt;0,"Thu thừa",IF(P487=0,"Đã thu đủ",IF(O487&gt;0,"Thu một phần","Chưa thu")))))</f>
        <v/>
      </c>
      <c r="T487" s="10" t="str">
        <f aca="false">IF(A487="","",IF(AND(F487="Đã giao",H487&lt;&gt;"Đã xuất"),"Đã giao - CHƯA XUẤT HĐ",IF(AND(H487="Đã xuất",F487="Chưa giao"),"Đã xuất HĐ - chưa giao",IF(F487="","Chưa cập nhật giao hàng",IF(R487&gt;0,"Quá hạn "&amp;R487&amp;" ngày - đòi tiền",IF(P487&gt;0,"Chờ thu tiền",IF(P487&lt;0,"Kiểm tra thu thừa",IF(AND(F487="Đã giao",H487="Đã xuất"),"Hoàn tất","Theo dõi"))))))))</f>
        <v/>
      </c>
      <c r="U487" s="8"/>
    </row>
    <row r="488" customFormat="false" ht="15" hidden="false" customHeight="false" outlineLevel="0" collapsed="false">
      <c r="A488" s="8"/>
      <c r="B488" s="9"/>
      <c r="C488" s="8"/>
      <c r="D488" s="10" t="str">
        <f aca="false">IF(C488="","",IFERROR(VLOOKUP(C488,KhachHang!$A$2:$B$200,2,FALSE())&amp;"",""))</f>
        <v/>
      </c>
      <c r="E488" s="8"/>
      <c r="F488" s="8"/>
      <c r="G488" s="9"/>
      <c r="H488" s="8"/>
      <c r="I488" s="8"/>
      <c r="J488" s="9"/>
      <c r="K488" s="11" t="str">
        <f aca="false">IF(A488="","",SUMIFS(ChiTiet!$I$2:$I$2000,ChiTiet!$A$2:$A$2000,A488))</f>
        <v/>
      </c>
      <c r="L488" s="12"/>
      <c r="M488" s="11" t="str">
        <f aca="false">IF(A488="","",ROUND(K488*IF(L488="",0.08,L488),0))</f>
        <v/>
      </c>
      <c r="N488" s="11" t="str">
        <f aca="false">IF(A488="","",K488+M488)</f>
        <v/>
      </c>
      <c r="O488" s="11" t="str">
        <f aca="false">IF(A488="","",SUMIFS(ThuTien!$D$2:$D$2000,ThuTien!$B$2:$B$2000,A488))</f>
        <v/>
      </c>
      <c r="P488" s="11" t="str">
        <f aca="false">IF(A488="","",N488-O488)</f>
        <v/>
      </c>
      <c r="Q488" s="9"/>
      <c r="R488" s="10" t="str">
        <f aca="true">IF(A488="","",IF(AND(Q488&lt;&gt;"",P488&gt;0,TODAY()&gt;Q488),TODAY()-Q488,0))</f>
        <v/>
      </c>
      <c r="S488" s="10" t="str">
        <f aca="false">IF(A488="","",IF(N488=0,"Chưa có tiền hàng",IF(P488&lt;0,"Thu thừa",IF(P488=0,"Đã thu đủ",IF(O488&gt;0,"Thu một phần","Chưa thu")))))</f>
        <v/>
      </c>
      <c r="T488" s="10" t="str">
        <f aca="false">IF(A488="","",IF(AND(F488="Đã giao",H488&lt;&gt;"Đã xuất"),"Đã giao - CHƯA XUẤT HĐ",IF(AND(H488="Đã xuất",F488="Chưa giao"),"Đã xuất HĐ - chưa giao",IF(F488="","Chưa cập nhật giao hàng",IF(R488&gt;0,"Quá hạn "&amp;R488&amp;" ngày - đòi tiền",IF(P488&gt;0,"Chờ thu tiền",IF(P488&lt;0,"Kiểm tra thu thừa",IF(AND(F488="Đã giao",H488="Đã xuất"),"Hoàn tất","Theo dõi"))))))))</f>
        <v/>
      </c>
      <c r="U488" s="8"/>
    </row>
    <row r="489" customFormat="false" ht="15" hidden="false" customHeight="false" outlineLevel="0" collapsed="false">
      <c r="A489" s="8"/>
      <c r="B489" s="9"/>
      <c r="C489" s="8"/>
      <c r="D489" s="10" t="str">
        <f aca="false">IF(C489="","",IFERROR(VLOOKUP(C489,KhachHang!$A$2:$B$200,2,FALSE())&amp;"",""))</f>
        <v/>
      </c>
      <c r="E489" s="8"/>
      <c r="F489" s="8"/>
      <c r="G489" s="9"/>
      <c r="H489" s="8"/>
      <c r="I489" s="8"/>
      <c r="J489" s="9"/>
      <c r="K489" s="11" t="str">
        <f aca="false">IF(A489="","",SUMIFS(ChiTiet!$I$2:$I$2000,ChiTiet!$A$2:$A$2000,A489))</f>
        <v/>
      </c>
      <c r="L489" s="12"/>
      <c r="M489" s="11" t="str">
        <f aca="false">IF(A489="","",ROUND(K489*IF(L489="",0.08,L489),0))</f>
        <v/>
      </c>
      <c r="N489" s="11" t="str">
        <f aca="false">IF(A489="","",K489+M489)</f>
        <v/>
      </c>
      <c r="O489" s="11" t="str">
        <f aca="false">IF(A489="","",SUMIFS(ThuTien!$D$2:$D$2000,ThuTien!$B$2:$B$2000,A489))</f>
        <v/>
      </c>
      <c r="P489" s="11" t="str">
        <f aca="false">IF(A489="","",N489-O489)</f>
        <v/>
      </c>
      <c r="Q489" s="9"/>
      <c r="R489" s="10" t="str">
        <f aca="true">IF(A489="","",IF(AND(Q489&lt;&gt;"",P489&gt;0,TODAY()&gt;Q489),TODAY()-Q489,0))</f>
        <v/>
      </c>
      <c r="S489" s="10" t="str">
        <f aca="false">IF(A489="","",IF(N489=0,"Chưa có tiền hàng",IF(P489&lt;0,"Thu thừa",IF(P489=0,"Đã thu đủ",IF(O489&gt;0,"Thu một phần","Chưa thu")))))</f>
        <v/>
      </c>
      <c r="T489" s="10" t="str">
        <f aca="false">IF(A489="","",IF(AND(F489="Đã giao",H489&lt;&gt;"Đã xuất"),"Đã giao - CHƯA XUẤT HĐ",IF(AND(H489="Đã xuất",F489="Chưa giao"),"Đã xuất HĐ - chưa giao",IF(F489="","Chưa cập nhật giao hàng",IF(R489&gt;0,"Quá hạn "&amp;R489&amp;" ngày - đòi tiền",IF(P489&gt;0,"Chờ thu tiền",IF(P489&lt;0,"Kiểm tra thu thừa",IF(AND(F489="Đã giao",H489="Đã xuất"),"Hoàn tất","Theo dõi"))))))))</f>
        <v/>
      </c>
      <c r="U489" s="8"/>
    </row>
    <row r="490" customFormat="false" ht="15" hidden="false" customHeight="false" outlineLevel="0" collapsed="false">
      <c r="A490" s="8"/>
      <c r="B490" s="9"/>
      <c r="C490" s="8"/>
      <c r="D490" s="10" t="str">
        <f aca="false">IF(C490="","",IFERROR(VLOOKUP(C490,KhachHang!$A$2:$B$200,2,FALSE())&amp;"",""))</f>
        <v/>
      </c>
      <c r="E490" s="8"/>
      <c r="F490" s="8"/>
      <c r="G490" s="9"/>
      <c r="H490" s="8"/>
      <c r="I490" s="8"/>
      <c r="J490" s="9"/>
      <c r="K490" s="11" t="str">
        <f aca="false">IF(A490="","",SUMIFS(ChiTiet!$I$2:$I$2000,ChiTiet!$A$2:$A$2000,A490))</f>
        <v/>
      </c>
      <c r="L490" s="12"/>
      <c r="M490" s="11" t="str">
        <f aca="false">IF(A490="","",ROUND(K490*IF(L490="",0.08,L490),0))</f>
        <v/>
      </c>
      <c r="N490" s="11" t="str">
        <f aca="false">IF(A490="","",K490+M490)</f>
        <v/>
      </c>
      <c r="O490" s="11" t="str">
        <f aca="false">IF(A490="","",SUMIFS(ThuTien!$D$2:$D$2000,ThuTien!$B$2:$B$2000,A490))</f>
        <v/>
      </c>
      <c r="P490" s="11" t="str">
        <f aca="false">IF(A490="","",N490-O490)</f>
        <v/>
      </c>
      <c r="Q490" s="9"/>
      <c r="R490" s="10" t="str">
        <f aca="true">IF(A490="","",IF(AND(Q490&lt;&gt;"",P490&gt;0,TODAY()&gt;Q490),TODAY()-Q490,0))</f>
        <v/>
      </c>
      <c r="S490" s="10" t="str">
        <f aca="false">IF(A490="","",IF(N490=0,"Chưa có tiền hàng",IF(P490&lt;0,"Thu thừa",IF(P490=0,"Đã thu đủ",IF(O490&gt;0,"Thu một phần","Chưa thu")))))</f>
        <v/>
      </c>
      <c r="T490" s="10" t="str">
        <f aca="false">IF(A490="","",IF(AND(F490="Đã giao",H490&lt;&gt;"Đã xuất"),"Đã giao - CHƯA XUẤT HĐ",IF(AND(H490="Đã xuất",F490="Chưa giao"),"Đã xuất HĐ - chưa giao",IF(F490="","Chưa cập nhật giao hàng",IF(R490&gt;0,"Quá hạn "&amp;R490&amp;" ngày - đòi tiền",IF(P490&gt;0,"Chờ thu tiền",IF(P490&lt;0,"Kiểm tra thu thừa",IF(AND(F490="Đã giao",H490="Đã xuất"),"Hoàn tất","Theo dõi"))))))))</f>
        <v/>
      </c>
      <c r="U490" s="8"/>
    </row>
    <row r="491" customFormat="false" ht="15" hidden="false" customHeight="false" outlineLevel="0" collapsed="false">
      <c r="A491" s="8"/>
      <c r="B491" s="9"/>
      <c r="C491" s="8"/>
      <c r="D491" s="10" t="str">
        <f aca="false">IF(C491="","",IFERROR(VLOOKUP(C491,KhachHang!$A$2:$B$200,2,FALSE())&amp;"",""))</f>
        <v/>
      </c>
      <c r="E491" s="8"/>
      <c r="F491" s="8"/>
      <c r="G491" s="9"/>
      <c r="H491" s="8"/>
      <c r="I491" s="8"/>
      <c r="J491" s="9"/>
      <c r="K491" s="11" t="str">
        <f aca="false">IF(A491="","",SUMIFS(ChiTiet!$I$2:$I$2000,ChiTiet!$A$2:$A$2000,A491))</f>
        <v/>
      </c>
      <c r="L491" s="12"/>
      <c r="M491" s="11" t="str">
        <f aca="false">IF(A491="","",ROUND(K491*IF(L491="",0.08,L491),0))</f>
        <v/>
      </c>
      <c r="N491" s="11" t="str">
        <f aca="false">IF(A491="","",K491+M491)</f>
        <v/>
      </c>
      <c r="O491" s="11" t="str">
        <f aca="false">IF(A491="","",SUMIFS(ThuTien!$D$2:$D$2000,ThuTien!$B$2:$B$2000,A491))</f>
        <v/>
      </c>
      <c r="P491" s="11" t="str">
        <f aca="false">IF(A491="","",N491-O491)</f>
        <v/>
      </c>
      <c r="Q491" s="9"/>
      <c r="R491" s="10" t="str">
        <f aca="true">IF(A491="","",IF(AND(Q491&lt;&gt;"",P491&gt;0,TODAY()&gt;Q491),TODAY()-Q491,0))</f>
        <v/>
      </c>
      <c r="S491" s="10" t="str">
        <f aca="false">IF(A491="","",IF(N491=0,"Chưa có tiền hàng",IF(P491&lt;0,"Thu thừa",IF(P491=0,"Đã thu đủ",IF(O491&gt;0,"Thu một phần","Chưa thu")))))</f>
        <v/>
      </c>
      <c r="T491" s="10" t="str">
        <f aca="false">IF(A491="","",IF(AND(F491="Đã giao",H491&lt;&gt;"Đã xuất"),"Đã giao - CHƯA XUẤT HĐ",IF(AND(H491="Đã xuất",F491="Chưa giao"),"Đã xuất HĐ - chưa giao",IF(F491="","Chưa cập nhật giao hàng",IF(R491&gt;0,"Quá hạn "&amp;R491&amp;" ngày - đòi tiền",IF(P491&gt;0,"Chờ thu tiền",IF(P491&lt;0,"Kiểm tra thu thừa",IF(AND(F491="Đã giao",H491="Đã xuất"),"Hoàn tất","Theo dõi"))))))))</f>
        <v/>
      </c>
      <c r="U491" s="8"/>
    </row>
    <row r="492" customFormat="false" ht="15" hidden="false" customHeight="false" outlineLevel="0" collapsed="false">
      <c r="A492" s="8"/>
      <c r="B492" s="9"/>
      <c r="C492" s="8"/>
      <c r="D492" s="10" t="str">
        <f aca="false">IF(C492="","",IFERROR(VLOOKUP(C492,KhachHang!$A$2:$B$200,2,FALSE())&amp;"",""))</f>
        <v/>
      </c>
      <c r="E492" s="8"/>
      <c r="F492" s="8"/>
      <c r="G492" s="9"/>
      <c r="H492" s="8"/>
      <c r="I492" s="8"/>
      <c r="J492" s="9"/>
      <c r="K492" s="11" t="str">
        <f aca="false">IF(A492="","",SUMIFS(ChiTiet!$I$2:$I$2000,ChiTiet!$A$2:$A$2000,A492))</f>
        <v/>
      </c>
      <c r="L492" s="12"/>
      <c r="M492" s="11" t="str">
        <f aca="false">IF(A492="","",ROUND(K492*IF(L492="",0.08,L492),0))</f>
        <v/>
      </c>
      <c r="N492" s="11" t="str">
        <f aca="false">IF(A492="","",K492+M492)</f>
        <v/>
      </c>
      <c r="O492" s="11" t="str">
        <f aca="false">IF(A492="","",SUMIFS(ThuTien!$D$2:$D$2000,ThuTien!$B$2:$B$2000,A492))</f>
        <v/>
      </c>
      <c r="P492" s="11" t="str">
        <f aca="false">IF(A492="","",N492-O492)</f>
        <v/>
      </c>
      <c r="Q492" s="9"/>
      <c r="R492" s="10" t="str">
        <f aca="true">IF(A492="","",IF(AND(Q492&lt;&gt;"",P492&gt;0,TODAY()&gt;Q492),TODAY()-Q492,0))</f>
        <v/>
      </c>
      <c r="S492" s="10" t="str">
        <f aca="false">IF(A492="","",IF(N492=0,"Chưa có tiền hàng",IF(P492&lt;0,"Thu thừa",IF(P492=0,"Đã thu đủ",IF(O492&gt;0,"Thu một phần","Chưa thu")))))</f>
        <v/>
      </c>
      <c r="T492" s="10" t="str">
        <f aca="false">IF(A492="","",IF(AND(F492="Đã giao",H492&lt;&gt;"Đã xuất"),"Đã giao - CHƯA XUẤT HĐ",IF(AND(H492="Đã xuất",F492="Chưa giao"),"Đã xuất HĐ - chưa giao",IF(F492="","Chưa cập nhật giao hàng",IF(R492&gt;0,"Quá hạn "&amp;R492&amp;" ngày - đòi tiền",IF(P492&gt;0,"Chờ thu tiền",IF(P492&lt;0,"Kiểm tra thu thừa",IF(AND(F492="Đã giao",H492="Đã xuất"),"Hoàn tất","Theo dõi"))))))))</f>
        <v/>
      </c>
      <c r="U492" s="8"/>
    </row>
    <row r="493" customFormat="false" ht="15" hidden="false" customHeight="false" outlineLevel="0" collapsed="false">
      <c r="A493" s="8"/>
      <c r="B493" s="9"/>
      <c r="C493" s="8"/>
      <c r="D493" s="10" t="str">
        <f aca="false">IF(C493="","",IFERROR(VLOOKUP(C493,KhachHang!$A$2:$B$200,2,FALSE())&amp;"",""))</f>
        <v/>
      </c>
      <c r="E493" s="8"/>
      <c r="F493" s="8"/>
      <c r="G493" s="9"/>
      <c r="H493" s="8"/>
      <c r="I493" s="8"/>
      <c r="J493" s="9"/>
      <c r="K493" s="11" t="str">
        <f aca="false">IF(A493="","",SUMIFS(ChiTiet!$I$2:$I$2000,ChiTiet!$A$2:$A$2000,A493))</f>
        <v/>
      </c>
      <c r="L493" s="12"/>
      <c r="M493" s="11" t="str">
        <f aca="false">IF(A493="","",ROUND(K493*IF(L493="",0.08,L493),0))</f>
        <v/>
      </c>
      <c r="N493" s="11" t="str">
        <f aca="false">IF(A493="","",K493+M493)</f>
        <v/>
      </c>
      <c r="O493" s="11" t="str">
        <f aca="false">IF(A493="","",SUMIFS(ThuTien!$D$2:$D$2000,ThuTien!$B$2:$B$2000,A493))</f>
        <v/>
      </c>
      <c r="P493" s="11" t="str">
        <f aca="false">IF(A493="","",N493-O493)</f>
        <v/>
      </c>
      <c r="Q493" s="9"/>
      <c r="R493" s="10" t="str">
        <f aca="true">IF(A493="","",IF(AND(Q493&lt;&gt;"",P493&gt;0,TODAY()&gt;Q493),TODAY()-Q493,0))</f>
        <v/>
      </c>
      <c r="S493" s="10" t="str">
        <f aca="false">IF(A493="","",IF(N493=0,"Chưa có tiền hàng",IF(P493&lt;0,"Thu thừa",IF(P493=0,"Đã thu đủ",IF(O493&gt;0,"Thu một phần","Chưa thu")))))</f>
        <v/>
      </c>
      <c r="T493" s="10" t="str">
        <f aca="false">IF(A493="","",IF(AND(F493="Đã giao",H493&lt;&gt;"Đã xuất"),"Đã giao - CHƯA XUẤT HĐ",IF(AND(H493="Đã xuất",F493="Chưa giao"),"Đã xuất HĐ - chưa giao",IF(F493="","Chưa cập nhật giao hàng",IF(R493&gt;0,"Quá hạn "&amp;R493&amp;" ngày - đòi tiền",IF(P493&gt;0,"Chờ thu tiền",IF(P493&lt;0,"Kiểm tra thu thừa",IF(AND(F493="Đã giao",H493="Đã xuất"),"Hoàn tất","Theo dõi"))))))))</f>
        <v/>
      </c>
      <c r="U493" s="8"/>
    </row>
    <row r="494" customFormat="false" ht="15" hidden="false" customHeight="false" outlineLevel="0" collapsed="false">
      <c r="A494" s="8"/>
      <c r="B494" s="9"/>
      <c r="C494" s="8"/>
      <c r="D494" s="10" t="str">
        <f aca="false">IF(C494="","",IFERROR(VLOOKUP(C494,KhachHang!$A$2:$B$200,2,FALSE())&amp;"",""))</f>
        <v/>
      </c>
      <c r="E494" s="8"/>
      <c r="F494" s="8"/>
      <c r="G494" s="9"/>
      <c r="H494" s="8"/>
      <c r="I494" s="8"/>
      <c r="J494" s="9"/>
      <c r="K494" s="11" t="str">
        <f aca="false">IF(A494="","",SUMIFS(ChiTiet!$I$2:$I$2000,ChiTiet!$A$2:$A$2000,A494))</f>
        <v/>
      </c>
      <c r="L494" s="12"/>
      <c r="M494" s="11" t="str">
        <f aca="false">IF(A494="","",ROUND(K494*IF(L494="",0.08,L494),0))</f>
        <v/>
      </c>
      <c r="N494" s="11" t="str">
        <f aca="false">IF(A494="","",K494+M494)</f>
        <v/>
      </c>
      <c r="O494" s="11" t="str">
        <f aca="false">IF(A494="","",SUMIFS(ThuTien!$D$2:$D$2000,ThuTien!$B$2:$B$2000,A494))</f>
        <v/>
      </c>
      <c r="P494" s="11" t="str">
        <f aca="false">IF(A494="","",N494-O494)</f>
        <v/>
      </c>
      <c r="Q494" s="9"/>
      <c r="R494" s="10" t="str">
        <f aca="true">IF(A494="","",IF(AND(Q494&lt;&gt;"",P494&gt;0,TODAY()&gt;Q494),TODAY()-Q494,0))</f>
        <v/>
      </c>
      <c r="S494" s="10" t="str">
        <f aca="false">IF(A494="","",IF(N494=0,"Chưa có tiền hàng",IF(P494&lt;0,"Thu thừa",IF(P494=0,"Đã thu đủ",IF(O494&gt;0,"Thu một phần","Chưa thu")))))</f>
        <v/>
      </c>
      <c r="T494" s="10" t="str">
        <f aca="false">IF(A494="","",IF(AND(F494="Đã giao",H494&lt;&gt;"Đã xuất"),"Đã giao - CHƯA XUẤT HĐ",IF(AND(H494="Đã xuất",F494="Chưa giao"),"Đã xuất HĐ - chưa giao",IF(F494="","Chưa cập nhật giao hàng",IF(R494&gt;0,"Quá hạn "&amp;R494&amp;" ngày - đòi tiền",IF(P494&gt;0,"Chờ thu tiền",IF(P494&lt;0,"Kiểm tra thu thừa",IF(AND(F494="Đã giao",H494="Đã xuất"),"Hoàn tất","Theo dõi"))))))))</f>
        <v/>
      </c>
      <c r="U494" s="8"/>
    </row>
    <row r="495" customFormat="false" ht="15" hidden="false" customHeight="false" outlineLevel="0" collapsed="false">
      <c r="A495" s="8"/>
      <c r="B495" s="9"/>
      <c r="C495" s="8"/>
      <c r="D495" s="10" t="str">
        <f aca="false">IF(C495="","",IFERROR(VLOOKUP(C495,KhachHang!$A$2:$B$200,2,FALSE())&amp;"",""))</f>
        <v/>
      </c>
      <c r="E495" s="8"/>
      <c r="F495" s="8"/>
      <c r="G495" s="9"/>
      <c r="H495" s="8"/>
      <c r="I495" s="8"/>
      <c r="J495" s="9"/>
      <c r="K495" s="11" t="str">
        <f aca="false">IF(A495="","",SUMIFS(ChiTiet!$I$2:$I$2000,ChiTiet!$A$2:$A$2000,A495))</f>
        <v/>
      </c>
      <c r="L495" s="12"/>
      <c r="M495" s="11" t="str">
        <f aca="false">IF(A495="","",ROUND(K495*IF(L495="",0.08,L495),0))</f>
        <v/>
      </c>
      <c r="N495" s="11" t="str">
        <f aca="false">IF(A495="","",K495+M495)</f>
        <v/>
      </c>
      <c r="O495" s="11" t="str">
        <f aca="false">IF(A495="","",SUMIFS(ThuTien!$D$2:$D$2000,ThuTien!$B$2:$B$2000,A495))</f>
        <v/>
      </c>
      <c r="P495" s="11" t="str">
        <f aca="false">IF(A495="","",N495-O495)</f>
        <v/>
      </c>
      <c r="Q495" s="9"/>
      <c r="R495" s="10" t="str">
        <f aca="true">IF(A495="","",IF(AND(Q495&lt;&gt;"",P495&gt;0,TODAY()&gt;Q495),TODAY()-Q495,0))</f>
        <v/>
      </c>
      <c r="S495" s="10" t="str">
        <f aca="false">IF(A495="","",IF(N495=0,"Chưa có tiền hàng",IF(P495&lt;0,"Thu thừa",IF(P495=0,"Đã thu đủ",IF(O495&gt;0,"Thu một phần","Chưa thu")))))</f>
        <v/>
      </c>
      <c r="T495" s="10" t="str">
        <f aca="false">IF(A495="","",IF(AND(F495="Đã giao",H495&lt;&gt;"Đã xuất"),"Đã giao - CHƯA XUẤT HĐ",IF(AND(H495="Đã xuất",F495="Chưa giao"),"Đã xuất HĐ - chưa giao",IF(F495="","Chưa cập nhật giao hàng",IF(R495&gt;0,"Quá hạn "&amp;R495&amp;" ngày - đòi tiền",IF(P495&gt;0,"Chờ thu tiền",IF(P495&lt;0,"Kiểm tra thu thừa",IF(AND(F495="Đã giao",H495="Đã xuất"),"Hoàn tất","Theo dõi"))))))))</f>
        <v/>
      </c>
      <c r="U495" s="8"/>
    </row>
    <row r="496" customFormat="false" ht="15" hidden="false" customHeight="false" outlineLevel="0" collapsed="false">
      <c r="A496" s="8"/>
      <c r="B496" s="9"/>
      <c r="C496" s="8"/>
      <c r="D496" s="10" t="str">
        <f aca="false">IF(C496="","",IFERROR(VLOOKUP(C496,KhachHang!$A$2:$B$200,2,FALSE())&amp;"",""))</f>
        <v/>
      </c>
      <c r="E496" s="8"/>
      <c r="F496" s="8"/>
      <c r="G496" s="9"/>
      <c r="H496" s="8"/>
      <c r="I496" s="8"/>
      <c r="J496" s="9"/>
      <c r="K496" s="11" t="str">
        <f aca="false">IF(A496="","",SUMIFS(ChiTiet!$I$2:$I$2000,ChiTiet!$A$2:$A$2000,A496))</f>
        <v/>
      </c>
      <c r="L496" s="12"/>
      <c r="M496" s="11" t="str">
        <f aca="false">IF(A496="","",ROUND(K496*IF(L496="",0.08,L496),0))</f>
        <v/>
      </c>
      <c r="N496" s="11" t="str">
        <f aca="false">IF(A496="","",K496+M496)</f>
        <v/>
      </c>
      <c r="O496" s="11" t="str">
        <f aca="false">IF(A496="","",SUMIFS(ThuTien!$D$2:$D$2000,ThuTien!$B$2:$B$2000,A496))</f>
        <v/>
      </c>
      <c r="P496" s="11" t="str">
        <f aca="false">IF(A496="","",N496-O496)</f>
        <v/>
      </c>
      <c r="Q496" s="9"/>
      <c r="R496" s="10" t="str">
        <f aca="true">IF(A496="","",IF(AND(Q496&lt;&gt;"",P496&gt;0,TODAY()&gt;Q496),TODAY()-Q496,0))</f>
        <v/>
      </c>
      <c r="S496" s="10" t="str">
        <f aca="false">IF(A496="","",IF(N496=0,"Chưa có tiền hàng",IF(P496&lt;0,"Thu thừa",IF(P496=0,"Đã thu đủ",IF(O496&gt;0,"Thu một phần","Chưa thu")))))</f>
        <v/>
      </c>
      <c r="T496" s="10" t="str">
        <f aca="false">IF(A496="","",IF(AND(F496="Đã giao",H496&lt;&gt;"Đã xuất"),"Đã giao - CHƯA XUẤT HĐ",IF(AND(H496="Đã xuất",F496="Chưa giao"),"Đã xuất HĐ - chưa giao",IF(F496="","Chưa cập nhật giao hàng",IF(R496&gt;0,"Quá hạn "&amp;R496&amp;" ngày - đòi tiền",IF(P496&gt;0,"Chờ thu tiền",IF(P496&lt;0,"Kiểm tra thu thừa",IF(AND(F496="Đã giao",H496="Đã xuất"),"Hoàn tất","Theo dõi"))))))))</f>
        <v/>
      </c>
      <c r="U496" s="8"/>
    </row>
    <row r="497" customFormat="false" ht="15" hidden="false" customHeight="false" outlineLevel="0" collapsed="false">
      <c r="A497" s="8"/>
      <c r="B497" s="9"/>
      <c r="C497" s="8"/>
      <c r="D497" s="10" t="str">
        <f aca="false">IF(C497="","",IFERROR(VLOOKUP(C497,KhachHang!$A$2:$B$200,2,FALSE())&amp;"",""))</f>
        <v/>
      </c>
      <c r="E497" s="8"/>
      <c r="F497" s="8"/>
      <c r="G497" s="9"/>
      <c r="H497" s="8"/>
      <c r="I497" s="8"/>
      <c r="J497" s="9"/>
      <c r="K497" s="11" t="str">
        <f aca="false">IF(A497="","",SUMIFS(ChiTiet!$I$2:$I$2000,ChiTiet!$A$2:$A$2000,A497))</f>
        <v/>
      </c>
      <c r="L497" s="12"/>
      <c r="M497" s="11" t="str">
        <f aca="false">IF(A497="","",ROUND(K497*IF(L497="",0.08,L497),0))</f>
        <v/>
      </c>
      <c r="N497" s="11" t="str">
        <f aca="false">IF(A497="","",K497+M497)</f>
        <v/>
      </c>
      <c r="O497" s="11" t="str">
        <f aca="false">IF(A497="","",SUMIFS(ThuTien!$D$2:$D$2000,ThuTien!$B$2:$B$2000,A497))</f>
        <v/>
      </c>
      <c r="P497" s="11" t="str">
        <f aca="false">IF(A497="","",N497-O497)</f>
        <v/>
      </c>
      <c r="Q497" s="9"/>
      <c r="R497" s="10" t="str">
        <f aca="true">IF(A497="","",IF(AND(Q497&lt;&gt;"",P497&gt;0,TODAY()&gt;Q497),TODAY()-Q497,0))</f>
        <v/>
      </c>
      <c r="S497" s="10" t="str">
        <f aca="false">IF(A497="","",IF(N497=0,"Chưa có tiền hàng",IF(P497&lt;0,"Thu thừa",IF(P497=0,"Đã thu đủ",IF(O497&gt;0,"Thu một phần","Chưa thu")))))</f>
        <v/>
      </c>
      <c r="T497" s="10" t="str">
        <f aca="false">IF(A497="","",IF(AND(F497="Đã giao",H497&lt;&gt;"Đã xuất"),"Đã giao - CHƯA XUẤT HĐ",IF(AND(H497="Đã xuất",F497="Chưa giao"),"Đã xuất HĐ - chưa giao",IF(F497="","Chưa cập nhật giao hàng",IF(R497&gt;0,"Quá hạn "&amp;R497&amp;" ngày - đòi tiền",IF(P497&gt;0,"Chờ thu tiền",IF(P497&lt;0,"Kiểm tra thu thừa",IF(AND(F497="Đã giao",H497="Đã xuất"),"Hoàn tất","Theo dõi"))))))))</f>
        <v/>
      </c>
      <c r="U497" s="8"/>
    </row>
    <row r="498" customFormat="false" ht="15" hidden="false" customHeight="false" outlineLevel="0" collapsed="false">
      <c r="A498" s="8"/>
      <c r="B498" s="9"/>
      <c r="C498" s="8"/>
      <c r="D498" s="10" t="str">
        <f aca="false">IF(C498="","",IFERROR(VLOOKUP(C498,KhachHang!$A$2:$B$200,2,FALSE())&amp;"",""))</f>
        <v/>
      </c>
      <c r="E498" s="8"/>
      <c r="F498" s="8"/>
      <c r="G498" s="9"/>
      <c r="H498" s="8"/>
      <c r="I498" s="8"/>
      <c r="J498" s="9"/>
      <c r="K498" s="11" t="str">
        <f aca="false">IF(A498="","",SUMIFS(ChiTiet!$I$2:$I$2000,ChiTiet!$A$2:$A$2000,A498))</f>
        <v/>
      </c>
      <c r="L498" s="12"/>
      <c r="M498" s="11" t="str">
        <f aca="false">IF(A498="","",ROUND(K498*IF(L498="",0.08,L498),0))</f>
        <v/>
      </c>
      <c r="N498" s="11" t="str">
        <f aca="false">IF(A498="","",K498+M498)</f>
        <v/>
      </c>
      <c r="O498" s="11" t="str">
        <f aca="false">IF(A498="","",SUMIFS(ThuTien!$D$2:$D$2000,ThuTien!$B$2:$B$2000,A498))</f>
        <v/>
      </c>
      <c r="P498" s="11" t="str">
        <f aca="false">IF(A498="","",N498-O498)</f>
        <v/>
      </c>
      <c r="Q498" s="9"/>
      <c r="R498" s="10" t="str">
        <f aca="true">IF(A498="","",IF(AND(Q498&lt;&gt;"",P498&gt;0,TODAY()&gt;Q498),TODAY()-Q498,0))</f>
        <v/>
      </c>
      <c r="S498" s="10" t="str">
        <f aca="false">IF(A498="","",IF(N498=0,"Chưa có tiền hàng",IF(P498&lt;0,"Thu thừa",IF(P498=0,"Đã thu đủ",IF(O498&gt;0,"Thu một phần","Chưa thu")))))</f>
        <v/>
      </c>
      <c r="T498" s="10" t="str">
        <f aca="false">IF(A498="","",IF(AND(F498="Đã giao",H498&lt;&gt;"Đã xuất"),"Đã giao - CHƯA XUẤT HĐ",IF(AND(H498="Đã xuất",F498="Chưa giao"),"Đã xuất HĐ - chưa giao",IF(F498="","Chưa cập nhật giao hàng",IF(R498&gt;0,"Quá hạn "&amp;R498&amp;" ngày - đòi tiền",IF(P498&gt;0,"Chờ thu tiền",IF(P498&lt;0,"Kiểm tra thu thừa",IF(AND(F498="Đã giao",H498="Đã xuất"),"Hoàn tất","Theo dõi"))))))))</f>
        <v/>
      </c>
      <c r="U498" s="8"/>
    </row>
    <row r="499" customFormat="false" ht="15" hidden="false" customHeight="false" outlineLevel="0" collapsed="false">
      <c r="A499" s="8"/>
      <c r="B499" s="9"/>
      <c r="C499" s="8"/>
      <c r="D499" s="10" t="str">
        <f aca="false">IF(C499="","",IFERROR(VLOOKUP(C499,KhachHang!$A$2:$B$200,2,FALSE())&amp;"",""))</f>
        <v/>
      </c>
      <c r="E499" s="8"/>
      <c r="F499" s="8"/>
      <c r="G499" s="9"/>
      <c r="H499" s="8"/>
      <c r="I499" s="8"/>
      <c r="J499" s="9"/>
      <c r="K499" s="11" t="str">
        <f aca="false">IF(A499="","",SUMIFS(ChiTiet!$I$2:$I$2000,ChiTiet!$A$2:$A$2000,A499))</f>
        <v/>
      </c>
      <c r="L499" s="12"/>
      <c r="M499" s="11" t="str">
        <f aca="false">IF(A499="","",ROUND(K499*IF(L499="",0.08,L499),0))</f>
        <v/>
      </c>
      <c r="N499" s="11" t="str">
        <f aca="false">IF(A499="","",K499+M499)</f>
        <v/>
      </c>
      <c r="O499" s="11" t="str">
        <f aca="false">IF(A499="","",SUMIFS(ThuTien!$D$2:$D$2000,ThuTien!$B$2:$B$2000,A499))</f>
        <v/>
      </c>
      <c r="P499" s="11" t="str">
        <f aca="false">IF(A499="","",N499-O499)</f>
        <v/>
      </c>
      <c r="Q499" s="9"/>
      <c r="R499" s="10" t="str">
        <f aca="true">IF(A499="","",IF(AND(Q499&lt;&gt;"",P499&gt;0,TODAY()&gt;Q499),TODAY()-Q499,0))</f>
        <v/>
      </c>
      <c r="S499" s="10" t="str">
        <f aca="false">IF(A499="","",IF(N499=0,"Chưa có tiền hàng",IF(P499&lt;0,"Thu thừa",IF(P499=0,"Đã thu đủ",IF(O499&gt;0,"Thu một phần","Chưa thu")))))</f>
        <v/>
      </c>
      <c r="T499" s="10" t="str">
        <f aca="false">IF(A499="","",IF(AND(F499="Đã giao",H499&lt;&gt;"Đã xuất"),"Đã giao - CHƯA XUẤT HĐ",IF(AND(H499="Đã xuất",F499="Chưa giao"),"Đã xuất HĐ - chưa giao",IF(F499="","Chưa cập nhật giao hàng",IF(R499&gt;0,"Quá hạn "&amp;R499&amp;" ngày - đòi tiền",IF(P499&gt;0,"Chờ thu tiền",IF(P499&lt;0,"Kiểm tra thu thừa",IF(AND(F499="Đã giao",H499="Đã xuất"),"Hoàn tất","Theo dõi"))))))))</f>
        <v/>
      </c>
      <c r="U499" s="8"/>
    </row>
    <row r="500" customFormat="false" ht="15" hidden="false" customHeight="false" outlineLevel="0" collapsed="false">
      <c r="A500" s="8"/>
      <c r="B500" s="9"/>
      <c r="C500" s="8"/>
      <c r="D500" s="10" t="str">
        <f aca="false">IF(C500="","",IFERROR(VLOOKUP(C500,KhachHang!$A$2:$B$200,2,FALSE())&amp;"",""))</f>
        <v/>
      </c>
      <c r="E500" s="8"/>
      <c r="F500" s="8"/>
      <c r="G500" s="9"/>
      <c r="H500" s="8"/>
      <c r="I500" s="8"/>
      <c r="J500" s="9"/>
      <c r="K500" s="11" t="str">
        <f aca="false">IF(A500="","",SUMIFS(ChiTiet!$I$2:$I$2000,ChiTiet!$A$2:$A$2000,A500))</f>
        <v/>
      </c>
      <c r="L500" s="12"/>
      <c r="M500" s="11" t="str">
        <f aca="false">IF(A500="","",ROUND(K500*IF(L500="",0.08,L500),0))</f>
        <v/>
      </c>
      <c r="N500" s="11" t="str">
        <f aca="false">IF(A500="","",K500+M500)</f>
        <v/>
      </c>
      <c r="O500" s="11" t="str">
        <f aca="false">IF(A500="","",SUMIFS(ThuTien!$D$2:$D$2000,ThuTien!$B$2:$B$2000,A500))</f>
        <v/>
      </c>
      <c r="P500" s="11" t="str">
        <f aca="false">IF(A500="","",N500-O500)</f>
        <v/>
      </c>
      <c r="Q500" s="9"/>
      <c r="R500" s="10" t="str">
        <f aca="true">IF(A500="","",IF(AND(Q500&lt;&gt;"",P500&gt;0,TODAY()&gt;Q500),TODAY()-Q500,0))</f>
        <v/>
      </c>
      <c r="S500" s="10" t="str">
        <f aca="false">IF(A500="","",IF(N500=0,"Chưa có tiền hàng",IF(P500&lt;0,"Thu thừa",IF(P500=0,"Đã thu đủ",IF(O500&gt;0,"Thu một phần","Chưa thu")))))</f>
        <v/>
      </c>
      <c r="T500" s="10" t="str">
        <f aca="false">IF(A500="","",IF(AND(F500="Đã giao",H500&lt;&gt;"Đã xuất"),"Đã giao - CHƯA XUẤT HĐ",IF(AND(H500="Đã xuất",F500="Chưa giao"),"Đã xuất HĐ - chưa giao",IF(F500="","Chưa cập nhật giao hàng",IF(R500&gt;0,"Quá hạn "&amp;R500&amp;" ngày - đòi tiền",IF(P500&gt;0,"Chờ thu tiền",IF(P500&lt;0,"Kiểm tra thu thừa",IF(AND(F500="Đã giao",H500="Đã xuất"),"Hoàn tất","Theo dõi"))))))))</f>
        <v/>
      </c>
      <c r="U500" s="8"/>
    </row>
  </sheetData>
  <autoFilter ref="A1:U500"/>
  <conditionalFormatting sqref="A2:U500">
    <cfRule type="expression" priority="2" aboveAverage="0" equalAverage="0" bottom="0" percent="0" rank="0" text="" dxfId="4">
      <formula>ISNUMBER(SEARCH("CHƯA XUẤT HĐ",$T2))</formula>
    </cfRule>
    <cfRule type="expression" priority="3" aboveAverage="0" equalAverage="0" bottom="0" percent="0" rank="0" text="" dxfId="5">
      <formula>ISNUMBER(SEARCH("Quá hạn",$T2))</formula>
    </cfRule>
    <cfRule type="expression" priority="4" aboveAverage="0" equalAverage="0" bottom="0" percent="0" rank="0" text="" dxfId="6">
      <formula>ISNUMBER(SEARCH("chưa giao",$T2))</formula>
    </cfRule>
    <cfRule type="expression" priority="5" aboveAverage="0" equalAverage="0" bottom="0" percent="0" rank="0" text="" dxfId="7">
      <formula>$T2="Hoàn tất"</formula>
    </cfRule>
  </conditionalFormatting>
  <dataValidations count="3">
    <dataValidation allowBlank="true" error="Chọn một giá trị trong danh sách" errorStyle="stop" errorTitle="Sai giá trị" operator="between" showDropDown="false" showErrorMessage="true" showInputMessage="false" sqref="F2:F500" type="list">
      <formula1>"Chưa giao,Giao một phần,Đã giao"</formula1>
      <formula2>0</formula2>
    </dataValidation>
    <dataValidation allowBlank="true" error="Chọn một giá trị trong danh sách" errorStyle="stop" errorTitle="Sai giá trị" operator="between" showDropDown="false" showErrorMessage="true" showInputMessage="false" sqref="H2:H500" type="list">
      <formula1>"Chưa xuất,Đã xuất"</formula1>
      <formula2>0</formula2>
    </dataValidation>
    <dataValidation allowBlank="true" error="Chọn một giá trị trong danh sách" errorStyle="stop" errorTitle="Sai giá trị" operator="between" showDropDown="false" showErrorMessage="true" showInputMessage="false" sqref="C2:C500" type="list">
      <formula1>KhachHang!$A$2:$A$200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6"/>
  </cols>
  <sheetData>
    <row r="1" customFormat="false" ht="36" hidden="false" customHeight="true" outlineLevel="0" collapsed="false">
      <c r="A1" s="7" t="s">
        <v>11</v>
      </c>
      <c r="B1" s="7" t="s">
        <v>13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30</v>
      </c>
      <c r="I1" s="7" t="s">
        <v>56</v>
      </c>
    </row>
    <row r="2" customFormat="false" ht="15" hidden="false" customHeight="false" outlineLevel="0" collapsed="false">
      <c r="A2" s="8" t="s">
        <v>31</v>
      </c>
      <c r="B2" s="10" t="str">
        <f aca="false">IF(A2="","",IFERROR(VLOOKUP(A2,DonHang!$A$2:$C$500,3,FALSE()),"mã đơn chưa có"))</f>
        <v>CÔNG TY CỔ PHẦN CÔNG NGHỆ FATA</v>
      </c>
      <c r="C2" s="8" t="s">
        <v>57</v>
      </c>
      <c r="D2" s="8" t="s">
        <v>58</v>
      </c>
      <c r="E2" s="8" t="s">
        <v>59</v>
      </c>
      <c r="F2" s="13" t="n">
        <v>4</v>
      </c>
      <c r="G2" s="14" t="n">
        <v>28200000</v>
      </c>
      <c r="H2" s="8"/>
      <c r="I2" s="11" t="n">
        <f aca="false">IF(OR(F2="",G2=""),"",ROUND(F2*G2,0))</f>
        <v>112800000</v>
      </c>
    </row>
    <row r="3" customFormat="false" ht="15" hidden="false" customHeight="false" outlineLevel="0" collapsed="false">
      <c r="A3" s="8" t="s">
        <v>31</v>
      </c>
      <c r="B3" s="10" t="str">
        <f aca="false">IF(A3="","",IFERROR(VLOOKUP(A3,DonHang!$A$2:$C$500,3,FALSE()),"mã đơn chưa có"))</f>
        <v>CÔNG TY CỔ PHẦN CÔNG NGHỆ FATA</v>
      </c>
      <c r="C3" s="8" t="s">
        <v>57</v>
      </c>
      <c r="D3" s="8" t="s">
        <v>60</v>
      </c>
      <c r="E3" s="8" t="s">
        <v>59</v>
      </c>
      <c r="F3" s="13" t="n">
        <v>4</v>
      </c>
      <c r="G3" s="14" t="n">
        <v>39200000</v>
      </c>
      <c r="H3" s="8"/>
      <c r="I3" s="11" t="n">
        <f aca="false">IF(OR(F3="",G3=""),"",ROUND(F3*G3,0))</f>
        <v>156800000</v>
      </c>
    </row>
    <row r="4" customFormat="false" ht="15" hidden="false" customHeight="false" outlineLevel="0" collapsed="false">
      <c r="A4" s="8" t="s">
        <v>38</v>
      </c>
      <c r="B4" s="10" t="str">
        <f aca="false">IF(A4="","",IFERROR(VLOOKUP(A4,DonHang!$A$2:$C$500,3,FALSE()),"mã đơn chưa có"))</f>
        <v>CÔNG TY TNHH HOÀNG VIÊN QUẢNG BÁ</v>
      </c>
      <c r="C4" s="8" t="s">
        <v>57</v>
      </c>
      <c r="D4" s="8" t="s">
        <v>61</v>
      </c>
      <c r="E4" s="8" t="s">
        <v>59</v>
      </c>
      <c r="F4" s="13" t="n">
        <v>2</v>
      </c>
      <c r="G4" s="14" t="n">
        <v>5800000</v>
      </c>
      <c r="H4" s="8"/>
      <c r="I4" s="11" t="n">
        <f aca="false">IF(OR(F4="",G4=""),"",ROUND(F4*G4,0))</f>
        <v>11600000</v>
      </c>
    </row>
    <row r="5" customFormat="false" ht="15" hidden="false" customHeight="false" outlineLevel="0" collapsed="false">
      <c r="A5" s="8" t="s">
        <v>42</v>
      </c>
      <c r="B5" s="10" t="str">
        <f aca="false">IF(A5="","",IFERROR(VLOOKUP(A5,DonHang!$A$2:$C$500,3,FALSE()),"mã đơn chưa có"))</f>
        <v>CÔNG TY TNHH TIẾN ĐẠI</v>
      </c>
      <c r="C5" s="8" t="s">
        <v>57</v>
      </c>
      <c r="D5" s="8" t="s">
        <v>62</v>
      </c>
      <c r="E5" s="8" t="s">
        <v>59</v>
      </c>
      <c r="F5" s="13" t="n">
        <v>2</v>
      </c>
      <c r="G5" s="14" t="n">
        <v>4500000</v>
      </c>
      <c r="H5" s="8"/>
      <c r="I5" s="11" t="n">
        <f aca="false">IF(OR(F5="",G5=""),"",ROUND(F5*G5,0))</f>
        <v>9000000</v>
      </c>
    </row>
    <row r="6" customFormat="false" ht="15" hidden="false" customHeight="false" outlineLevel="0" collapsed="false">
      <c r="A6" s="8" t="s">
        <v>42</v>
      </c>
      <c r="B6" s="10" t="str">
        <f aca="false">IF(A6="","",IFERROR(VLOOKUP(A6,DonHang!$A$2:$C$500,3,FALSE()),"mã đơn chưa có"))</f>
        <v>CÔNG TY TNHH TIẾN ĐẠI</v>
      </c>
      <c r="C6" s="8" t="s">
        <v>57</v>
      </c>
      <c r="D6" s="8" t="s">
        <v>63</v>
      </c>
      <c r="E6" s="8" t="s">
        <v>64</v>
      </c>
      <c r="F6" s="13" t="n">
        <v>100</v>
      </c>
      <c r="G6" s="14" t="n">
        <v>17000</v>
      </c>
      <c r="H6" s="8"/>
      <c r="I6" s="11" t="n">
        <f aca="false">IF(OR(F6="",G6=""),"",ROUND(F6*G6,0))</f>
        <v>1700000</v>
      </c>
    </row>
    <row r="7" customFormat="false" ht="15" hidden="false" customHeight="false" outlineLevel="0" collapsed="false">
      <c r="A7" s="8" t="s">
        <v>47</v>
      </c>
      <c r="B7" s="10" t="str">
        <f aca="false">IF(A7="","",IFERROR(VLOOKUP(A7,DonHang!$A$2:$C$500,3,FALSE()),"mã đơn chưa có"))</f>
        <v>Công ty TNHH vật tư thiết bị Thu Liên</v>
      </c>
      <c r="C7" s="8" t="s">
        <v>57</v>
      </c>
      <c r="D7" s="8" t="s">
        <v>65</v>
      </c>
      <c r="E7" s="8" t="s">
        <v>59</v>
      </c>
      <c r="F7" s="13" t="n">
        <v>2</v>
      </c>
      <c r="G7" s="14"/>
      <c r="H7" s="8"/>
      <c r="I7" s="11" t="str">
        <f aca="false">IF(OR(F7="",G7=""),"",ROUND(F7*G7,0))</f>
        <v/>
      </c>
    </row>
    <row r="8" customFormat="false" ht="15" hidden="false" customHeight="false" outlineLevel="0" collapsed="false">
      <c r="A8" s="8" t="s">
        <v>47</v>
      </c>
      <c r="B8" s="10" t="str">
        <f aca="false">IF(A8="","",IFERROR(VLOOKUP(A8,DonHang!$A$2:$C$500,3,FALSE()),"mã đơn chưa có"))</f>
        <v>Công ty TNHH vật tư thiết bị Thu Liên</v>
      </c>
      <c r="C8" s="8" t="s">
        <v>57</v>
      </c>
      <c r="D8" s="8" t="s">
        <v>66</v>
      </c>
      <c r="E8" s="8" t="s">
        <v>59</v>
      </c>
      <c r="F8" s="13" t="n">
        <v>2</v>
      </c>
      <c r="G8" s="14"/>
      <c r="H8" s="8"/>
      <c r="I8" s="11" t="str">
        <f aca="false">IF(OR(F8="",G8=""),"",ROUND(F8*G8,0))</f>
        <v/>
      </c>
    </row>
    <row r="9" customFormat="false" ht="15" hidden="false" customHeight="false" outlineLevel="0" collapsed="false">
      <c r="A9" s="8"/>
      <c r="B9" s="10" t="str">
        <f aca="false">IF(A9="","",IFERROR(VLOOKUP(A9,DonHang!$A$2:$C$500,3,FALSE()),"mã đơn chưa có"))</f>
        <v/>
      </c>
      <c r="C9" s="8"/>
      <c r="D9" s="8"/>
      <c r="E9" s="8"/>
      <c r="F9" s="13"/>
      <c r="G9" s="14"/>
      <c r="H9" s="8"/>
      <c r="I9" s="11" t="str">
        <f aca="false">IF(OR(F9="",G9=""),"",ROUND(F9*G9,0))</f>
        <v/>
      </c>
    </row>
    <row r="10" customFormat="false" ht="15" hidden="false" customHeight="false" outlineLevel="0" collapsed="false">
      <c r="A10" s="8"/>
      <c r="B10" s="10" t="str">
        <f aca="false">IF(A10="","",IFERROR(VLOOKUP(A10,DonHang!$A$2:$C$500,3,FALSE()),"mã đơn chưa có"))</f>
        <v/>
      </c>
      <c r="C10" s="8"/>
      <c r="D10" s="8"/>
      <c r="E10" s="8"/>
      <c r="F10" s="13"/>
      <c r="G10" s="14"/>
      <c r="H10" s="8"/>
      <c r="I10" s="11" t="str">
        <f aca="false">IF(OR(F10="",G10=""),"",ROUND(F10*G10,0))</f>
        <v/>
      </c>
    </row>
    <row r="11" customFormat="false" ht="15" hidden="false" customHeight="false" outlineLevel="0" collapsed="false">
      <c r="A11" s="8"/>
      <c r="B11" s="10" t="str">
        <f aca="false">IF(A11="","",IFERROR(VLOOKUP(A11,DonHang!$A$2:$C$500,3,FALSE()),"mã đơn chưa có"))</f>
        <v/>
      </c>
      <c r="C11" s="8"/>
      <c r="D11" s="8"/>
      <c r="E11" s="8"/>
      <c r="F11" s="13"/>
      <c r="G11" s="14"/>
      <c r="H11" s="8"/>
      <c r="I11" s="11" t="str">
        <f aca="false">IF(OR(F11="",G11=""),"",ROUND(F11*G11,0))</f>
        <v/>
      </c>
    </row>
    <row r="12" customFormat="false" ht="15" hidden="false" customHeight="false" outlineLevel="0" collapsed="false">
      <c r="A12" s="8"/>
      <c r="B12" s="10" t="str">
        <f aca="false">IF(A12="","",IFERROR(VLOOKUP(A12,DonHang!$A$2:$C$500,3,FALSE()),"mã đơn chưa có"))</f>
        <v/>
      </c>
      <c r="C12" s="8"/>
      <c r="D12" s="8"/>
      <c r="E12" s="8"/>
      <c r="F12" s="13"/>
      <c r="G12" s="14"/>
      <c r="H12" s="8"/>
      <c r="I12" s="11" t="str">
        <f aca="false">IF(OR(F12="",G12=""),"",ROUND(F12*G12,0))</f>
        <v/>
      </c>
    </row>
    <row r="13" customFormat="false" ht="15" hidden="false" customHeight="false" outlineLevel="0" collapsed="false">
      <c r="A13" s="8"/>
      <c r="B13" s="10" t="str">
        <f aca="false">IF(A13="","",IFERROR(VLOOKUP(A13,DonHang!$A$2:$C$500,3,FALSE()),"mã đơn chưa có"))</f>
        <v/>
      </c>
      <c r="C13" s="8"/>
      <c r="D13" s="8"/>
      <c r="E13" s="8"/>
      <c r="F13" s="13"/>
      <c r="G13" s="14"/>
      <c r="H13" s="8"/>
      <c r="I13" s="11" t="str">
        <f aca="false">IF(OR(F13="",G13=""),"",ROUND(F13*G13,0))</f>
        <v/>
      </c>
    </row>
    <row r="14" customFormat="false" ht="15" hidden="false" customHeight="false" outlineLevel="0" collapsed="false">
      <c r="A14" s="8"/>
      <c r="B14" s="10" t="str">
        <f aca="false">IF(A14="","",IFERROR(VLOOKUP(A14,DonHang!$A$2:$C$500,3,FALSE()),"mã đơn chưa có"))</f>
        <v/>
      </c>
      <c r="C14" s="8"/>
      <c r="D14" s="8"/>
      <c r="E14" s="8"/>
      <c r="F14" s="13"/>
      <c r="G14" s="14"/>
      <c r="H14" s="8"/>
      <c r="I14" s="11" t="str">
        <f aca="false">IF(OR(F14="",G14=""),"",ROUND(F14*G14,0))</f>
        <v/>
      </c>
    </row>
    <row r="15" customFormat="false" ht="15" hidden="false" customHeight="false" outlineLevel="0" collapsed="false">
      <c r="A15" s="8"/>
      <c r="B15" s="10" t="str">
        <f aca="false">IF(A15="","",IFERROR(VLOOKUP(A15,DonHang!$A$2:$C$500,3,FALSE()),"mã đơn chưa có"))</f>
        <v/>
      </c>
      <c r="C15" s="8"/>
      <c r="D15" s="8"/>
      <c r="E15" s="8"/>
      <c r="F15" s="13"/>
      <c r="G15" s="14"/>
      <c r="H15" s="8"/>
      <c r="I15" s="11" t="str">
        <f aca="false">IF(OR(F15="",G15=""),"",ROUND(F15*G15,0))</f>
        <v/>
      </c>
    </row>
    <row r="16" customFormat="false" ht="15" hidden="false" customHeight="false" outlineLevel="0" collapsed="false">
      <c r="A16" s="8"/>
      <c r="B16" s="10" t="str">
        <f aca="false">IF(A16="","",IFERROR(VLOOKUP(A16,DonHang!$A$2:$C$500,3,FALSE()),"mã đơn chưa có"))</f>
        <v/>
      </c>
      <c r="C16" s="8"/>
      <c r="D16" s="8"/>
      <c r="E16" s="8"/>
      <c r="F16" s="13"/>
      <c r="G16" s="14"/>
      <c r="H16" s="8"/>
      <c r="I16" s="11" t="str">
        <f aca="false">IF(OR(F16="",G16=""),"",ROUND(F16*G16,0))</f>
        <v/>
      </c>
    </row>
    <row r="17" customFormat="false" ht="15" hidden="false" customHeight="false" outlineLevel="0" collapsed="false">
      <c r="A17" s="8"/>
      <c r="B17" s="10" t="str">
        <f aca="false">IF(A17="","",IFERROR(VLOOKUP(A17,DonHang!$A$2:$C$500,3,FALSE()),"mã đơn chưa có"))</f>
        <v/>
      </c>
      <c r="C17" s="8"/>
      <c r="D17" s="8"/>
      <c r="E17" s="8"/>
      <c r="F17" s="13"/>
      <c r="G17" s="14"/>
      <c r="H17" s="8"/>
      <c r="I17" s="11" t="str">
        <f aca="false">IF(OR(F17="",G17=""),"",ROUND(F17*G17,0))</f>
        <v/>
      </c>
    </row>
    <row r="18" customFormat="false" ht="15" hidden="false" customHeight="false" outlineLevel="0" collapsed="false">
      <c r="A18" s="8"/>
      <c r="B18" s="10" t="str">
        <f aca="false">IF(A18="","",IFERROR(VLOOKUP(A18,DonHang!$A$2:$C$500,3,FALSE()),"mã đơn chưa có"))</f>
        <v/>
      </c>
      <c r="C18" s="8"/>
      <c r="D18" s="8"/>
      <c r="E18" s="8"/>
      <c r="F18" s="13"/>
      <c r="G18" s="14"/>
      <c r="H18" s="8"/>
      <c r="I18" s="11" t="str">
        <f aca="false">IF(OR(F18="",G18=""),"",ROUND(F18*G18,0))</f>
        <v/>
      </c>
    </row>
    <row r="19" customFormat="false" ht="15" hidden="false" customHeight="false" outlineLevel="0" collapsed="false">
      <c r="A19" s="8"/>
      <c r="B19" s="10" t="str">
        <f aca="false">IF(A19="","",IFERROR(VLOOKUP(A19,DonHang!$A$2:$C$500,3,FALSE()),"mã đơn chưa có"))</f>
        <v/>
      </c>
      <c r="C19" s="8"/>
      <c r="D19" s="8"/>
      <c r="E19" s="8"/>
      <c r="F19" s="13"/>
      <c r="G19" s="14"/>
      <c r="H19" s="8"/>
      <c r="I19" s="11" t="str">
        <f aca="false">IF(OR(F19="",G19=""),"",ROUND(F19*G19,0))</f>
        <v/>
      </c>
    </row>
    <row r="20" customFormat="false" ht="15" hidden="false" customHeight="false" outlineLevel="0" collapsed="false">
      <c r="A20" s="8"/>
      <c r="B20" s="10" t="str">
        <f aca="false">IF(A20="","",IFERROR(VLOOKUP(A20,DonHang!$A$2:$C$500,3,FALSE()),"mã đơn chưa có"))</f>
        <v/>
      </c>
      <c r="C20" s="8"/>
      <c r="D20" s="8"/>
      <c r="E20" s="8"/>
      <c r="F20" s="13"/>
      <c r="G20" s="14"/>
      <c r="H20" s="8"/>
      <c r="I20" s="11" t="str">
        <f aca="false">IF(OR(F20="",G20=""),"",ROUND(F20*G20,0))</f>
        <v/>
      </c>
    </row>
    <row r="21" customFormat="false" ht="15" hidden="false" customHeight="false" outlineLevel="0" collapsed="false">
      <c r="A21" s="8"/>
      <c r="B21" s="10" t="str">
        <f aca="false">IF(A21="","",IFERROR(VLOOKUP(A21,DonHang!$A$2:$C$500,3,FALSE()),"mã đơn chưa có"))</f>
        <v/>
      </c>
      <c r="C21" s="8"/>
      <c r="D21" s="8"/>
      <c r="E21" s="8"/>
      <c r="F21" s="13"/>
      <c r="G21" s="14"/>
      <c r="H21" s="8"/>
      <c r="I21" s="11" t="str">
        <f aca="false">IF(OR(F21="",G21=""),"",ROUND(F21*G21,0))</f>
        <v/>
      </c>
    </row>
    <row r="22" customFormat="false" ht="15" hidden="false" customHeight="false" outlineLevel="0" collapsed="false">
      <c r="A22" s="8"/>
      <c r="B22" s="10" t="str">
        <f aca="false">IF(A22="","",IFERROR(VLOOKUP(A22,DonHang!$A$2:$C$500,3,FALSE()),"mã đơn chưa có"))</f>
        <v/>
      </c>
      <c r="C22" s="8"/>
      <c r="D22" s="8"/>
      <c r="E22" s="8"/>
      <c r="F22" s="13"/>
      <c r="G22" s="14"/>
      <c r="H22" s="8"/>
      <c r="I22" s="11" t="str">
        <f aca="false">IF(OR(F22="",G22=""),"",ROUND(F22*G22,0))</f>
        <v/>
      </c>
    </row>
    <row r="23" customFormat="false" ht="15" hidden="false" customHeight="false" outlineLevel="0" collapsed="false">
      <c r="A23" s="8"/>
      <c r="B23" s="10" t="str">
        <f aca="false">IF(A23="","",IFERROR(VLOOKUP(A23,DonHang!$A$2:$C$500,3,FALSE()),"mã đơn chưa có"))</f>
        <v/>
      </c>
      <c r="C23" s="8"/>
      <c r="D23" s="8"/>
      <c r="E23" s="8"/>
      <c r="F23" s="13"/>
      <c r="G23" s="14"/>
      <c r="H23" s="8"/>
      <c r="I23" s="11" t="str">
        <f aca="false">IF(OR(F23="",G23=""),"",ROUND(F23*G23,0))</f>
        <v/>
      </c>
    </row>
    <row r="24" customFormat="false" ht="15" hidden="false" customHeight="false" outlineLevel="0" collapsed="false">
      <c r="A24" s="8"/>
      <c r="B24" s="10" t="str">
        <f aca="false">IF(A24="","",IFERROR(VLOOKUP(A24,DonHang!$A$2:$C$500,3,FALSE()),"mã đơn chưa có"))</f>
        <v/>
      </c>
      <c r="C24" s="8"/>
      <c r="D24" s="8"/>
      <c r="E24" s="8"/>
      <c r="F24" s="13"/>
      <c r="G24" s="14"/>
      <c r="H24" s="8"/>
      <c r="I24" s="11" t="str">
        <f aca="false">IF(OR(F24="",G24=""),"",ROUND(F24*G24,0))</f>
        <v/>
      </c>
    </row>
    <row r="25" customFormat="false" ht="15" hidden="false" customHeight="false" outlineLevel="0" collapsed="false">
      <c r="A25" s="8"/>
      <c r="B25" s="10" t="str">
        <f aca="false">IF(A25="","",IFERROR(VLOOKUP(A25,DonHang!$A$2:$C$500,3,FALSE()),"mã đơn chưa có"))</f>
        <v/>
      </c>
      <c r="C25" s="8"/>
      <c r="D25" s="8"/>
      <c r="E25" s="8"/>
      <c r="F25" s="13"/>
      <c r="G25" s="14"/>
      <c r="H25" s="8"/>
      <c r="I25" s="11" t="str">
        <f aca="false">IF(OR(F25="",G25=""),"",ROUND(F25*G25,0))</f>
        <v/>
      </c>
    </row>
    <row r="26" customFormat="false" ht="15" hidden="false" customHeight="false" outlineLevel="0" collapsed="false">
      <c r="A26" s="8"/>
      <c r="B26" s="10" t="str">
        <f aca="false">IF(A26="","",IFERROR(VLOOKUP(A26,DonHang!$A$2:$C$500,3,FALSE()),"mã đơn chưa có"))</f>
        <v/>
      </c>
      <c r="C26" s="8"/>
      <c r="D26" s="8"/>
      <c r="E26" s="8"/>
      <c r="F26" s="13"/>
      <c r="G26" s="14"/>
      <c r="H26" s="8"/>
      <c r="I26" s="11" t="str">
        <f aca="false">IF(OR(F26="",G26=""),"",ROUND(F26*G26,0))</f>
        <v/>
      </c>
    </row>
    <row r="27" customFormat="false" ht="15" hidden="false" customHeight="false" outlineLevel="0" collapsed="false">
      <c r="A27" s="8"/>
      <c r="B27" s="10" t="str">
        <f aca="false">IF(A27="","",IFERROR(VLOOKUP(A27,DonHang!$A$2:$C$500,3,FALSE()),"mã đơn chưa có"))</f>
        <v/>
      </c>
      <c r="C27" s="8"/>
      <c r="D27" s="8"/>
      <c r="E27" s="8"/>
      <c r="F27" s="13"/>
      <c r="G27" s="14"/>
      <c r="H27" s="8"/>
      <c r="I27" s="11" t="str">
        <f aca="false">IF(OR(F27="",G27=""),"",ROUND(F27*G27,0))</f>
        <v/>
      </c>
    </row>
    <row r="28" customFormat="false" ht="15" hidden="false" customHeight="false" outlineLevel="0" collapsed="false">
      <c r="A28" s="8"/>
      <c r="B28" s="10" t="str">
        <f aca="false">IF(A28="","",IFERROR(VLOOKUP(A28,DonHang!$A$2:$C$500,3,FALSE()),"mã đơn chưa có"))</f>
        <v/>
      </c>
      <c r="C28" s="8"/>
      <c r="D28" s="8"/>
      <c r="E28" s="8"/>
      <c r="F28" s="13"/>
      <c r="G28" s="14"/>
      <c r="H28" s="8"/>
      <c r="I28" s="11" t="str">
        <f aca="false">IF(OR(F28="",G28=""),"",ROUND(F28*G28,0))</f>
        <v/>
      </c>
    </row>
    <row r="29" customFormat="false" ht="15" hidden="false" customHeight="false" outlineLevel="0" collapsed="false">
      <c r="A29" s="8"/>
      <c r="B29" s="10" t="str">
        <f aca="false">IF(A29="","",IFERROR(VLOOKUP(A29,DonHang!$A$2:$C$500,3,FALSE()),"mã đơn chưa có"))</f>
        <v/>
      </c>
      <c r="C29" s="8"/>
      <c r="D29" s="8"/>
      <c r="E29" s="8"/>
      <c r="F29" s="13"/>
      <c r="G29" s="14"/>
      <c r="H29" s="8"/>
      <c r="I29" s="11" t="str">
        <f aca="false">IF(OR(F29="",G29=""),"",ROUND(F29*G29,0))</f>
        <v/>
      </c>
    </row>
    <row r="30" customFormat="false" ht="15" hidden="false" customHeight="false" outlineLevel="0" collapsed="false">
      <c r="A30" s="8"/>
      <c r="B30" s="10" t="str">
        <f aca="false">IF(A30="","",IFERROR(VLOOKUP(A30,DonHang!$A$2:$C$500,3,FALSE()),"mã đơn chưa có"))</f>
        <v/>
      </c>
      <c r="C30" s="8"/>
      <c r="D30" s="8"/>
      <c r="E30" s="8"/>
      <c r="F30" s="13"/>
      <c r="G30" s="14"/>
      <c r="H30" s="8"/>
      <c r="I30" s="11" t="str">
        <f aca="false">IF(OR(F30="",G30=""),"",ROUND(F30*G30,0))</f>
        <v/>
      </c>
    </row>
    <row r="31" customFormat="false" ht="15" hidden="false" customHeight="false" outlineLevel="0" collapsed="false">
      <c r="A31" s="8"/>
      <c r="B31" s="10" t="str">
        <f aca="false">IF(A31="","",IFERROR(VLOOKUP(A31,DonHang!$A$2:$C$500,3,FALSE()),"mã đơn chưa có"))</f>
        <v/>
      </c>
      <c r="C31" s="8"/>
      <c r="D31" s="8"/>
      <c r="E31" s="8"/>
      <c r="F31" s="13"/>
      <c r="G31" s="14"/>
      <c r="H31" s="8"/>
      <c r="I31" s="11" t="str">
        <f aca="false">IF(OR(F31="",G31=""),"",ROUND(F31*G31,0))</f>
        <v/>
      </c>
    </row>
    <row r="32" customFormat="false" ht="15" hidden="false" customHeight="false" outlineLevel="0" collapsed="false">
      <c r="A32" s="8"/>
      <c r="B32" s="10" t="str">
        <f aca="false">IF(A32="","",IFERROR(VLOOKUP(A32,DonHang!$A$2:$C$500,3,FALSE()),"mã đơn chưa có"))</f>
        <v/>
      </c>
      <c r="C32" s="8"/>
      <c r="D32" s="8"/>
      <c r="E32" s="8"/>
      <c r="F32" s="13"/>
      <c r="G32" s="14"/>
      <c r="H32" s="8"/>
      <c r="I32" s="11" t="str">
        <f aca="false">IF(OR(F32="",G32=""),"",ROUND(F32*G32,0))</f>
        <v/>
      </c>
    </row>
    <row r="33" customFormat="false" ht="15" hidden="false" customHeight="false" outlineLevel="0" collapsed="false">
      <c r="A33" s="8"/>
      <c r="B33" s="10" t="str">
        <f aca="false">IF(A33="","",IFERROR(VLOOKUP(A33,DonHang!$A$2:$C$500,3,FALSE()),"mã đơn chưa có"))</f>
        <v/>
      </c>
      <c r="C33" s="8"/>
      <c r="D33" s="8"/>
      <c r="E33" s="8"/>
      <c r="F33" s="13"/>
      <c r="G33" s="14"/>
      <c r="H33" s="8"/>
      <c r="I33" s="11" t="str">
        <f aca="false">IF(OR(F33="",G33=""),"",ROUND(F33*G33,0))</f>
        <v/>
      </c>
    </row>
    <row r="34" customFormat="false" ht="15" hidden="false" customHeight="false" outlineLevel="0" collapsed="false">
      <c r="A34" s="8"/>
      <c r="B34" s="10" t="str">
        <f aca="false">IF(A34="","",IFERROR(VLOOKUP(A34,DonHang!$A$2:$C$500,3,FALSE()),"mã đơn chưa có"))</f>
        <v/>
      </c>
      <c r="C34" s="8"/>
      <c r="D34" s="8"/>
      <c r="E34" s="8"/>
      <c r="F34" s="13"/>
      <c r="G34" s="14"/>
      <c r="H34" s="8"/>
      <c r="I34" s="11" t="str">
        <f aca="false">IF(OR(F34="",G34=""),"",ROUND(F34*G34,0))</f>
        <v/>
      </c>
    </row>
    <row r="35" customFormat="false" ht="15" hidden="false" customHeight="false" outlineLevel="0" collapsed="false">
      <c r="A35" s="8"/>
      <c r="B35" s="10" t="str">
        <f aca="false">IF(A35="","",IFERROR(VLOOKUP(A35,DonHang!$A$2:$C$500,3,FALSE()),"mã đơn chưa có"))</f>
        <v/>
      </c>
      <c r="C35" s="8"/>
      <c r="D35" s="8"/>
      <c r="E35" s="8"/>
      <c r="F35" s="13"/>
      <c r="G35" s="14"/>
      <c r="H35" s="8"/>
      <c r="I35" s="11" t="str">
        <f aca="false">IF(OR(F35="",G35=""),"",ROUND(F35*G35,0))</f>
        <v/>
      </c>
    </row>
    <row r="36" customFormat="false" ht="15" hidden="false" customHeight="false" outlineLevel="0" collapsed="false">
      <c r="A36" s="8"/>
      <c r="B36" s="10" t="str">
        <f aca="false">IF(A36="","",IFERROR(VLOOKUP(A36,DonHang!$A$2:$C$500,3,FALSE()),"mã đơn chưa có"))</f>
        <v/>
      </c>
      <c r="C36" s="8"/>
      <c r="D36" s="8"/>
      <c r="E36" s="8"/>
      <c r="F36" s="13"/>
      <c r="G36" s="14"/>
      <c r="H36" s="8"/>
      <c r="I36" s="11" t="str">
        <f aca="false">IF(OR(F36="",G36=""),"",ROUND(F36*G36,0))</f>
        <v/>
      </c>
    </row>
    <row r="37" customFormat="false" ht="15" hidden="false" customHeight="false" outlineLevel="0" collapsed="false">
      <c r="A37" s="8"/>
      <c r="B37" s="10" t="str">
        <f aca="false">IF(A37="","",IFERROR(VLOOKUP(A37,DonHang!$A$2:$C$500,3,FALSE()),"mã đơn chưa có"))</f>
        <v/>
      </c>
      <c r="C37" s="8"/>
      <c r="D37" s="8"/>
      <c r="E37" s="8"/>
      <c r="F37" s="13"/>
      <c r="G37" s="14"/>
      <c r="H37" s="8"/>
      <c r="I37" s="11" t="str">
        <f aca="false">IF(OR(F37="",G37=""),"",ROUND(F37*G37,0))</f>
        <v/>
      </c>
    </row>
    <row r="38" customFormat="false" ht="15" hidden="false" customHeight="false" outlineLevel="0" collapsed="false">
      <c r="A38" s="8"/>
      <c r="B38" s="10" t="str">
        <f aca="false">IF(A38="","",IFERROR(VLOOKUP(A38,DonHang!$A$2:$C$500,3,FALSE()),"mã đơn chưa có"))</f>
        <v/>
      </c>
      <c r="C38" s="8"/>
      <c r="D38" s="8"/>
      <c r="E38" s="8"/>
      <c r="F38" s="13"/>
      <c r="G38" s="14"/>
      <c r="H38" s="8"/>
      <c r="I38" s="11" t="str">
        <f aca="false">IF(OR(F38="",G38=""),"",ROUND(F38*G38,0))</f>
        <v/>
      </c>
    </row>
    <row r="39" customFormat="false" ht="15" hidden="false" customHeight="false" outlineLevel="0" collapsed="false">
      <c r="A39" s="8"/>
      <c r="B39" s="10" t="str">
        <f aca="false">IF(A39="","",IFERROR(VLOOKUP(A39,DonHang!$A$2:$C$500,3,FALSE()),"mã đơn chưa có"))</f>
        <v/>
      </c>
      <c r="C39" s="8"/>
      <c r="D39" s="8"/>
      <c r="E39" s="8"/>
      <c r="F39" s="13"/>
      <c r="G39" s="14"/>
      <c r="H39" s="8"/>
      <c r="I39" s="11" t="str">
        <f aca="false">IF(OR(F39="",G39=""),"",ROUND(F39*G39,0))</f>
        <v/>
      </c>
    </row>
    <row r="40" customFormat="false" ht="15" hidden="false" customHeight="false" outlineLevel="0" collapsed="false">
      <c r="A40" s="8"/>
      <c r="B40" s="10" t="str">
        <f aca="false">IF(A40="","",IFERROR(VLOOKUP(A40,DonHang!$A$2:$C$500,3,FALSE()),"mã đơn chưa có"))</f>
        <v/>
      </c>
      <c r="C40" s="8"/>
      <c r="D40" s="8"/>
      <c r="E40" s="8"/>
      <c r="F40" s="13"/>
      <c r="G40" s="14"/>
      <c r="H40" s="8"/>
      <c r="I40" s="11" t="str">
        <f aca="false">IF(OR(F40="",G40=""),"",ROUND(F40*G40,0))</f>
        <v/>
      </c>
    </row>
    <row r="41" customFormat="false" ht="15" hidden="false" customHeight="false" outlineLevel="0" collapsed="false">
      <c r="A41" s="8"/>
      <c r="B41" s="10" t="str">
        <f aca="false">IF(A41="","",IFERROR(VLOOKUP(A41,DonHang!$A$2:$C$500,3,FALSE()),"mã đơn chưa có"))</f>
        <v/>
      </c>
      <c r="C41" s="8"/>
      <c r="D41" s="8"/>
      <c r="E41" s="8"/>
      <c r="F41" s="13"/>
      <c r="G41" s="14"/>
      <c r="H41" s="8"/>
      <c r="I41" s="11" t="str">
        <f aca="false">IF(OR(F41="",G41=""),"",ROUND(F41*G41,0))</f>
        <v/>
      </c>
    </row>
    <row r="42" customFormat="false" ht="15" hidden="false" customHeight="false" outlineLevel="0" collapsed="false">
      <c r="A42" s="8"/>
      <c r="B42" s="10" t="str">
        <f aca="false">IF(A42="","",IFERROR(VLOOKUP(A42,DonHang!$A$2:$C$500,3,FALSE()),"mã đơn chưa có"))</f>
        <v/>
      </c>
      <c r="C42" s="8"/>
      <c r="D42" s="8"/>
      <c r="E42" s="8"/>
      <c r="F42" s="13"/>
      <c r="G42" s="14"/>
      <c r="H42" s="8"/>
      <c r="I42" s="11" t="str">
        <f aca="false">IF(OR(F42="",G42=""),"",ROUND(F42*G42,0))</f>
        <v/>
      </c>
    </row>
    <row r="43" customFormat="false" ht="15" hidden="false" customHeight="false" outlineLevel="0" collapsed="false">
      <c r="A43" s="8"/>
      <c r="B43" s="10" t="str">
        <f aca="false">IF(A43="","",IFERROR(VLOOKUP(A43,DonHang!$A$2:$C$500,3,FALSE()),"mã đơn chưa có"))</f>
        <v/>
      </c>
      <c r="C43" s="8"/>
      <c r="D43" s="8"/>
      <c r="E43" s="8"/>
      <c r="F43" s="13"/>
      <c r="G43" s="14"/>
      <c r="H43" s="8"/>
      <c r="I43" s="11" t="str">
        <f aca="false">IF(OR(F43="",G43=""),"",ROUND(F43*G43,0))</f>
        <v/>
      </c>
    </row>
    <row r="44" customFormat="false" ht="15" hidden="false" customHeight="false" outlineLevel="0" collapsed="false">
      <c r="A44" s="8"/>
      <c r="B44" s="10" t="str">
        <f aca="false">IF(A44="","",IFERROR(VLOOKUP(A44,DonHang!$A$2:$C$500,3,FALSE()),"mã đơn chưa có"))</f>
        <v/>
      </c>
      <c r="C44" s="8"/>
      <c r="D44" s="8"/>
      <c r="E44" s="8"/>
      <c r="F44" s="13"/>
      <c r="G44" s="14"/>
      <c r="H44" s="8"/>
      <c r="I44" s="11" t="str">
        <f aca="false">IF(OR(F44="",G44=""),"",ROUND(F44*G44,0))</f>
        <v/>
      </c>
    </row>
    <row r="45" customFormat="false" ht="15" hidden="false" customHeight="false" outlineLevel="0" collapsed="false">
      <c r="A45" s="8"/>
      <c r="B45" s="10" t="str">
        <f aca="false">IF(A45="","",IFERROR(VLOOKUP(A45,DonHang!$A$2:$C$500,3,FALSE()),"mã đơn chưa có"))</f>
        <v/>
      </c>
      <c r="C45" s="8"/>
      <c r="D45" s="8"/>
      <c r="E45" s="8"/>
      <c r="F45" s="13"/>
      <c r="G45" s="14"/>
      <c r="H45" s="8"/>
      <c r="I45" s="11" t="str">
        <f aca="false">IF(OR(F45="",G45=""),"",ROUND(F45*G45,0))</f>
        <v/>
      </c>
    </row>
    <row r="46" customFormat="false" ht="15" hidden="false" customHeight="false" outlineLevel="0" collapsed="false">
      <c r="A46" s="8"/>
      <c r="B46" s="10" t="str">
        <f aca="false">IF(A46="","",IFERROR(VLOOKUP(A46,DonHang!$A$2:$C$500,3,FALSE()),"mã đơn chưa có"))</f>
        <v/>
      </c>
      <c r="C46" s="8"/>
      <c r="D46" s="8"/>
      <c r="E46" s="8"/>
      <c r="F46" s="13"/>
      <c r="G46" s="14"/>
      <c r="H46" s="8"/>
      <c r="I46" s="11" t="str">
        <f aca="false">IF(OR(F46="",G46=""),"",ROUND(F46*G46,0))</f>
        <v/>
      </c>
    </row>
    <row r="47" customFormat="false" ht="15" hidden="false" customHeight="false" outlineLevel="0" collapsed="false">
      <c r="A47" s="8"/>
      <c r="B47" s="10" t="str">
        <f aca="false">IF(A47="","",IFERROR(VLOOKUP(A47,DonHang!$A$2:$C$500,3,FALSE()),"mã đơn chưa có"))</f>
        <v/>
      </c>
      <c r="C47" s="8"/>
      <c r="D47" s="8"/>
      <c r="E47" s="8"/>
      <c r="F47" s="13"/>
      <c r="G47" s="14"/>
      <c r="H47" s="8"/>
      <c r="I47" s="11" t="str">
        <f aca="false">IF(OR(F47="",G47=""),"",ROUND(F47*G47,0))</f>
        <v/>
      </c>
    </row>
    <row r="48" customFormat="false" ht="15" hidden="false" customHeight="false" outlineLevel="0" collapsed="false">
      <c r="A48" s="8"/>
      <c r="B48" s="10" t="str">
        <f aca="false">IF(A48="","",IFERROR(VLOOKUP(A48,DonHang!$A$2:$C$500,3,FALSE()),"mã đơn chưa có"))</f>
        <v/>
      </c>
      <c r="C48" s="8"/>
      <c r="D48" s="8"/>
      <c r="E48" s="8"/>
      <c r="F48" s="13"/>
      <c r="G48" s="14"/>
      <c r="H48" s="8"/>
      <c r="I48" s="11" t="str">
        <f aca="false">IF(OR(F48="",G48=""),"",ROUND(F48*G48,0))</f>
        <v/>
      </c>
    </row>
    <row r="49" customFormat="false" ht="15" hidden="false" customHeight="false" outlineLevel="0" collapsed="false">
      <c r="A49" s="8"/>
      <c r="B49" s="10" t="str">
        <f aca="false">IF(A49="","",IFERROR(VLOOKUP(A49,DonHang!$A$2:$C$500,3,FALSE()),"mã đơn chưa có"))</f>
        <v/>
      </c>
      <c r="C49" s="8"/>
      <c r="D49" s="8"/>
      <c r="E49" s="8"/>
      <c r="F49" s="13"/>
      <c r="G49" s="14"/>
      <c r="H49" s="8"/>
      <c r="I49" s="11" t="str">
        <f aca="false">IF(OR(F49="",G49=""),"",ROUND(F49*G49,0))</f>
        <v/>
      </c>
    </row>
    <row r="50" customFormat="false" ht="15" hidden="false" customHeight="false" outlineLevel="0" collapsed="false">
      <c r="A50" s="8"/>
      <c r="B50" s="10" t="str">
        <f aca="false">IF(A50="","",IFERROR(VLOOKUP(A50,DonHang!$A$2:$C$500,3,FALSE()),"mã đơn chưa có"))</f>
        <v/>
      </c>
      <c r="C50" s="8"/>
      <c r="D50" s="8"/>
      <c r="E50" s="8"/>
      <c r="F50" s="13"/>
      <c r="G50" s="14"/>
      <c r="H50" s="8"/>
      <c r="I50" s="11" t="str">
        <f aca="false">IF(OR(F50="",G50=""),"",ROUND(F50*G50,0))</f>
        <v/>
      </c>
    </row>
    <row r="51" customFormat="false" ht="15" hidden="false" customHeight="false" outlineLevel="0" collapsed="false">
      <c r="A51" s="8"/>
      <c r="B51" s="10" t="str">
        <f aca="false">IF(A51="","",IFERROR(VLOOKUP(A51,DonHang!$A$2:$C$500,3,FALSE()),"mã đơn chưa có"))</f>
        <v/>
      </c>
      <c r="C51" s="8"/>
      <c r="D51" s="8"/>
      <c r="E51" s="8"/>
      <c r="F51" s="13"/>
      <c r="G51" s="14"/>
      <c r="H51" s="8"/>
      <c r="I51" s="11" t="str">
        <f aca="false">IF(OR(F51="",G51=""),"",ROUND(F51*G51,0))</f>
        <v/>
      </c>
    </row>
    <row r="52" customFormat="false" ht="15" hidden="false" customHeight="false" outlineLevel="0" collapsed="false">
      <c r="A52" s="8"/>
      <c r="B52" s="10" t="str">
        <f aca="false">IF(A52="","",IFERROR(VLOOKUP(A52,DonHang!$A$2:$C$500,3,FALSE()),"mã đơn chưa có"))</f>
        <v/>
      </c>
      <c r="C52" s="8"/>
      <c r="D52" s="8"/>
      <c r="E52" s="8"/>
      <c r="F52" s="13"/>
      <c r="G52" s="14"/>
      <c r="H52" s="8"/>
      <c r="I52" s="11" t="str">
        <f aca="false">IF(OR(F52="",G52=""),"",ROUND(F52*G52,0))</f>
        <v/>
      </c>
    </row>
    <row r="53" customFormat="false" ht="15" hidden="false" customHeight="false" outlineLevel="0" collapsed="false">
      <c r="A53" s="8"/>
      <c r="B53" s="10" t="str">
        <f aca="false">IF(A53="","",IFERROR(VLOOKUP(A53,DonHang!$A$2:$C$500,3,FALSE()),"mã đơn chưa có"))</f>
        <v/>
      </c>
      <c r="C53" s="8"/>
      <c r="D53" s="8"/>
      <c r="E53" s="8"/>
      <c r="F53" s="13"/>
      <c r="G53" s="14"/>
      <c r="H53" s="8"/>
      <c r="I53" s="11" t="str">
        <f aca="false">IF(OR(F53="",G53=""),"",ROUND(F53*G53,0))</f>
        <v/>
      </c>
    </row>
    <row r="54" customFormat="false" ht="15" hidden="false" customHeight="false" outlineLevel="0" collapsed="false">
      <c r="A54" s="8"/>
      <c r="B54" s="10" t="str">
        <f aca="false">IF(A54="","",IFERROR(VLOOKUP(A54,DonHang!$A$2:$C$500,3,FALSE()),"mã đơn chưa có"))</f>
        <v/>
      </c>
      <c r="C54" s="8"/>
      <c r="D54" s="8"/>
      <c r="E54" s="8"/>
      <c r="F54" s="13"/>
      <c r="G54" s="14"/>
      <c r="H54" s="8"/>
      <c r="I54" s="11" t="str">
        <f aca="false">IF(OR(F54="",G54=""),"",ROUND(F54*G54,0))</f>
        <v/>
      </c>
    </row>
    <row r="55" customFormat="false" ht="15" hidden="false" customHeight="false" outlineLevel="0" collapsed="false">
      <c r="A55" s="8"/>
      <c r="B55" s="10" t="str">
        <f aca="false">IF(A55="","",IFERROR(VLOOKUP(A55,DonHang!$A$2:$C$500,3,FALSE()),"mã đơn chưa có"))</f>
        <v/>
      </c>
      <c r="C55" s="8"/>
      <c r="D55" s="8"/>
      <c r="E55" s="8"/>
      <c r="F55" s="13"/>
      <c r="G55" s="14"/>
      <c r="H55" s="8"/>
      <c r="I55" s="11" t="str">
        <f aca="false">IF(OR(F55="",G55=""),"",ROUND(F55*G55,0))</f>
        <v/>
      </c>
    </row>
    <row r="56" customFormat="false" ht="15" hidden="false" customHeight="false" outlineLevel="0" collapsed="false">
      <c r="A56" s="8"/>
      <c r="B56" s="10" t="str">
        <f aca="false">IF(A56="","",IFERROR(VLOOKUP(A56,DonHang!$A$2:$C$500,3,FALSE()),"mã đơn chưa có"))</f>
        <v/>
      </c>
      <c r="C56" s="8"/>
      <c r="D56" s="8"/>
      <c r="E56" s="8"/>
      <c r="F56" s="13"/>
      <c r="G56" s="14"/>
      <c r="H56" s="8"/>
      <c r="I56" s="11" t="str">
        <f aca="false">IF(OR(F56="",G56=""),"",ROUND(F56*G56,0))</f>
        <v/>
      </c>
    </row>
    <row r="57" customFormat="false" ht="15" hidden="false" customHeight="false" outlineLevel="0" collapsed="false">
      <c r="A57" s="8"/>
      <c r="B57" s="10" t="str">
        <f aca="false">IF(A57="","",IFERROR(VLOOKUP(A57,DonHang!$A$2:$C$500,3,FALSE()),"mã đơn chưa có"))</f>
        <v/>
      </c>
      <c r="C57" s="8"/>
      <c r="D57" s="8"/>
      <c r="E57" s="8"/>
      <c r="F57" s="13"/>
      <c r="G57" s="14"/>
      <c r="H57" s="8"/>
      <c r="I57" s="11" t="str">
        <f aca="false">IF(OR(F57="",G57=""),"",ROUND(F57*G57,0))</f>
        <v/>
      </c>
    </row>
    <row r="58" customFormat="false" ht="15" hidden="false" customHeight="false" outlineLevel="0" collapsed="false">
      <c r="A58" s="8"/>
      <c r="B58" s="10" t="str">
        <f aca="false">IF(A58="","",IFERROR(VLOOKUP(A58,DonHang!$A$2:$C$500,3,FALSE()),"mã đơn chưa có"))</f>
        <v/>
      </c>
      <c r="C58" s="8"/>
      <c r="D58" s="8"/>
      <c r="E58" s="8"/>
      <c r="F58" s="13"/>
      <c r="G58" s="14"/>
      <c r="H58" s="8"/>
      <c r="I58" s="11" t="str">
        <f aca="false">IF(OR(F58="",G58=""),"",ROUND(F58*G58,0))</f>
        <v/>
      </c>
    </row>
    <row r="59" customFormat="false" ht="15" hidden="false" customHeight="false" outlineLevel="0" collapsed="false">
      <c r="A59" s="8"/>
      <c r="B59" s="10" t="str">
        <f aca="false">IF(A59="","",IFERROR(VLOOKUP(A59,DonHang!$A$2:$C$500,3,FALSE()),"mã đơn chưa có"))</f>
        <v/>
      </c>
      <c r="C59" s="8"/>
      <c r="D59" s="8"/>
      <c r="E59" s="8"/>
      <c r="F59" s="13"/>
      <c r="G59" s="14"/>
      <c r="H59" s="8"/>
      <c r="I59" s="11" t="str">
        <f aca="false">IF(OR(F59="",G59=""),"",ROUND(F59*G59,0))</f>
        <v/>
      </c>
    </row>
    <row r="60" customFormat="false" ht="15" hidden="false" customHeight="false" outlineLevel="0" collapsed="false">
      <c r="A60" s="8"/>
      <c r="B60" s="10" t="str">
        <f aca="false">IF(A60="","",IFERROR(VLOOKUP(A60,DonHang!$A$2:$C$500,3,FALSE()),"mã đơn chưa có"))</f>
        <v/>
      </c>
      <c r="C60" s="8"/>
      <c r="D60" s="8"/>
      <c r="E60" s="8"/>
      <c r="F60" s="13"/>
      <c r="G60" s="14"/>
      <c r="H60" s="8"/>
      <c r="I60" s="11" t="str">
        <f aca="false">IF(OR(F60="",G60=""),"",ROUND(F60*G60,0))</f>
        <v/>
      </c>
    </row>
    <row r="61" customFormat="false" ht="15" hidden="false" customHeight="false" outlineLevel="0" collapsed="false">
      <c r="A61" s="8"/>
      <c r="B61" s="10" t="str">
        <f aca="false">IF(A61="","",IFERROR(VLOOKUP(A61,DonHang!$A$2:$C$500,3,FALSE()),"mã đơn chưa có"))</f>
        <v/>
      </c>
      <c r="C61" s="8"/>
      <c r="D61" s="8"/>
      <c r="E61" s="8"/>
      <c r="F61" s="13"/>
      <c r="G61" s="14"/>
      <c r="H61" s="8"/>
      <c r="I61" s="11" t="str">
        <f aca="false">IF(OR(F61="",G61=""),"",ROUND(F61*G61,0))</f>
        <v/>
      </c>
    </row>
    <row r="62" customFormat="false" ht="15" hidden="false" customHeight="false" outlineLevel="0" collapsed="false">
      <c r="A62" s="8"/>
      <c r="B62" s="10" t="str">
        <f aca="false">IF(A62="","",IFERROR(VLOOKUP(A62,DonHang!$A$2:$C$500,3,FALSE()),"mã đơn chưa có"))</f>
        <v/>
      </c>
      <c r="C62" s="8"/>
      <c r="D62" s="8"/>
      <c r="E62" s="8"/>
      <c r="F62" s="13"/>
      <c r="G62" s="14"/>
      <c r="H62" s="8"/>
      <c r="I62" s="11" t="str">
        <f aca="false">IF(OR(F62="",G62=""),"",ROUND(F62*G62,0))</f>
        <v/>
      </c>
    </row>
    <row r="63" customFormat="false" ht="15" hidden="false" customHeight="false" outlineLevel="0" collapsed="false">
      <c r="A63" s="8"/>
      <c r="B63" s="10" t="str">
        <f aca="false">IF(A63="","",IFERROR(VLOOKUP(A63,DonHang!$A$2:$C$500,3,FALSE()),"mã đơn chưa có"))</f>
        <v/>
      </c>
      <c r="C63" s="8"/>
      <c r="D63" s="8"/>
      <c r="E63" s="8"/>
      <c r="F63" s="13"/>
      <c r="G63" s="14"/>
      <c r="H63" s="8"/>
      <c r="I63" s="11" t="str">
        <f aca="false">IF(OR(F63="",G63=""),"",ROUND(F63*G63,0))</f>
        <v/>
      </c>
    </row>
    <row r="64" customFormat="false" ht="15" hidden="false" customHeight="false" outlineLevel="0" collapsed="false">
      <c r="A64" s="8"/>
      <c r="B64" s="10" t="str">
        <f aca="false">IF(A64="","",IFERROR(VLOOKUP(A64,DonHang!$A$2:$C$500,3,FALSE()),"mã đơn chưa có"))</f>
        <v/>
      </c>
      <c r="C64" s="8"/>
      <c r="D64" s="8"/>
      <c r="E64" s="8"/>
      <c r="F64" s="13"/>
      <c r="G64" s="14"/>
      <c r="H64" s="8"/>
      <c r="I64" s="11" t="str">
        <f aca="false">IF(OR(F64="",G64=""),"",ROUND(F64*G64,0))</f>
        <v/>
      </c>
    </row>
    <row r="65" customFormat="false" ht="15" hidden="false" customHeight="false" outlineLevel="0" collapsed="false">
      <c r="A65" s="8"/>
      <c r="B65" s="10" t="str">
        <f aca="false">IF(A65="","",IFERROR(VLOOKUP(A65,DonHang!$A$2:$C$500,3,FALSE()),"mã đơn chưa có"))</f>
        <v/>
      </c>
      <c r="C65" s="8"/>
      <c r="D65" s="8"/>
      <c r="E65" s="8"/>
      <c r="F65" s="13"/>
      <c r="G65" s="14"/>
      <c r="H65" s="8"/>
      <c r="I65" s="11" t="str">
        <f aca="false">IF(OR(F65="",G65=""),"",ROUND(F65*G65,0))</f>
        <v/>
      </c>
    </row>
    <row r="66" customFormat="false" ht="15" hidden="false" customHeight="false" outlineLevel="0" collapsed="false">
      <c r="A66" s="8"/>
      <c r="B66" s="10" t="str">
        <f aca="false">IF(A66="","",IFERROR(VLOOKUP(A66,DonHang!$A$2:$C$500,3,FALSE()),"mã đơn chưa có"))</f>
        <v/>
      </c>
      <c r="C66" s="8"/>
      <c r="D66" s="8"/>
      <c r="E66" s="8"/>
      <c r="F66" s="13"/>
      <c r="G66" s="14"/>
      <c r="H66" s="8"/>
      <c r="I66" s="11" t="str">
        <f aca="false">IF(OR(F66="",G66=""),"",ROUND(F66*G66,0))</f>
        <v/>
      </c>
    </row>
    <row r="67" customFormat="false" ht="15" hidden="false" customHeight="false" outlineLevel="0" collapsed="false">
      <c r="A67" s="8"/>
      <c r="B67" s="10" t="str">
        <f aca="false">IF(A67="","",IFERROR(VLOOKUP(A67,DonHang!$A$2:$C$500,3,FALSE()),"mã đơn chưa có"))</f>
        <v/>
      </c>
      <c r="C67" s="8"/>
      <c r="D67" s="8"/>
      <c r="E67" s="8"/>
      <c r="F67" s="13"/>
      <c r="G67" s="14"/>
      <c r="H67" s="8"/>
      <c r="I67" s="11" t="str">
        <f aca="false">IF(OR(F67="",G67=""),"",ROUND(F67*G67,0))</f>
        <v/>
      </c>
    </row>
    <row r="68" customFormat="false" ht="15" hidden="false" customHeight="false" outlineLevel="0" collapsed="false">
      <c r="A68" s="8"/>
      <c r="B68" s="10" t="str">
        <f aca="false">IF(A68="","",IFERROR(VLOOKUP(A68,DonHang!$A$2:$C$500,3,FALSE()),"mã đơn chưa có"))</f>
        <v/>
      </c>
      <c r="C68" s="8"/>
      <c r="D68" s="8"/>
      <c r="E68" s="8"/>
      <c r="F68" s="13"/>
      <c r="G68" s="14"/>
      <c r="H68" s="8"/>
      <c r="I68" s="11" t="str">
        <f aca="false">IF(OR(F68="",G68=""),"",ROUND(F68*G68,0))</f>
        <v/>
      </c>
    </row>
    <row r="69" customFormat="false" ht="15" hidden="false" customHeight="false" outlineLevel="0" collapsed="false">
      <c r="A69" s="8"/>
      <c r="B69" s="10" t="str">
        <f aca="false">IF(A69="","",IFERROR(VLOOKUP(A69,DonHang!$A$2:$C$500,3,FALSE()),"mã đơn chưa có"))</f>
        <v/>
      </c>
      <c r="C69" s="8"/>
      <c r="D69" s="8"/>
      <c r="E69" s="8"/>
      <c r="F69" s="13"/>
      <c r="G69" s="14"/>
      <c r="H69" s="8"/>
      <c r="I69" s="11" t="str">
        <f aca="false">IF(OR(F69="",G69=""),"",ROUND(F69*G69,0))</f>
        <v/>
      </c>
    </row>
    <row r="70" customFormat="false" ht="15" hidden="false" customHeight="false" outlineLevel="0" collapsed="false">
      <c r="A70" s="8"/>
      <c r="B70" s="10" t="str">
        <f aca="false">IF(A70="","",IFERROR(VLOOKUP(A70,DonHang!$A$2:$C$500,3,FALSE()),"mã đơn chưa có"))</f>
        <v/>
      </c>
      <c r="C70" s="8"/>
      <c r="D70" s="8"/>
      <c r="E70" s="8"/>
      <c r="F70" s="13"/>
      <c r="G70" s="14"/>
      <c r="H70" s="8"/>
      <c r="I70" s="11" t="str">
        <f aca="false">IF(OR(F70="",G70=""),"",ROUND(F70*G70,0))</f>
        <v/>
      </c>
    </row>
    <row r="71" customFormat="false" ht="15" hidden="false" customHeight="false" outlineLevel="0" collapsed="false">
      <c r="A71" s="8"/>
      <c r="B71" s="10" t="str">
        <f aca="false">IF(A71="","",IFERROR(VLOOKUP(A71,DonHang!$A$2:$C$500,3,FALSE()),"mã đơn chưa có"))</f>
        <v/>
      </c>
      <c r="C71" s="8"/>
      <c r="D71" s="8"/>
      <c r="E71" s="8"/>
      <c r="F71" s="13"/>
      <c r="G71" s="14"/>
      <c r="H71" s="8"/>
      <c r="I71" s="11" t="str">
        <f aca="false">IF(OR(F71="",G71=""),"",ROUND(F71*G71,0))</f>
        <v/>
      </c>
    </row>
    <row r="72" customFormat="false" ht="15" hidden="false" customHeight="false" outlineLevel="0" collapsed="false">
      <c r="A72" s="8"/>
      <c r="B72" s="10" t="str">
        <f aca="false">IF(A72="","",IFERROR(VLOOKUP(A72,DonHang!$A$2:$C$500,3,FALSE()),"mã đơn chưa có"))</f>
        <v/>
      </c>
      <c r="C72" s="8"/>
      <c r="D72" s="8"/>
      <c r="E72" s="8"/>
      <c r="F72" s="13"/>
      <c r="G72" s="14"/>
      <c r="H72" s="8"/>
      <c r="I72" s="11" t="str">
        <f aca="false">IF(OR(F72="",G72=""),"",ROUND(F72*G72,0))</f>
        <v/>
      </c>
    </row>
    <row r="73" customFormat="false" ht="15" hidden="false" customHeight="false" outlineLevel="0" collapsed="false">
      <c r="A73" s="8"/>
      <c r="B73" s="10" t="str">
        <f aca="false">IF(A73="","",IFERROR(VLOOKUP(A73,DonHang!$A$2:$C$500,3,FALSE()),"mã đơn chưa có"))</f>
        <v/>
      </c>
      <c r="C73" s="8"/>
      <c r="D73" s="8"/>
      <c r="E73" s="8"/>
      <c r="F73" s="13"/>
      <c r="G73" s="14"/>
      <c r="H73" s="8"/>
      <c r="I73" s="11" t="str">
        <f aca="false">IF(OR(F73="",G73=""),"",ROUND(F73*G73,0))</f>
        <v/>
      </c>
    </row>
    <row r="74" customFormat="false" ht="15" hidden="false" customHeight="false" outlineLevel="0" collapsed="false">
      <c r="A74" s="8"/>
      <c r="B74" s="10" t="str">
        <f aca="false">IF(A74="","",IFERROR(VLOOKUP(A74,DonHang!$A$2:$C$500,3,FALSE()),"mã đơn chưa có"))</f>
        <v/>
      </c>
      <c r="C74" s="8"/>
      <c r="D74" s="8"/>
      <c r="E74" s="8"/>
      <c r="F74" s="13"/>
      <c r="G74" s="14"/>
      <c r="H74" s="8"/>
      <c r="I74" s="11" t="str">
        <f aca="false">IF(OR(F74="",G74=""),"",ROUND(F74*G74,0))</f>
        <v/>
      </c>
    </row>
    <row r="75" customFormat="false" ht="15" hidden="false" customHeight="false" outlineLevel="0" collapsed="false">
      <c r="A75" s="8"/>
      <c r="B75" s="10" t="str">
        <f aca="false">IF(A75="","",IFERROR(VLOOKUP(A75,DonHang!$A$2:$C$500,3,FALSE()),"mã đơn chưa có"))</f>
        <v/>
      </c>
      <c r="C75" s="8"/>
      <c r="D75" s="8"/>
      <c r="E75" s="8"/>
      <c r="F75" s="13"/>
      <c r="G75" s="14"/>
      <c r="H75" s="8"/>
      <c r="I75" s="11" t="str">
        <f aca="false">IF(OR(F75="",G75=""),"",ROUND(F75*G75,0))</f>
        <v/>
      </c>
    </row>
    <row r="76" customFormat="false" ht="15" hidden="false" customHeight="false" outlineLevel="0" collapsed="false">
      <c r="A76" s="8"/>
      <c r="B76" s="10" t="str">
        <f aca="false">IF(A76="","",IFERROR(VLOOKUP(A76,DonHang!$A$2:$C$500,3,FALSE()),"mã đơn chưa có"))</f>
        <v/>
      </c>
      <c r="C76" s="8"/>
      <c r="D76" s="8"/>
      <c r="E76" s="8"/>
      <c r="F76" s="13"/>
      <c r="G76" s="14"/>
      <c r="H76" s="8"/>
      <c r="I76" s="11" t="str">
        <f aca="false">IF(OR(F76="",G76=""),"",ROUND(F76*G76,0))</f>
        <v/>
      </c>
    </row>
    <row r="77" customFormat="false" ht="15" hidden="false" customHeight="false" outlineLevel="0" collapsed="false">
      <c r="A77" s="8"/>
      <c r="B77" s="10" t="str">
        <f aca="false">IF(A77="","",IFERROR(VLOOKUP(A77,DonHang!$A$2:$C$500,3,FALSE()),"mã đơn chưa có"))</f>
        <v/>
      </c>
      <c r="C77" s="8"/>
      <c r="D77" s="8"/>
      <c r="E77" s="8"/>
      <c r="F77" s="13"/>
      <c r="G77" s="14"/>
      <c r="H77" s="8"/>
      <c r="I77" s="11" t="str">
        <f aca="false">IF(OR(F77="",G77=""),"",ROUND(F77*G77,0))</f>
        <v/>
      </c>
    </row>
    <row r="78" customFormat="false" ht="15" hidden="false" customHeight="false" outlineLevel="0" collapsed="false">
      <c r="A78" s="8"/>
      <c r="B78" s="10" t="str">
        <f aca="false">IF(A78="","",IFERROR(VLOOKUP(A78,DonHang!$A$2:$C$500,3,FALSE()),"mã đơn chưa có"))</f>
        <v/>
      </c>
      <c r="C78" s="8"/>
      <c r="D78" s="8"/>
      <c r="E78" s="8"/>
      <c r="F78" s="13"/>
      <c r="G78" s="14"/>
      <c r="H78" s="8"/>
      <c r="I78" s="11" t="str">
        <f aca="false">IF(OR(F78="",G78=""),"",ROUND(F78*G78,0))</f>
        <v/>
      </c>
    </row>
    <row r="79" customFormat="false" ht="15" hidden="false" customHeight="false" outlineLevel="0" collapsed="false">
      <c r="A79" s="8"/>
      <c r="B79" s="10" t="str">
        <f aca="false">IF(A79="","",IFERROR(VLOOKUP(A79,DonHang!$A$2:$C$500,3,FALSE()),"mã đơn chưa có"))</f>
        <v/>
      </c>
      <c r="C79" s="8"/>
      <c r="D79" s="8"/>
      <c r="E79" s="8"/>
      <c r="F79" s="13"/>
      <c r="G79" s="14"/>
      <c r="H79" s="8"/>
      <c r="I79" s="11" t="str">
        <f aca="false">IF(OR(F79="",G79=""),"",ROUND(F79*G79,0))</f>
        <v/>
      </c>
    </row>
    <row r="80" customFormat="false" ht="15" hidden="false" customHeight="false" outlineLevel="0" collapsed="false">
      <c r="A80" s="8"/>
      <c r="B80" s="10" t="str">
        <f aca="false">IF(A80="","",IFERROR(VLOOKUP(A80,DonHang!$A$2:$C$500,3,FALSE()),"mã đơn chưa có"))</f>
        <v/>
      </c>
      <c r="C80" s="8"/>
      <c r="D80" s="8"/>
      <c r="E80" s="8"/>
      <c r="F80" s="13"/>
      <c r="G80" s="14"/>
      <c r="H80" s="8"/>
      <c r="I80" s="11" t="str">
        <f aca="false">IF(OR(F80="",G80=""),"",ROUND(F80*G80,0))</f>
        <v/>
      </c>
    </row>
    <row r="81" customFormat="false" ht="15" hidden="false" customHeight="false" outlineLevel="0" collapsed="false">
      <c r="A81" s="8"/>
      <c r="B81" s="10" t="str">
        <f aca="false">IF(A81="","",IFERROR(VLOOKUP(A81,DonHang!$A$2:$C$500,3,FALSE()),"mã đơn chưa có"))</f>
        <v/>
      </c>
      <c r="C81" s="8"/>
      <c r="D81" s="8"/>
      <c r="E81" s="8"/>
      <c r="F81" s="13"/>
      <c r="G81" s="14"/>
      <c r="H81" s="8"/>
      <c r="I81" s="11" t="str">
        <f aca="false">IF(OR(F81="",G81=""),"",ROUND(F81*G81,0))</f>
        <v/>
      </c>
    </row>
    <row r="82" customFormat="false" ht="15" hidden="false" customHeight="false" outlineLevel="0" collapsed="false">
      <c r="A82" s="8"/>
      <c r="B82" s="10" t="str">
        <f aca="false">IF(A82="","",IFERROR(VLOOKUP(A82,DonHang!$A$2:$C$500,3,FALSE()),"mã đơn chưa có"))</f>
        <v/>
      </c>
      <c r="C82" s="8"/>
      <c r="D82" s="8"/>
      <c r="E82" s="8"/>
      <c r="F82" s="13"/>
      <c r="G82" s="14"/>
      <c r="H82" s="8"/>
      <c r="I82" s="11" t="str">
        <f aca="false">IF(OR(F82="",G82=""),"",ROUND(F82*G82,0))</f>
        <v/>
      </c>
    </row>
    <row r="83" customFormat="false" ht="15" hidden="false" customHeight="false" outlineLevel="0" collapsed="false">
      <c r="A83" s="8"/>
      <c r="B83" s="10" t="str">
        <f aca="false">IF(A83="","",IFERROR(VLOOKUP(A83,DonHang!$A$2:$C$500,3,FALSE()),"mã đơn chưa có"))</f>
        <v/>
      </c>
      <c r="C83" s="8"/>
      <c r="D83" s="8"/>
      <c r="E83" s="8"/>
      <c r="F83" s="13"/>
      <c r="G83" s="14"/>
      <c r="H83" s="8"/>
      <c r="I83" s="11" t="str">
        <f aca="false">IF(OR(F83="",G83=""),"",ROUND(F83*G83,0))</f>
        <v/>
      </c>
    </row>
    <row r="84" customFormat="false" ht="15" hidden="false" customHeight="false" outlineLevel="0" collapsed="false">
      <c r="A84" s="8"/>
      <c r="B84" s="10" t="str">
        <f aca="false">IF(A84="","",IFERROR(VLOOKUP(A84,DonHang!$A$2:$C$500,3,FALSE()),"mã đơn chưa có"))</f>
        <v/>
      </c>
      <c r="C84" s="8"/>
      <c r="D84" s="8"/>
      <c r="E84" s="8"/>
      <c r="F84" s="13"/>
      <c r="G84" s="14"/>
      <c r="H84" s="8"/>
      <c r="I84" s="11" t="str">
        <f aca="false">IF(OR(F84="",G84=""),"",ROUND(F84*G84,0))</f>
        <v/>
      </c>
    </row>
    <row r="85" customFormat="false" ht="15" hidden="false" customHeight="false" outlineLevel="0" collapsed="false">
      <c r="A85" s="8"/>
      <c r="B85" s="10" t="str">
        <f aca="false">IF(A85="","",IFERROR(VLOOKUP(A85,DonHang!$A$2:$C$500,3,FALSE()),"mã đơn chưa có"))</f>
        <v/>
      </c>
      <c r="C85" s="8"/>
      <c r="D85" s="8"/>
      <c r="E85" s="8"/>
      <c r="F85" s="13"/>
      <c r="G85" s="14"/>
      <c r="H85" s="8"/>
      <c r="I85" s="11" t="str">
        <f aca="false">IF(OR(F85="",G85=""),"",ROUND(F85*G85,0))</f>
        <v/>
      </c>
    </row>
    <row r="86" customFormat="false" ht="15" hidden="false" customHeight="false" outlineLevel="0" collapsed="false">
      <c r="A86" s="8"/>
      <c r="B86" s="10" t="str">
        <f aca="false">IF(A86="","",IFERROR(VLOOKUP(A86,DonHang!$A$2:$C$500,3,FALSE()),"mã đơn chưa có"))</f>
        <v/>
      </c>
      <c r="C86" s="8"/>
      <c r="D86" s="8"/>
      <c r="E86" s="8"/>
      <c r="F86" s="13"/>
      <c r="G86" s="14"/>
      <c r="H86" s="8"/>
      <c r="I86" s="11" t="str">
        <f aca="false">IF(OR(F86="",G86=""),"",ROUND(F86*G86,0))</f>
        <v/>
      </c>
    </row>
    <row r="87" customFormat="false" ht="15" hidden="false" customHeight="false" outlineLevel="0" collapsed="false">
      <c r="A87" s="8"/>
      <c r="B87" s="10" t="str">
        <f aca="false">IF(A87="","",IFERROR(VLOOKUP(A87,DonHang!$A$2:$C$500,3,FALSE()),"mã đơn chưa có"))</f>
        <v/>
      </c>
      <c r="C87" s="8"/>
      <c r="D87" s="8"/>
      <c r="E87" s="8"/>
      <c r="F87" s="13"/>
      <c r="G87" s="14"/>
      <c r="H87" s="8"/>
      <c r="I87" s="11" t="str">
        <f aca="false">IF(OR(F87="",G87=""),"",ROUND(F87*G87,0))</f>
        <v/>
      </c>
    </row>
    <row r="88" customFormat="false" ht="15" hidden="false" customHeight="false" outlineLevel="0" collapsed="false">
      <c r="A88" s="8"/>
      <c r="B88" s="10" t="str">
        <f aca="false">IF(A88="","",IFERROR(VLOOKUP(A88,DonHang!$A$2:$C$500,3,FALSE()),"mã đơn chưa có"))</f>
        <v/>
      </c>
      <c r="C88" s="8"/>
      <c r="D88" s="8"/>
      <c r="E88" s="8"/>
      <c r="F88" s="13"/>
      <c r="G88" s="14"/>
      <c r="H88" s="8"/>
      <c r="I88" s="11" t="str">
        <f aca="false">IF(OR(F88="",G88=""),"",ROUND(F88*G88,0))</f>
        <v/>
      </c>
    </row>
    <row r="89" customFormat="false" ht="15" hidden="false" customHeight="false" outlineLevel="0" collapsed="false">
      <c r="A89" s="8"/>
      <c r="B89" s="10" t="str">
        <f aca="false">IF(A89="","",IFERROR(VLOOKUP(A89,DonHang!$A$2:$C$500,3,FALSE()),"mã đơn chưa có"))</f>
        <v/>
      </c>
      <c r="C89" s="8"/>
      <c r="D89" s="8"/>
      <c r="E89" s="8"/>
      <c r="F89" s="13"/>
      <c r="G89" s="14"/>
      <c r="H89" s="8"/>
      <c r="I89" s="11" t="str">
        <f aca="false">IF(OR(F89="",G89=""),"",ROUND(F89*G89,0))</f>
        <v/>
      </c>
    </row>
    <row r="90" customFormat="false" ht="15" hidden="false" customHeight="false" outlineLevel="0" collapsed="false">
      <c r="A90" s="8"/>
      <c r="B90" s="10" t="str">
        <f aca="false">IF(A90="","",IFERROR(VLOOKUP(A90,DonHang!$A$2:$C$500,3,FALSE()),"mã đơn chưa có"))</f>
        <v/>
      </c>
      <c r="C90" s="8"/>
      <c r="D90" s="8"/>
      <c r="E90" s="8"/>
      <c r="F90" s="13"/>
      <c r="G90" s="14"/>
      <c r="H90" s="8"/>
      <c r="I90" s="11" t="str">
        <f aca="false">IF(OR(F90="",G90=""),"",ROUND(F90*G90,0))</f>
        <v/>
      </c>
    </row>
    <row r="91" customFormat="false" ht="15" hidden="false" customHeight="false" outlineLevel="0" collapsed="false">
      <c r="A91" s="8"/>
      <c r="B91" s="10" t="str">
        <f aca="false">IF(A91="","",IFERROR(VLOOKUP(A91,DonHang!$A$2:$C$500,3,FALSE()),"mã đơn chưa có"))</f>
        <v/>
      </c>
      <c r="C91" s="8"/>
      <c r="D91" s="8"/>
      <c r="E91" s="8"/>
      <c r="F91" s="13"/>
      <c r="G91" s="14"/>
      <c r="H91" s="8"/>
      <c r="I91" s="11" t="str">
        <f aca="false">IF(OR(F91="",G91=""),"",ROUND(F91*G91,0))</f>
        <v/>
      </c>
    </row>
    <row r="92" customFormat="false" ht="15" hidden="false" customHeight="false" outlineLevel="0" collapsed="false">
      <c r="A92" s="8"/>
      <c r="B92" s="10" t="str">
        <f aca="false">IF(A92="","",IFERROR(VLOOKUP(A92,DonHang!$A$2:$C$500,3,FALSE()),"mã đơn chưa có"))</f>
        <v/>
      </c>
      <c r="C92" s="8"/>
      <c r="D92" s="8"/>
      <c r="E92" s="8"/>
      <c r="F92" s="13"/>
      <c r="G92" s="14"/>
      <c r="H92" s="8"/>
      <c r="I92" s="11" t="str">
        <f aca="false">IF(OR(F92="",G92=""),"",ROUND(F92*G92,0))</f>
        <v/>
      </c>
    </row>
    <row r="93" customFormat="false" ht="15" hidden="false" customHeight="false" outlineLevel="0" collapsed="false">
      <c r="A93" s="8"/>
      <c r="B93" s="10" t="str">
        <f aca="false">IF(A93="","",IFERROR(VLOOKUP(A93,DonHang!$A$2:$C$500,3,FALSE()),"mã đơn chưa có"))</f>
        <v/>
      </c>
      <c r="C93" s="8"/>
      <c r="D93" s="8"/>
      <c r="E93" s="8"/>
      <c r="F93" s="13"/>
      <c r="G93" s="14"/>
      <c r="H93" s="8"/>
      <c r="I93" s="11" t="str">
        <f aca="false">IF(OR(F93="",G93=""),"",ROUND(F93*G93,0))</f>
        <v/>
      </c>
    </row>
    <row r="94" customFormat="false" ht="15" hidden="false" customHeight="false" outlineLevel="0" collapsed="false">
      <c r="A94" s="8"/>
      <c r="B94" s="10" t="str">
        <f aca="false">IF(A94="","",IFERROR(VLOOKUP(A94,DonHang!$A$2:$C$500,3,FALSE()),"mã đơn chưa có"))</f>
        <v/>
      </c>
      <c r="C94" s="8"/>
      <c r="D94" s="8"/>
      <c r="E94" s="8"/>
      <c r="F94" s="13"/>
      <c r="G94" s="14"/>
      <c r="H94" s="8"/>
      <c r="I94" s="11" t="str">
        <f aca="false">IF(OR(F94="",G94=""),"",ROUND(F94*G94,0))</f>
        <v/>
      </c>
    </row>
    <row r="95" customFormat="false" ht="15" hidden="false" customHeight="false" outlineLevel="0" collapsed="false">
      <c r="A95" s="8"/>
      <c r="B95" s="10" t="str">
        <f aca="false">IF(A95="","",IFERROR(VLOOKUP(A95,DonHang!$A$2:$C$500,3,FALSE()),"mã đơn chưa có"))</f>
        <v/>
      </c>
      <c r="C95" s="8"/>
      <c r="D95" s="8"/>
      <c r="E95" s="8"/>
      <c r="F95" s="13"/>
      <c r="G95" s="14"/>
      <c r="H95" s="8"/>
      <c r="I95" s="11" t="str">
        <f aca="false">IF(OR(F95="",G95=""),"",ROUND(F95*G95,0))</f>
        <v/>
      </c>
    </row>
    <row r="96" customFormat="false" ht="15" hidden="false" customHeight="false" outlineLevel="0" collapsed="false">
      <c r="A96" s="8"/>
      <c r="B96" s="10" t="str">
        <f aca="false">IF(A96="","",IFERROR(VLOOKUP(A96,DonHang!$A$2:$C$500,3,FALSE()),"mã đơn chưa có"))</f>
        <v/>
      </c>
      <c r="C96" s="8"/>
      <c r="D96" s="8"/>
      <c r="E96" s="8"/>
      <c r="F96" s="13"/>
      <c r="G96" s="14"/>
      <c r="H96" s="8"/>
      <c r="I96" s="11" t="str">
        <f aca="false">IF(OR(F96="",G96=""),"",ROUND(F96*G96,0))</f>
        <v/>
      </c>
    </row>
    <row r="97" customFormat="false" ht="15" hidden="false" customHeight="false" outlineLevel="0" collapsed="false">
      <c r="A97" s="8"/>
      <c r="B97" s="10" t="str">
        <f aca="false">IF(A97="","",IFERROR(VLOOKUP(A97,DonHang!$A$2:$C$500,3,FALSE()),"mã đơn chưa có"))</f>
        <v/>
      </c>
      <c r="C97" s="8"/>
      <c r="D97" s="8"/>
      <c r="E97" s="8"/>
      <c r="F97" s="13"/>
      <c r="G97" s="14"/>
      <c r="H97" s="8"/>
      <c r="I97" s="11" t="str">
        <f aca="false">IF(OR(F97="",G97=""),"",ROUND(F97*G97,0))</f>
        <v/>
      </c>
    </row>
    <row r="98" customFormat="false" ht="15" hidden="false" customHeight="false" outlineLevel="0" collapsed="false">
      <c r="A98" s="8"/>
      <c r="B98" s="10" t="str">
        <f aca="false">IF(A98="","",IFERROR(VLOOKUP(A98,DonHang!$A$2:$C$500,3,FALSE()),"mã đơn chưa có"))</f>
        <v/>
      </c>
      <c r="C98" s="8"/>
      <c r="D98" s="8"/>
      <c r="E98" s="8"/>
      <c r="F98" s="13"/>
      <c r="G98" s="14"/>
      <c r="H98" s="8"/>
      <c r="I98" s="11" t="str">
        <f aca="false">IF(OR(F98="",G98=""),"",ROUND(F98*G98,0))</f>
        <v/>
      </c>
    </row>
    <row r="99" customFormat="false" ht="15" hidden="false" customHeight="false" outlineLevel="0" collapsed="false">
      <c r="A99" s="8"/>
      <c r="B99" s="10" t="str">
        <f aca="false">IF(A99="","",IFERROR(VLOOKUP(A99,DonHang!$A$2:$C$500,3,FALSE()),"mã đơn chưa có"))</f>
        <v/>
      </c>
      <c r="C99" s="8"/>
      <c r="D99" s="8"/>
      <c r="E99" s="8"/>
      <c r="F99" s="13"/>
      <c r="G99" s="14"/>
      <c r="H99" s="8"/>
      <c r="I99" s="11" t="str">
        <f aca="false">IF(OR(F99="",G99=""),"",ROUND(F99*G99,0))</f>
        <v/>
      </c>
    </row>
    <row r="100" customFormat="false" ht="15" hidden="false" customHeight="false" outlineLevel="0" collapsed="false">
      <c r="A100" s="8"/>
      <c r="B100" s="10" t="str">
        <f aca="false">IF(A100="","",IFERROR(VLOOKUP(A100,DonHang!$A$2:$C$500,3,FALSE()),"mã đơn chưa có"))</f>
        <v/>
      </c>
      <c r="C100" s="8"/>
      <c r="D100" s="8"/>
      <c r="E100" s="8"/>
      <c r="F100" s="13"/>
      <c r="G100" s="14"/>
      <c r="H100" s="8"/>
      <c r="I100" s="11" t="str">
        <f aca="false">IF(OR(F100="",G100=""),"",ROUND(F100*G100,0))</f>
        <v/>
      </c>
    </row>
    <row r="101" customFormat="false" ht="15" hidden="false" customHeight="false" outlineLevel="0" collapsed="false">
      <c r="A101" s="8"/>
      <c r="B101" s="10" t="str">
        <f aca="false">IF(A101="","",IFERROR(VLOOKUP(A101,DonHang!$A$2:$C$500,3,FALSE()),"mã đơn chưa có"))</f>
        <v/>
      </c>
      <c r="C101" s="8"/>
      <c r="D101" s="8"/>
      <c r="E101" s="8"/>
      <c r="F101" s="13"/>
      <c r="G101" s="14"/>
      <c r="H101" s="8"/>
      <c r="I101" s="11" t="str">
        <f aca="false">IF(OR(F101="",G101=""),"",ROUND(F101*G101,0))</f>
        <v/>
      </c>
    </row>
    <row r="102" customFormat="false" ht="15" hidden="false" customHeight="false" outlineLevel="0" collapsed="false">
      <c r="A102" s="8"/>
      <c r="B102" s="10" t="str">
        <f aca="false">IF(A102="","",IFERROR(VLOOKUP(A102,DonHang!$A$2:$C$500,3,FALSE()),"mã đơn chưa có"))</f>
        <v/>
      </c>
      <c r="C102" s="8"/>
      <c r="D102" s="8"/>
      <c r="E102" s="8"/>
      <c r="F102" s="13"/>
      <c r="G102" s="14"/>
      <c r="H102" s="8"/>
      <c r="I102" s="11" t="str">
        <f aca="false">IF(OR(F102="",G102=""),"",ROUND(F102*G102,0))</f>
        <v/>
      </c>
    </row>
    <row r="103" customFormat="false" ht="15" hidden="false" customHeight="false" outlineLevel="0" collapsed="false">
      <c r="A103" s="8"/>
      <c r="B103" s="10" t="str">
        <f aca="false">IF(A103="","",IFERROR(VLOOKUP(A103,DonHang!$A$2:$C$500,3,FALSE()),"mã đơn chưa có"))</f>
        <v/>
      </c>
      <c r="C103" s="8"/>
      <c r="D103" s="8"/>
      <c r="E103" s="8"/>
      <c r="F103" s="13"/>
      <c r="G103" s="14"/>
      <c r="H103" s="8"/>
      <c r="I103" s="11" t="str">
        <f aca="false">IF(OR(F103="",G103=""),"",ROUND(F103*G103,0))</f>
        <v/>
      </c>
    </row>
    <row r="104" customFormat="false" ht="15" hidden="false" customHeight="false" outlineLevel="0" collapsed="false">
      <c r="A104" s="8"/>
      <c r="B104" s="10" t="str">
        <f aca="false">IF(A104="","",IFERROR(VLOOKUP(A104,DonHang!$A$2:$C$500,3,FALSE()),"mã đơn chưa có"))</f>
        <v/>
      </c>
      <c r="C104" s="8"/>
      <c r="D104" s="8"/>
      <c r="E104" s="8"/>
      <c r="F104" s="13"/>
      <c r="G104" s="14"/>
      <c r="H104" s="8"/>
      <c r="I104" s="11" t="str">
        <f aca="false">IF(OR(F104="",G104=""),"",ROUND(F104*G104,0))</f>
        <v/>
      </c>
    </row>
    <row r="105" customFormat="false" ht="15" hidden="false" customHeight="false" outlineLevel="0" collapsed="false">
      <c r="A105" s="8"/>
      <c r="B105" s="10" t="str">
        <f aca="false">IF(A105="","",IFERROR(VLOOKUP(A105,DonHang!$A$2:$C$500,3,FALSE()),"mã đơn chưa có"))</f>
        <v/>
      </c>
      <c r="C105" s="8"/>
      <c r="D105" s="8"/>
      <c r="E105" s="8"/>
      <c r="F105" s="13"/>
      <c r="G105" s="14"/>
      <c r="H105" s="8"/>
      <c r="I105" s="11" t="str">
        <f aca="false">IF(OR(F105="",G105=""),"",ROUND(F105*G105,0))</f>
        <v/>
      </c>
    </row>
    <row r="106" customFormat="false" ht="15" hidden="false" customHeight="false" outlineLevel="0" collapsed="false">
      <c r="A106" s="8"/>
      <c r="B106" s="10" t="str">
        <f aca="false">IF(A106="","",IFERROR(VLOOKUP(A106,DonHang!$A$2:$C$500,3,FALSE()),"mã đơn chưa có"))</f>
        <v/>
      </c>
      <c r="C106" s="8"/>
      <c r="D106" s="8"/>
      <c r="E106" s="8"/>
      <c r="F106" s="13"/>
      <c r="G106" s="14"/>
      <c r="H106" s="8"/>
      <c r="I106" s="11" t="str">
        <f aca="false">IF(OR(F106="",G106=""),"",ROUND(F106*G106,0))</f>
        <v/>
      </c>
    </row>
    <row r="107" customFormat="false" ht="15" hidden="false" customHeight="false" outlineLevel="0" collapsed="false">
      <c r="A107" s="8"/>
      <c r="B107" s="10" t="str">
        <f aca="false">IF(A107="","",IFERROR(VLOOKUP(A107,DonHang!$A$2:$C$500,3,FALSE()),"mã đơn chưa có"))</f>
        <v/>
      </c>
      <c r="C107" s="8"/>
      <c r="D107" s="8"/>
      <c r="E107" s="8"/>
      <c r="F107" s="13"/>
      <c r="G107" s="14"/>
      <c r="H107" s="8"/>
      <c r="I107" s="11" t="str">
        <f aca="false">IF(OR(F107="",G107=""),"",ROUND(F107*G107,0))</f>
        <v/>
      </c>
    </row>
    <row r="108" customFormat="false" ht="15" hidden="false" customHeight="false" outlineLevel="0" collapsed="false">
      <c r="A108" s="8"/>
      <c r="B108" s="10" t="str">
        <f aca="false">IF(A108="","",IFERROR(VLOOKUP(A108,DonHang!$A$2:$C$500,3,FALSE()),"mã đơn chưa có"))</f>
        <v/>
      </c>
      <c r="C108" s="8"/>
      <c r="D108" s="8"/>
      <c r="E108" s="8"/>
      <c r="F108" s="13"/>
      <c r="G108" s="14"/>
      <c r="H108" s="8"/>
      <c r="I108" s="11" t="str">
        <f aca="false">IF(OR(F108="",G108=""),"",ROUND(F108*G108,0))</f>
        <v/>
      </c>
    </row>
    <row r="109" customFormat="false" ht="15" hidden="false" customHeight="false" outlineLevel="0" collapsed="false">
      <c r="A109" s="8"/>
      <c r="B109" s="10" t="str">
        <f aca="false">IF(A109="","",IFERROR(VLOOKUP(A109,DonHang!$A$2:$C$500,3,FALSE()),"mã đơn chưa có"))</f>
        <v/>
      </c>
      <c r="C109" s="8"/>
      <c r="D109" s="8"/>
      <c r="E109" s="8"/>
      <c r="F109" s="13"/>
      <c r="G109" s="14"/>
      <c r="H109" s="8"/>
      <c r="I109" s="11" t="str">
        <f aca="false">IF(OR(F109="",G109=""),"",ROUND(F109*G109,0))</f>
        <v/>
      </c>
    </row>
    <row r="110" customFormat="false" ht="15" hidden="false" customHeight="false" outlineLevel="0" collapsed="false">
      <c r="A110" s="8"/>
      <c r="B110" s="10" t="str">
        <f aca="false">IF(A110="","",IFERROR(VLOOKUP(A110,DonHang!$A$2:$C$500,3,FALSE()),"mã đơn chưa có"))</f>
        <v/>
      </c>
      <c r="C110" s="8"/>
      <c r="D110" s="8"/>
      <c r="E110" s="8"/>
      <c r="F110" s="13"/>
      <c r="G110" s="14"/>
      <c r="H110" s="8"/>
      <c r="I110" s="11" t="str">
        <f aca="false">IF(OR(F110="",G110=""),"",ROUND(F110*G110,0))</f>
        <v/>
      </c>
    </row>
    <row r="111" customFormat="false" ht="15" hidden="false" customHeight="false" outlineLevel="0" collapsed="false">
      <c r="A111" s="8"/>
      <c r="B111" s="10" t="str">
        <f aca="false">IF(A111="","",IFERROR(VLOOKUP(A111,DonHang!$A$2:$C$500,3,FALSE()),"mã đơn chưa có"))</f>
        <v/>
      </c>
      <c r="C111" s="8"/>
      <c r="D111" s="8"/>
      <c r="E111" s="8"/>
      <c r="F111" s="13"/>
      <c r="G111" s="14"/>
      <c r="H111" s="8"/>
      <c r="I111" s="11" t="str">
        <f aca="false">IF(OR(F111="",G111=""),"",ROUND(F111*G111,0))</f>
        <v/>
      </c>
    </row>
    <row r="112" customFormat="false" ht="15" hidden="false" customHeight="false" outlineLevel="0" collapsed="false">
      <c r="A112" s="8"/>
      <c r="B112" s="10" t="str">
        <f aca="false">IF(A112="","",IFERROR(VLOOKUP(A112,DonHang!$A$2:$C$500,3,FALSE()),"mã đơn chưa có"))</f>
        <v/>
      </c>
      <c r="C112" s="8"/>
      <c r="D112" s="8"/>
      <c r="E112" s="8"/>
      <c r="F112" s="13"/>
      <c r="G112" s="14"/>
      <c r="H112" s="8"/>
      <c r="I112" s="11" t="str">
        <f aca="false">IF(OR(F112="",G112=""),"",ROUND(F112*G112,0))</f>
        <v/>
      </c>
    </row>
    <row r="113" customFormat="false" ht="15" hidden="false" customHeight="false" outlineLevel="0" collapsed="false">
      <c r="A113" s="8"/>
      <c r="B113" s="10" t="str">
        <f aca="false">IF(A113="","",IFERROR(VLOOKUP(A113,DonHang!$A$2:$C$500,3,FALSE()),"mã đơn chưa có"))</f>
        <v/>
      </c>
      <c r="C113" s="8"/>
      <c r="D113" s="8"/>
      <c r="E113" s="8"/>
      <c r="F113" s="13"/>
      <c r="G113" s="14"/>
      <c r="H113" s="8"/>
      <c r="I113" s="11" t="str">
        <f aca="false">IF(OR(F113="",G113=""),"",ROUND(F113*G113,0))</f>
        <v/>
      </c>
    </row>
    <row r="114" customFormat="false" ht="15" hidden="false" customHeight="false" outlineLevel="0" collapsed="false">
      <c r="A114" s="8"/>
      <c r="B114" s="10" t="str">
        <f aca="false">IF(A114="","",IFERROR(VLOOKUP(A114,DonHang!$A$2:$C$500,3,FALSE()),"mã đơn chưa có"))</f>
        <v/>
      </c>
      <c r="C114" s="8"/>
      <c r="D114" s="8"/>
      <c r="E114" s="8"/>
      <c r="F114" s="13"/>
      <c r="G114" s="14"/>
      <c r="H114" s="8"/>
      <c r="I114" s="11" t="str">
        <f aca="false">IF(OR(F114="",G114=""),"",ROUND(F114*G114,0))</f>
        <v/>
      </c>
    </row>
    <row r="115" customFormat="false" ht="15" hidden="false" customHeight="false" outlineLevel="0" collapsed="false">
      <c r="A115" s="8"/>
      <c r="B115" s="10" t="str">
        <f aca="false">IF(A115="","",IFERROR(VLOOKUP(A115,DonHang!$A$2:$C$500,3,FALSE()),"mã đơn chưa có"))</f>
        <v/>
      </c>
      <c r="C115" s="8"/>
      <c r="D115" s="8"/>
      <c r="E115" s="8"/>
      <c r="F115" s="13"/>
      <c r="G115" s="14"/>
      <c r="H115" s="8"/>
      <c r="I115" s="11" t="str">
        <f aca="false">IF(OR(F115="",G115=""),"",ROUND(F115*G115,0))</f>
        <v/>
      </c>
    </row>
    <row r="116" customFormat="false" ht="15" hidden="false" customHeight="false" outlineLevel="0" collapsed="false">
      <c r="A116" s="8"/>
      <c r="B116" s="10" t="str">
        <f aca="false">IF(A116="","",IFERROR(VLOOKUP(A116,DonHang!$A$2:$C$500,3,FALSE()),"mã đơn chưa có"))</f>
        <v/>
      </c>
      <c r="C116" s="8"/>
      <c r="D116" s="8"/>
      <c r="E116" s="8"/>
      <c r="F116" s="13"/>
      <c r="G116" s="14"/>
      <c r="H116" s="8"/>
      <c r="I116" s="11" t="str">
        <f aca="false">IF(OR(F116="",G116=""),"",ROUND(F116*G116,0))</f>
        <v/>
      </c>
    </row>
    <row r="117" customFormat="false" ht="15" hidden="false" customHeight="false" outlineLevel="0" collapsed="false">
      <c r="A117" s="8"/>
      <c r="B117" s="10" t="str">
        <f aca="false">IF(A117="","",IFERROR(VLOOKUP(A117,DonHang!$A$2:$C$500,3,FALSE()),"mã đơn chưa có"))</f>
        <v/>
      </c>
      <c r="C117" s="8"/>
      <c r="D117" s="8"/>
      <c r="E117" s="8"/>
      <c r="F117" s="13"/>
      <c r="G117" s="14"/>
      <c r="H117" s="8"/>
      <c r="I117" s="11" t="str">
        <f aca="false">IF(OR(F117="",G117=""),"",ROUND(F117*G117,0))</f>
        <v/>
      </c>
    </row>
    <row r="118" customFormat="false" ht="15" hidden="false" customHeight="false" outlineLevel="0" collapsed="false">
      <c r="A118" s="8"/>
      <c r="B118" s="10" t="str">
        <f aca="false">IF(A118="","",IFERROR(VLOOKUP(A118,DonHang!$A$2:$C$500,3,FALSE()),"mã đơn chưa có"))</f>
        <v/>
      </c>
      <c r="C118" s="8"/>
      <c r="D118" s="8"/>
      <c r="E118" s="8"/>
      <c r="F118" s="13"/>
      <c r="G118" s="14"/>
      <c r="H118" s="8"/>
      <c r="I118" s="11" t="str">
        <f aca="false">IF(OR(F118="",G118=""),"",ROUND(F118*G118,0))</f>
        <v/>
      </c>
    </row>
    <row r="119" customFormat="false" ht="15" hidden="false" customHeight="false" outlineLevel="0" collapsed="false">
      <c r="A119" s="8"/>
      <c r="B119" s="10" t="str">
        <f aca="false">IF(A119="","",IFERROR(VLOOKUP(A119,DonHang!$A$2:$C$500,3,FALSE()),"mã đơn chưa có"))</f>
        <v/>
      </c>
      <c r="C119" s="8"/>
      <c r="D119" s="8"/>
      <c r="E119" s="8"/>
      <c r="F119" s="13"/>
      <c r="G119" s="14"/>
      <c r="H119" s="8"/>
      <c r="I119" s="11" t="str">
        <f aca="false">IF(OR(F119="",G119=""),"",ROUND(F119*G119,0))</f>
        <v/>
      </c>
    </row>
    <row r="120" customFormat="false" ht="15" hidden="false" customHeight="false" outlineLevel="0" collapsed="false">
      <c r="A120" s="8"/>
      <c r="B120" s="10" t="str">
        <f aca="false">IF(A120="","",IFERROR(VLOOKUP(A120,DonHang!$A$2:$C$500,3,FALSE()),"mã đơn chưa có"))</f>
        <v/>
      </c>
      <c r="C120" s="8"/>
      <c r="D120" s="8"/>
      <c r="E120" s="8"/>
      <c r="F120" s="13"/>
      <c r="G120" s="14"/>
      <c r="H120" s="8"/>
      <c r="I120" s="11" t="str">
        <f aca="false">IF(OR(F120="",G120=""),"",ROUND(F120*G120,0))</f>
        <v/>
      </c>
    </row>
    <row r="121" customFormat="false" ht="15" hidden="false" customHeight="false" outlineLevel="0" collapsed="false">
      <c r="A121" s="8"/>
      <c r="B121" s="10" t="str">
        <f aca="false">IF(A121="","",IFERROR(VLOOKUP(A121,DonHang!$A$2:$C$500,3,FALSE()),"mã đơn chưa có"))</f>
        <v/>
      </c>
      <c r="C121" s="8"/>
      <c r="D121" s="8"/>
      <c r="E121" s="8"/>
      <c r="F121" s="13"/>
      <c r="G121" s="14"/>
      <c r="H121" s="8"/>
      <c r="I121" s="11" t="str">
        <f aca="false">IF(OR(F121="",G121=""),"",ROUND(F121*G121,0))</f>
        <v/>
      </c>
    </row>
    <row r="122" customFormat="false" ht="15" hidden="false" customHeight="false" outlineLevel="0" collapsed="false">
      <c r="A122" s="8"/>
      <c r="B122" s="10" t="str">
        <f aca="false">IF(A122="","",IFERROR(VLOOKUP(A122,DonHang!$A$2:$C$500,3,FALSE()),"mã đơn chưa có"))</f>
        <v/>
      </c>
      <c r="C122" s="8"/>
      <c r="D122" s="8"/>
      <c r="E122" s="8"/>
      <c r="F122" s="13"/>
      <c r="G122" s="14"/>
      <c r="H122" s="8"/>
      <c r="I122" s="11" t="str">
        <f aca="false">IF(OR(F122="",G122=""),"",ROUND(F122*G122,0))</f>
        <v/>
      </c>
    </row>
    <row r="123" customFormat="false" ht="15" hidden="false" customHeight="false" outlineLevel="0" collapsed="false">
      <c r="A123" s="8"/>
      <c r="B123" s="10" t="str">
        <f aca="false">IF(A123="","",IFERROR(VLOOKUP(A123,DonHang!$A$2:$C$500,3,FALSE()),"mã đơn chưa có"))</f>
        <v/>
      </c>
      <c r="C123" s="8"/>
      <c r="D123" s="8"/>
      <c r="E123" s="8"/>
      <c r="F123" s="13"/>
      <c r="G123" s="14"/>
      <c r="H123" s="8"/>
      <c r="I123" s="11" t="str">
        <f aca="false">IF(OR(F123="",G123=""),"",ROUND(F123*G123,0))</f>
        <v/>
      </c>
    </row>
    <row r="124" customFormat="false" ht="15" hidden="false" customHeight="false" outlineLevel="0" collapsed="false">
      <c r="A124" s="8"/>
      <c r="B124" s="10" t="str">
        <f aca="false">IF(A124="","",IFERROR(VLOOKUP(A124,DonHang!$A$2:$C$500,3,FALSE()),"mã đơn chưa có"))</f>
        <v/>
      </c>
      <c r="C124" s="8"/>
      <c r="D124" s="8"/>
      <c r="E124" s="8"/>
      <c r="F124" s="13"/>
      <c r="G124" s="14"/>
      <c r="H124" s="8"/>
      <c r="I124" s="11" t="str">
        <f aca="false">IF(OR(F124="",G124=""),"",ROUND(F124*G124,0))</f>
        <v/>
      </c>
    </row>
    <row r="125" customFormat="false" ht="15" hidden="false" customHeight="false" outlineLevel="0" collapsed="false">
      <c r="A125" s="8"/>
      <c r="B125" s="10" t="str">
        <f aca="false">IF(A125="","",IFERROR(VLOOKUP(A125,DonHang!$A$2:$C$500,3,FALSE()),"mã đơn chưa có"))</f>
        <v/>
      </c>
      <c r="C125" s="8"/>
      <c r="D125" s="8"/>
      <c r="E125" s="8"/>
      <c r="F125" s="13"/>
      <c r="G125" s="14"/>
      <c r="H125" s="8"/>
      <c r="I125" s="11" t="str">
        <f aca="false">IF(OR(F125="",G125=""),"",ROUND(F125*G125,0))</f>
        <v/>
      </c>
    </row>
    <row r="126" customFormat="false" ht="15" hidden="false" customHeight="false" outlineLevel="0" collapsed="false">
      <c r="A126" s="8"/>
      <c r="B126" s="10" t="str">
        <f aca="false">IF(A126="","",IFERROR(VLOOKUP(A126,DonHang!$A$2:$C$500,3,FALSE()),"mã đơn chưa có"))</f>
        <v/>
      </c>
      <c r="C126" s="8"/>
      <c r="D126" s="8"/>
      <c r="E126" s="8"/>
      <c r="F126" s="13"/>
      <c r="G126" s="14"/>
      <c r="H126" s="8"/>
      <c r="I126" s="11" t="str">
        <f aca="false">IF(OR(F126="",G126=""),"",ROUND(F126*G126,0))</f>
        <v/>
      </c>
    </row>
    <row r="127" customFormat="false" ht="15" hidden="false" customHeight="false" outlineLevel="0" collapsed="false">
      <c r="A127" s="8"/>
      <c r="B127" s="10" t="str">
        <f aca="false">IF(A127="","",IFERROR(VLOOKUP(A127,DonHang!$A$2:$C$500,3,FALSE()),"mã đơn chưa có"))</f>
        <v/>
      </c>
      <c r="C127" s="8"/>
      <c r="D127" s="8"/>
      <c r="E127" s="8"/>
      <c r="F127" s="13"/>
      <c r="G127" s="14"/>
      <c r="H127" s="8"/>
      <c r="I127" s="11" t="str">
        <f aca="false">IF(OR(F127="",G127=""),"",ROUND(F127*G127,0))</f>
        <v/>
      </c>
    </row>
    <row r="128" customFormat="false" ht="15" hidden="false" customHeight="false" outlineLevel="0" collapsed="false">
      <c r="A128" s="8"/>
      <c r="B128" s="10" t="str">
        <f aca="false">IF(A128="","",IFERROR(VLOOKUP(A128,DonHang!$A$2:$C$500,3,FALSE()),"mã đơn chưa có"))</f>
        <v/>
      </c>
      <c r="C128" s="8"/>
      <c r="D128" s="8"/>
      <c r="E128" s="8"/>
      <c r="F128" s="13"/>
      <c r="G128" s="14"/>
      <c r="H128" s="8"/>
      <c r="I128" s="11" t="str">
        <f aca="false">IF(OR(F128="",G128=""),"",ROUND(F128*G128,0))</f>
        <v/>
      </c>
    </row>
    <row r="129" customFormat="false" ht="15" hidden="false" customHeight="false" outlineLevel="0" collapsed="false">
      <c r="A129" s="8"/>
      <c r="B129" s="10" t="str">
        <f aca="false">IF(A129="","",IFERROR(VLOOKUP(A129,DonHang!$A$2:$C$500,3,FALSE()),"mã đơn chưa có"))</f>
        <v/>
      </c>
      <c r="C129" s="8"/>
      <c r="D129" s="8"/>
      <c r="E129" s="8"/>
      <c r="F129" s="13"/>
      <c r="G129" s="14"/>
      <c r="H129" s="8"/>
      <c r="I129" s="11" t="str">
        <f aca="false">IF(OR(F129="",G129=""),"",ROUND(F129*G129,0))</f>
        <v/>
      </c>
    </row>
    <row r="130" customFormat="false" ht="15" hidden="false" customHeight="false" outlineLevel="0" collapsed="false">
      <c r="A130" s="8"/>
      <c r="B130" s="10" t="str">
        <f aca="false">IF(A130="","",IFERROR(VLOOKUP(A130,DonHang!$A$2:$C$500,3,FALSE()),"mã đơn chưa có"))</f>
        <v/>
      </c>
      <c r="C130" s="8"/>
      <c r="D130" s="8"/>
      <c r="E130" s="8"/>
      <c r="F130" s="13"/>
      <c r="G130" s="14"/>
      <c r="H130" s="8"/>
      <c r="I130" s="11" t="str">
        <f aca="false">IF(OR(F130="",G130=""),"",ROUND(F130*G130,0))</f>
        <v/>
      </c>
    </row>
    <row r="131" customFormat="false" ht="15" hidden="false" customHeight="false" outlineLevel="0" collapsed="false">
      <c r="A131" s="8"/>
      <c r="B131" s="10" t="str">
        <f aca="false">IF(A131="","",IFERROR(VLOOKUP(A131,DonHang!$A$2:$C$500,3,FALSE()),"mã đơn chưa có"))</f>
        <v/>
      </c>
      <c r="C131" s="8"/>
      <c r="D131" s="8"/>
      <c r="E131" s="8"/>
      <c r="F131" s="13"/>
      <c r="G131" s="14"/>
      <c r="H131" s="8"/>
      <c r="I131" s="11" t="str">
        <f aca="false">IF(OR(F131="",G131=""),"",ROUND(F131*G131,0))</f>
        <v/>
      </c>
    </row>
    <row r="132" customFormat="false" ht="15" hidden="false" customHeight="false" outlineLevel="0" collapsed="false">
      <c r="A132" s="8"/>
      <c r="B132" s="10" t="str">
        <f aca="false">IF(A132="","",IFERROR(VLOOKUP(A132,DonHang!$A$2:$C$500,3,FALSE()),"mã đơn chưa có"))</f>
        <v/>
      </c>
      <c r="C132" s="8"/>
      <c r="D132" s="8"/>
      <c r="E132" s="8"/>
      <c r="F132" s="13"/>
      <c r="G132" s="14"/>
      <c r="H132" s="8"/>
      <c r="I132" s="11" t="str">
        <f aca="false">IF(OR(F132="",G132=""),"",ROUND(F132*G132,0))</f>
        <v/>
      </c>
    </row>
    <row r="133" customFormat="false" ht="15" hidden="false" customHeight="false" outlineLevel="0" collapsed="false">
      <c r="A133" s="8"/>
      <c r="B133" s="10" t="str">
        <f aca="false">IF(A133="","",IFERROR(VLOOKUP(A133,DonHang!$A$2:$C$500,3,FALSE()),"mã đơn chưa có"))</f>
        <v/>
      </c>
      <c r="C133" s="8"/>
      <c r="D133" s="8"/>
      <c r="E133" s="8"/>
      <c r="F133" s="13"/>
      <c r="G133" s="14"/>
      <c r="H133" s="8"/>
      <c r="I133" s="11" t="str">
        <f aca="false">IF(OR(F133="",G133=""),"",ROUND(F133*G133,0))</f>
        <v/>
      </c>
    </row>
    <row r="134" customFormat="false" ht="15" hidden="false" customHeight="false" outlineLevel="0" collapsed="false">
      <c r="A134" s="8"/>
      <c r="B134" s="10" t="str">
        <f aca="false">IF(A134="","",IFERROR(VLOOKUP(A134,DonHang!$A$2:$C$500,3,FALSE()),"mã đơn chưa có"))</f>
        <v/>
      </c>
      <c r="C134" s="8"/>
      <c r="D134" s="8"/>
      <c r="E134" s="8"/>
      <c r="F134" s="13"/>
      <c r="G134" s="14"/>
      <c r="H134" s="8"/>
      <c r="I134" s="11" t="str">
        <f aca="false">IF(OR(F134="",G134=""),"",ROUND(F134*G134,0))</f>
        <v/>
      </c>
    </row>
    <row r="135" customFormat="false" ht="15" hidden="false" customHeight="false" outlineLevel="0" collapsed="false">
      <c r="A135" s="8"/>
      <c r="B135" s="10" t="str">
        <f aca="false">IF(A135="","",IFERROR(VLOOKUP(A135,DonHang!$A$2:$C$500,3,FALSE()),"mã đơn chưa có"))</f>
        <v/>
      </c>
      <c r="C135" s="8"/>
      <c r="D135" s="8"/>
      <c r="E135" s="8"/>
      <c r="F135" s="13"/>
      <c r="G135" s="14"/>
      <c r="H135" s="8"/>
      <c r="I135" s="11" t="str">
        <f aca="false">IF(OR(F135="",G135=""),"",ROUND(F135*G135,0))</f>
        <v/>
      </c>
    </row>
    <row r="136" customFormat="false" ht="15" hidden="false" customHeight="false" outlineLevel="0" collapsed="false">
      <c r="A136" s="8"/>
      <c r="B136" s="10" t="str">
        <f aca="false">IF(A136="","",IFERROR(VLOOKUP(A136,DonHang!$A$2:$C$500,3,FALSE()),"mã đơn chưa có"))</f>
        <v/>
      </c>
      <c r="C136" s="8"/>
      <c r="D136" s="8"/>
      <c r="E136" s="8"/>
      <c r="F136" s="13"/>
      <c r="G136" s="14"/>
      <c r="H136" s="8"/>
      <c r="I136" s="11" t="str">
        <f aca="false">IF(OR(F136="",G136=""),"",ROUND(F136*G136,0))</f>
        <v/>
      </c>
    </row>
    <row r="137" customFormat="false" ht="15" hidden="false" customHeight="false" outlineLevel="0" collapsed="false">
      <c r="A137" s="8"/>
      <c r="B137" s="10" t="str">
        <f aca="false">IF(A137="","",IFERROR(VLOOKUP(A137,DonHang!$A$2:$C$500,3,FALSE()),"mã đơn chưa có"))</f>
        <v/>
      </c>
      <c r="C137" s="8"/>
      <c r="D137" s="8"/>
      <c r="E137" s="8"/>
      <c r="F137" s="13"/>
      <c r="G137" s="14"/>
      <c r="H137" s="8"/>
      <c r="I137" s="11" t="str">
        <f aca="false">IF(OR(F137="",G137=""),"",ROUND(F137*G137,0))</f>
        <v/>
      </c>
    </row>
    <row r="138" customFormat="false" ht="15" hidden="false" customHeight="false" outlineLevel="0" collapsed="false">
      <c r="A138" s="8"/>
      <c r="B138" s="10" t="str">
        <f aca="false">IF(A138="","",IFERROR(VLOOKUP(A138,DonHang!$A$2:$C$500,3,FALSE()),"mã đơn chưa có"))</f>
        <v/>
      </c>
      <c r="C138" s="8"/>
      <c r="D138" s="8"/>
      <c r="E138" s="8"/>
      <c r="F138" s="13"/>
      <c r="G138" s="14"/>
      <c r="H138" s="8"/>
      <c r="I138" s="11" t="str">
        <f aca="false">IF(OR(F138="",G138=""),"",ROUND(F138*G138,0))</f>
        <v/>
      </c>
    </row>
    <row r="139" customFormat="false" ht="15" hidden="false" customHeight="false" outlineLevel="0" collapsed="false">
      <c r="A139" s="8"/>
      <c r="B139" s="10" t="str">
        <f aca="false">IF(A139="","",IFERROR(VLOOKUP(A139,DonHang!$A$2:$C$500,3,FALSE()),"mã đơn chưa có"))</f>
        <v/>
      </c>
      <c r="C139" s="8"/>
      <c r="D139" s="8"/>
      <c r="E139" s="8"/>
      <c r="F139" s="13"/>
      <c r="G139" s="14"/>
      <c r="H139" s="8"/>
      <c r="I139" s="11" t="str">
        <f aca="false">IF(OR(F139="",G139=""),"",ROUND(F139*G139,0))</f>
        <v/>
      </c>
    </row>
    <row r="140" customFormat="false" ht="15" hidden="false" customHeight="false" outlineLevel="0" collapsed="false">
      <c r="A140" s="8"/>
      <c r="B140" s="10" t="str">
        <f aca="false">IF(A140="","",IFERROR(VLOOKUP(A140,DonHang!$A$2:$C$500,3,FALSE()),"mã đơn chưa có"))</f>
        <v/>
      </c>
      <c r="C140" s="8"/>
      <c r="D140" s="8"/>
      <c r="E140" s="8"/>
      <c r="F140" s="13"/>
      <c r="G140" s="14"/>
      <c r="H140" s="8"/>
      <c r="I140" s="11" t="str">
        <f aca="false">IF(OR(F140="",G140=""),"",ROUND(F140*G140,0))</f>
        <v/>
      </c>
    </row>
    <row r="141" customFormat="false" ht="15" hidden="false" customHeight="false" outlineLevel="0" collapsed="false">
      <c r="A141" s="8"/>
      <c r="B141" s="10" t="str">
        <f aca="false">IF(A141="","",IFERROR(VLOOKUP(A141,DonHang!$A$2:$C$500,3,FALSE()),"mã đơn chưa có"))</f>
        <v/>
      </c>
      <c r="C141" s="8"/>
      <c r="D141" s="8"/>
      <c r="E141" s="8"/>
      <c r="F141" s="13"/>
      <c r="G141" s="14"/>
      <c r="H141" s="8"/>
      <c r="I141" s="11" t="str">
        <f aca="false">IF(OR(F141="",G141=""),"",ROUND(F141*G141,0))</f>
        <v/>
      </c>
    </row>
    <row r="142" customFormat="false" ht="15" hidden="false" customHeight="false" outlineLevel="0" collapsed="false">
      <c r="A142" s="8"/>
      <c r="B142" s="10" t="str">
        <f aca="false">IF(A142="","",IFERROR(VLOOKUP(A142,DonHang!$A$2:$C$500,3,FALSE()),"mã đơn chưa có"))</f>
        <v/>
      </c>
      <c r="C142" s="8"/>
      <c r="D142" s="8"/>
      <c r="E142" s="8"/>
      <c r="F142" s="13"/>
      <c r="G142" s="14"/>
      <c r="H142" s="8"/>
      <c r="I142" s="11" t="str">
        <f aca="false">IF(OR(F142="",G142=""),"",ROUND(F142*G142,0))</f>
        <v/>
      </c>
    </row>
    <row r="143" customFormat="false" ht="15" hidden="false" customHeight="false" outlineLevel="0" collapsed="false">
      <c r="A143" s="8"/>
      <c r="B143" s="10" t="str">
        <f aca="false">IF(A143="","",IFERROR(VLOOKUP(A143,DonHang!$A$2:$C$500,3,FALSE()),"mã đơn chưa có"))</f>
        <v/>
      </c>
      <c r="C143" s="8"/>
      <c r="D143" s="8"/>
      <c r="E143" s="8"/>
      <c r="F143" s="13"/>
      <c r="G143" s="14"/>
      <c r="H143" s="8"/>
      <c r="I143" s="11" t="str">
        <f aca="false">IF(OR(F143="",G143=""),"",ROUND(F143*G143,0))</f>
        <v/>
      </c>
    </row>
    <row r="144" customFormat="false" ht="15" hidden="false" customHeight="false" outlineLevel="0" collapsed="false">
      <c r="A144" s="8"/>
      <c r="B144" s="10" t="str">
        <f aca="false">IF(A144="","",IFERROR(VLOOKUP(A144,DonHang!$A$2:$C$500,3,FALSE()),"mã đơn chưa có"))</f>
        <v/>
      </c>
      <c r="C144" s="8"/>
      <c r="D144" s="8"/>
      <c r="E144" s="8"/>
      <c r="F144" s="13"/>
      <c r="G144" s="14"/>
      <c r="H144" s="8"/>
      <c r="I144" s="11" t="str">
        <f aca="false">IF(OR(F144="",G144=""),"",ROUND(F144*G144,0))</f>
        <v/>
      </c>
    </row>
    <row r="145" customFormat="false" ht="15" hidden="false" customHeight="false" outlineLevel="0" collapsed="false">
      <c r="A145" s="8"/>
      <c r="B145" s="10" t="str">
        <f aca="false">IF(A145="","",IFERROR(VLOOKUP(A145,DonHang!$A$2:$C$500,3,FALSE()),"mã đơn chưa có"))</f>
        <v/>
      </c>
      <c r="C145" s="8"/>
      <c r="D145" s="8"/>
      <c r="E145" s="8"/>
      <c r="F145" s="13"/>
      <c r="G145" s="14"/>
      <c r="H145" s="8"/>
      <c r="I145" s="11" t="str">
        <f aca="false">IF(OR(F145="",G145=""),"",ROUND(F145*G145,0))</f>
        <v/>
      </c>
    </row>
    <row r="146" customFormat="false" ht="15" hidden="false" customHeight="false" outlineLevel="0" collapsed="false">
      <c r="A146" s="8"/>
      <c r="B146" s="10" t="str">
        <f aca="false">IF(A146="","",IFERROR(VLOOKUP(A146,DonHang!$A$2:$C$500,3,FALSE()),"mã đơn chưa có"))</f>
        <v/>
      </c>
      <c r="C146" s="8"/>
      <c r="D146" s="8"/>
      <c r="E146" s="8"/>
      <c r="F146" s="13"/>
      <c r="G146" s="14"/>
      <c r="H146" s="8"/>
      <c r="I146" s="11" t="str">
        <f aca="false">IF(OR(F146="",G146=""),"",ROUND(F146*G146,0))</f>
        <v/>
      </c>
    </row>
    <row r="147" customFormat="false" ht="15" hidden="false" customHeight="false" outlineLevel="0" collapsed="false">
      <c r="A147" s="8"/>
      <c r="B147" s="10" t="str">
        <f aca="false">IF(A147="","",IFERROR(VLOOKUP(A147,DonHang!$A$2:$C$500,3,FALSE()),"mã đơn chưa có"))</f>
        <v/>
      </c>
      <c r="C147" s="8"/>
      <c r="D147" s="8"/>
      <c r="E147" s="8"/>
      <c r="F147" s="13"/>
      <c r="G147" s="14"/>
      <c r="H147" s="8"/>
      <c r="I147" s="11" t="str">
        <f aca="false">IF(OR(F147="",G147=""),"",ROUND(F147*G147,0))</f>
        <v/>
      </c>
    </row>
    <row r="148" customFormat="false" ht="15" hidden="false" customHeight="false" outlineLevel="0" collapsed="false">
      <c r="A148" s="8"/>
      <c r="B148" s="10" t="str">
        <f aca="false">IF(A148="","",IFERROR(VLOOKUP(A148,DonHang!$A$2:$C$500,3,FALSE()),"mã đơn chưa có"))</f>
        <v/>
      </c>
      <c r="C148" s="8"/>
      <c r="D148" s="8"/>
      <c r="E148" s="8"/>
      <c r="F148" s="13"/>
      <c r="G148" s="14"/>
      <c r="H148" s="8"/>
      <c r="I148" s="11" t="str">
        <f aca="false">IF(OR(F148="",G148=""),"",ROUND(F148*G148,0))</f>
        <v/>
      </c>
    </row>
    <row r="149" customFormat="false" ht="15" hidden="false" customHeight="false" outlineLevel="0" collapsed="false">
      <c r="A149" s="8"/>
      <c r="B149" s="10" t="str">
        <f aca="false">IF(A149="","",IFERROR(VLOOKUP(A149,DonHang!$A$2:$C$500,3,FALSE()),"mã đơn chưa có"))</f>
        <v/>
      </c>
      <c r="C149" s="8"/>
      <c r="D149" s="8"/>
      <c r="E149" s="8"/>
      <c r="F149" s="13"/>
      <c r="G149" s="14"/>
      <c r="H149" s="8"/>
      <c r="I149" s="11" t="str">
        <f aca="false">IF(OR(F149="",G149=""),"",ROUND(F149*G149,0))</f>
        <v/>
      </c>
    </row>
    <row r="150" customFormat="false" ht="15" hidden="false" customHeight="false" outlineLevel="0" collapsed="false">
      <c r="A150" s="8"/>
      <c r="B150" s="10" t="str">
        <f aca="false">IF(A150="","",IFERROR(VLOOKUP(A150,DonHang!$A$2:$C$500,3,FALSE()),"mã đơn chưa có"))</f>
        <v/>
      </c>
      <c r="C150" s="8"/>
      <c r="D150" s="8"/>
      <c r="E150" s="8"/>
      <c r="F150" s="13"/>
      <c r="G150" s="14"/>
      <c r="H150" s="8"/>
      <c r="I150" s="11" t="str">
        <f aca="false">IF(OR(F150="",G150=""),"",ROUND(F150*G150,0))</f>
        <v/>
      </c>
    </row>
    <row r="151" customFormat="false" ht="15" hidden="false" customHeight="false" outlineLevel="0" collapsed="false">
      <c r="A151" s="8"/>
      <c r="B151" s="10" t="str">
        <f aca="false">IF(A151="","",IFERROR(VLOOKUP(A151,DonHang!$A$2:$C$500,3,FALSE()),"mã đơn chưa có"))</f>
        <v/>
      </c>
      <c r="C151" s="8"/>
      <c r="D151" s="8"/>
      <c r="E151" s="8"/>
      <c r="F151" s="13"/>
      <c r="G151" s="14"/>
      <c r="H151" s="8"/>
      <c r="I151" s="11" t="str">
        <f aca="false">IF(OR(F151="",G151=""),"",ROUND(F151*G151,0))</f>
        <v/>
      </c>
    </row>
    <row r="152" customFormat="false" ht="15" hidden="false" customHeight="false" outlineLevel="0" collapsed="false">
      <c r="A152" s="8"/>
      <c r="B152" s="10" t="str">
        <f aca="false">IF(A152="","",IFERROR(VLOOKUP(A152,DonHang!$A$2:$C$500,3,FALSE()),"mã đơn chưa có"))</f>
        <v/>
      </c>
      <c r="C152" s="8"/>
      <c r="D152" s="8"/>
      <c r="E152" s="8"/>
      <c r="F152" s="13"/>
      <c r="G152" s="14"/>
      <c r="H152" s="8"/>
      <c r="I152" s="11" t="str">
        <f aca="false">IF(OR(F152="",G152=""),"",ROUND(F152*G152,0))</f>
        <v/>
      </c>
    </row>
    <row r="153" customFormat="false" ht="15" hidden="false" customHeight="false" outlineLevel="0" collapsed="false">
      <c r="A153" s="8"/>
      <c r="B153" s="10" t="str">
        <f aca="false">IF(A153="","",IFERROR(VLOOKUP(A153,DonHang!$A$2:$C$500,3,FALSE()),"mã đơn chưa có"))</f>
        <v/>
      </c>
      <c r="C153" s="8"/>
      <c r="D153" s="8"/>
      <c r="E153" s="8"/>
      <c r="F153" s="13"/>
      <c r="G153" s="14"/>
      <c r="H153" s="8"/>
      <c r="I153" s="11" t="str">
        <f aca="false">IF(OR(F153="",G153=""),"",ROUND(F153*G153,0))</f>
        <v/>
      </c>
    </row>
    <row r="154" customFormat="false" ht="15" hidden="false" customHeight="false" outlineLevel="0" collapsed="false">
      <c r="A154" s="8"/>
      <c r="B154" s="10" t="str">
        <f aca="false">IF(A154="","",IFERROR(VLOOKUP(A154,DonHang!$A$2:$C$500,3,FALSE()),"mã đơn chưa có"))</f>
        <v/>
      </c>
      <c r="C154" s="8"/>
      <c r="D154" s="8"/>
      <c r="E154" s="8"/>
      <c r="F154" s="13"/>
      <c r="G154" s="14"/>
      <c r="H154" s="8"/>
      <c r="I154" s="11" t="str">
        <f aca="false">IF(OR(F154="",G154=""),"",ROUND(F154*G154,0))</f>
        <v/>
      </c>
    </row>
    <row r="155" customFormat="false" ht="15" hidden="false" customHeight="false" outlineLevel="0" collapsed="false">
      <c r="A155" s="8"/>
      <c r="B155" s="10" t="str">
        <f aca="false">IF(A155="","",IFERROR(VLOOKUP(A155,DonHang!$A$2:$C$500,3,FALSE()),"mã đơn chưa có"))</f>
        <v/>
      </c>
      <c r="C155" s="8"/>
      <c r="D155" s="8"/>
      <c r="E155" s="8"/>
      <c r="F155" s="13"/>
      <c r="G155" s="14"/>
      <c r="H155" s="8"/>
      <c r="I155" s="11" t="str">
        <f aca="false">IF(OR(F155="",G155=""),"",ROUND(F155*G155,0))</f>
        <v/>
      </c>
    </row>
    <row r="156" customFormat="false" ht="15" hidden="false" customHeight="false" outlineLevel="0" collapsed="false">
      <c r="A156" s="8"/>
      <c r="B156" s="10" t="str">
        <f aca="false">IF(A156="","",IFERROR(VLOOKUP(A156,DonHang!$A$2:$C$500,3,FALSE()),"mã đơn chưa có"))</f>
        <v/>
      </c>
      <c r="C156" s="8"/>
      <c r="D156" s="8"/>
      <c r="E156" s="8"/>
      <c r="F156" s="13"/>
      <c r="G156" s="14"/>
      <c r="H156" s="8"/>
      <c r="I156" s="11" t="str">
        <f aca="false">IF(OR(F156="",G156=""),"",ROUND(F156*G156,0))</f>
        <v/>
      </c>
    </row>
    <row r="157" customFormat="false" ht="15" hidden="false" customHeight="false" outlineLevel="0" collapsed="false">
      <c r="A157" s="8"/>
      <c r="B157" s="10" t="str">
        <f aca="false">IF(A157="","",IFERROR(VLOOKUP(A157,DonHang!$A$2:$C$500,3,FALSE()),"mã đơn chưa có"))</f>
        <v/>
      </c>
      <c r="C157" s="8"/>
      <c r="D157" s="8"/>
      <c r="E157" s="8"/>
      <c r="F157" s="13"/>
      <c r="G157" s="14"/>
      <c r="H157" s="8"/>
      <c r="I157" s="11" t="str">
        <f aca="false">IF(OR(F157="",G157=""),"",ROUND(F157*G157,0))</f>
        <v/>
      </c>
    </row>
    <row r="158" customFormat="false" ht="15" hidden="false" customHeight="false" outlineLevel="0" collapsed="false">
      <c r="A158" s="8"/>
      <c r="B158" s="10" t="str">
        <f aca="false">IF(A158="","",IFERROR(VLOOKUP(A158,DonHang!$A$2:$C$500,3,FALSE()),"mã đơn chưa có"))</f>
        <v/>
      </c>
      <c r="C158" s="8"/>
      <c r="D158" s="8"/>
      <c r="E158" s="8"/>
      <c r="F158" s="13"/>
      <c r="G158" s="14"/>
      <c r="H158" s="8"/>
      <c r="I158" s="11" t="str">
        <f aca="false">IF(OR(F158="",G158=""),"",ROUND(F158*G158,0))</f>
        <v/>
      </c>
    </row>
    <row r="159" customFormat="false" ht="15" hidden="false" customHeight="false" outlineLevel="0" collapsed="false">
      <c r="A159" s="8"/>
      <c r="B159" s="10" t="str">
        <f aca="false">IF(A159="","",IFERROR(VLOOKUP(A159,DonHang!$A$2:$C$500,3,FALSE()),"mã đơn chưa có"))</f>
        <v/>
      </c>
      <c r="C159" s="8"/>
      <c r="D159" s="8"/>
      <c r="E159" s="8"/>
      <c r="F159" s="13"/>
      <c r="G159" s="14"/>
      <c r="H159" s="8"/>
      <c r="I159" s="11" t="str">
        <f aca="false">IF(OR(F159="",G159=""),"",ROUND(F159*G159,0))</f>
        <v/>
      </c>
    </row>
    <row r="160" customFormat="false" ht="15" hidden="false" customHeight="false" outlineLevel="0" collapsed="false">
      <c r="A160" s="8"/>
      <c r="B160" s="10" t="str">
        <f aca="false">IF(A160="","",IFERROR(VLOOKUP(A160,DonHang!$A$2:$C$500,3,FALSE()),"mã đơn chưa có"))</f>
        <v/>
      </c>
      <c r="C160" s="8"/>
      <c r="D160" s="8"/>
      <c r="E160" s="8"/>
      <c r="F160" s="13"/>
      <c r="G160" s="14"/>
      <c r="H160" s="8"/>
      <c r="I160" s="11" t="str">
        <f aca="false">IF(OR(F160="",G160=""),"",ROUND(F160*G160,0))</f>
        <v/>
      </c>
    </row>
    <row r="161" customFormat="false" ht="15" hidden="false" customHeight="false" outlineLevel="0" collapsed="false">
      <c r="A161" s="8"/>
      <c r="B161" s="10" t="str">
        <f aca="false">IF(A161="","",IFERROR(VLOOKUP(A161,DonHang!$A$2:$C$500,3,FALSE()),"mã đơn chưa có"))</f>
        <v/>
      </c>
      <c r="C161" s="8"/>
      <c r="D161" s="8"/>
      <c r="E161" s="8"/>
      <c r="F161" s="13"/>
      <c r="G161" s="14"/>
      <c r="H161" s="8"/>
      <c r="I161" s="11" t="str">
        <f aca="false">IF(OR(F161="",G161=""),"",ROUND(F161*G161,0))</f>
        <v/>
      </c>
    </row>
    <row r="162" customFormat="false" ht="15" hidden="false" customHeight="false" outlineLevel="0" collapsed="false">
      <c r="A162" s="8"/>
      <c r="B162" s="10" t="str">
        <f aca="false">IF(A162="","",IFERROR(VLOOKUP(A162,DonHang!$A$2:$C$500,3,FALSE()),"mã đơn chưa có"))</f>
        <v/>
      </c>
      <c r="C162" s="8"/>
      <c r="D162" s="8"/>
      <c r="E162" s="8"/>
      <c r="F162" s="13"/>
      <c r="G162" s="14"/>
      <c r="H162" s="8"/>
      <c r="I162" s="11" t="str">
        <f aca="false">IF(OR(F162="",G162=""),"",ROUND(F162*G162,0))</f>
        <v/>
      </c>
    </row>
    <row r="163" customFormat="false" ht="15" hidden="false" customHeight="false" outlineLevel="0" collapsed="false">
      <c r="A163" s="8"/>
      <c r="B163" s="10" t="str">
        <f aca="false">IF(A163="","",IFERROR(VLOOKUP(A163,DonHang!$A$2:$C$500,3,FALSE()),"mã đơn chưa có"))</f>
        <v/>
      </c>
      <c r="C163" s="8"/>
      <c r="D163" s="8"/>
      <c r="E163" s="8"/>
      <c r="F163" s="13"/>
      <c r="G163" s="14"/>
      <c r="H163" s="8"/>
      <c r="I163" s="11" t="str">
        <f aca="false">IF(OR(F163="",G163=""),"",ROUND(F163*G163,0))</f>
        <v/>
      </c>
    </row>
    <row r="164" customFormat="false" ht="15" hidden="false" customHeight="false" outlineLevel="0" collapsed="false">
      <c r="A164" s="8"/>
      <c r="B164" s="10" t="str">
        <f aca="false">IF(A164="","",IFERROR(VLOOKUP(A164,DonHang!$A$2:$C$500,3,FALSE()),"mã đơn chưa có"))</f>
        <v/>
      </c>
      <c r="C164" s="8"/>
      <c r="D164" s="8"/>
      <c r="E164" s="8"/>
      <c r="F164" s="13"/>
      <c r="G164" s="14"/>
      <c r="H164" s="8"/>
      <c r="I164" s="11" t="str">
        <f aca="false">IF(OR(F164="",G164=""),"",ROUND(F164*G164,0))</f>
        <v/>
      </c>
    </row>
    <row r="165" customFormat="false" ht="15" hidden="false" customHeight="false" outlineLevel="0" collapsed="false">
      <c r="A165" s="8"/>
      <c r="B165" s="10" t="str">
        <f aca="false">IF(A165="","",IFERROR(VLOOKUP(A165,DonHang!$A$2:$C$500,3,FALSE()),"mã đơn chưa có"))</f>
        <v/>
      </c>
      <c r="C165" s="8"/>
      <c r="D165" s="8"/>
      <c r="E165" s="8"/>
      <c r="F165" s="13"/>
      <c r="G165" s="14"/>
      <c r="H165" s="8"/>
      <c r="I165" s="11" t="str">
        <f aca="false">IF(OR(F165="",G165=""),"",ROUND(F165*G165,0))</f>
        <v/>
      </c>
    </row>
    <row r="166" customFormat="false" ht="15" hidden="false" customHeight="false" outlineLevel="0" collapsed="false">
      <c r="A166" s="8"/>
      <c r="B166" s="10" t="str">
        <f aca="false">IF(A166="","",IFERROR(VLOOKUP(A166,DonHang!$A$2:$C$500,3,FALSE()),"mã đơn chưa có"))</f>
        <v/>
      </c>
      <c r="C166" s="8"/>
      <c r="D166" s="8"/>
      <c r="E166" s="8"/>
      <c r="F166" s="13"/>
      <c r="G166" s="14"/>
      <c r="H166" s="8"/>
      <c r="I166" s="11" t="str">
        <f aca="false">IF(OR(F166="",G166=""),"",ROUND(F166*G166,0))</f>
        <v/>
      </c>
    </row>
    <row r="167" customFormat="false" ht="15" hidden="false" customHeight="false" outlineLevel="0" collapsed="false">
      <c r="A167" s="8"/>
      <c r="B167" s="10" t="str">
        <f aca="false">IF(A167="","",IFERROR(VLOOKUP(A167,DonHang!$A$2:$C$500,3,FALSE()),"mã đơn chưa có"))</f>
        <v/>
      </c>
      <c r="C167" s="8"/>
      <c r="D167" s="8"/>
      <c r="E167" s="8"/>
      <c r="F167" s="13"/>
      <c r="G167" s="14"/>
      <c r="H167" s="8"/>
      <c r="I167" s="11" t="str">
        <f aca="false">IF(OR(F167="",G167=""),"",ROUND(F167*G167,0))</f>
        <v/>
      </c>
    </row>
    <row r="168" customFormat="false" ht="15" hidden="false" customHeight="false" outlineLevel="0" collapsed="false">
      <c r="A168" s="8"/>
      <c r="B168" s="10" t="str">
        <f aca="false">IF(A168="","",IFERROR(VLOOKUP(A168,DonHang!$A$2:$C$500,3,FALSE()),"mã đơn chưa có"))</f>
        <v/>
      </c>
      <c r="C168" s="8"/>
      <c r="D168" s="8"/>
      <c r="E168" s="8"/>
      <c r="F168" s="13"/>
      <c r="G168" s="14"/>
      <c r="H168" s="8"/>
      <c r="I168" s="11" t="str">
        <f aca="false">IF(OR(F168="",G168=""),"",ROUND(F168*G168,0))</f>
        <v/>
      </c>
    </row>
    <row r="169" customFormat="false" ht="15" hidden="false" customHeight="false" outlineLevel="0" collapsed="false">
      <c r="A169" s="8"/>
      <c r="B169" s="10" t="str">
        <f aca="false">IF(A169="","",IFERROR(VLOOKUP(A169,DonHang!$A$2:$C$500,3,FALSE()),"mã đơn chưa có"))</f>
        <v/>
      </c>
      <c r="C169" s="8"/>
      <c r="D169" s="8"/>
      <c r="E169" s="8"/>
      <c r="F169" s="13"/>
      <c r="G169" s="14"/>
      <c r="H169" s="8"/>
      <c r="I169" s="11" t="str">
        <f aca="false">IF(OR(F169="",G169=""),"",ROUND(F169*G169,0))</f>
        <v/>
      </c>
    </row>
    <row r="170" customFormat="false" ht="15" hidden="false" customHeight="false" outlineLevel="0" collapsed="false">
      <c r="A170" s="8"/>
      <c r="B170" s="10" t="str">
        <f aca="false">IF(A170="","",IFERROR(VLOOKUP(A170,DonHang!$A$2:$C$500,3,FALSE()),"mã đơn chưa có"))</f>
        <v/>
      </c>
      <c r="C170" s="8"/>
      <c r="D170" s="8"/>
      <c r="E170" s="8"/>
      <c r="F170" s="13"/>
      <c r="G170" s="14"/>
      <c r="H170" s="8"/>
      <c r="I170" s="11" t="str">
        <f aca="false">IF(OR(F170="",G170=""),"",ROUND(F170*G170,0))</f>
        <v/>
      </c>
    </row>
    <row r="171" customFormat="false" ht="15" hidden="false" customHeight="false" outlineLevel="0" collapsed="false">
      <c r="A171" s="8"/>
      <c r="B171" s="10" t="str">
        <f aca="false">IF(A171="","",IFERROR(VLOOKUP(A171,DonHang!$A$2:$C$500,3,FALSE()),"mã đơn chưa có"))</f>
        <v/>
      </c>
      <c r="C171" s="8"/>
      <c r="D171" s="8"/>
      <c r="E171" s="8"/>
      <c r="F171" s="13"/>
      <c r="G171" s="14"/>
      <c r="H171" s="8"/>
      <c r="I171" s="11" t="str">
        <f aca="false">IF(OR(F171="",G171=""),"",ROUND(F171*G171,0))</f>
        <v/>
      </c>
    </row>
    <row r="172" customFormat="false" ht="15" hidden="false" customHeight="false" outlineLevel="0" collapsed="false">
      <c r="A172" s="8"/>
      <c r="B172" s="10" t="str">
        <f aca="false">IF(A172="","",IFERROR(VLOOKUP(A172,DonHang!$A$2:$C$500,3,FALSE()),"mã đơn chưa có"))</f>
        <v/>
      </c>
      <c r="C172" s="8"/>
      <c r="D172" s="8"/>
      <c r="E172" s="8"/>
      <c r="F172" s="13"/>
      <c r="G172" s="14"/>
      <c r="H172" s="8"/>
      <c r="I172" s="11" t="str">
        <f aca="false">IF(OR(F172="",G172=""),"",ROUND(F172*G172,0))</f>
        <v/>
      </c>
    </row>
    <row r="173" customFormat="false" ht="15" hidden="false" customHeight="false" outlineLevel="0" collapsed="false">
      <c r="A173" s="8"/>
      <c r="B173" s="10" t="str">
        <f aca="false">IF(A173="","",IFERROR(VLOOKUP(A173,DonHang!$A$2:$C$500,3,FALSE()),"mã đơn chưa có"))</f>
        <v/>
      </c>
      <c r="C173" s="8"/>
      <c r="D173" s="8"/>
      <c r="E173" s="8"/>
      <c r="F173" s="13"/>
      <c r="G173" s="14"/>
      <c r="H173" s="8"/>
      <c r="I173" s="11" t="str">
        <f aca="false">IF(OR(F173="",G173=""),"",ROUND(F173*G173,0))</f>
        <v/>
      </c>
    </row>
    <row r="174" customFormat="false" ht="15" hidden="false" customHeight="false" outlineLevel="0" collapsed="false">
      <c r="A174" s="8"/>
      <c r="B174" s="10" t="str">
        <f aca="false">IF(A174="","",IFERROR(VLOOKUP(A174,DonHang!$A$2:$C$500,3,FALSE()),"mã đơn chưa có"))</f>
        <v/>
      </c>
      <c r="C174" s="8"/>
      <c r="D174" s="8"/>
      <c r="E174" s="8"/>
      <c r="F174" s="13"/>
      <c r="G174" s="14"/>
      <c r="H174" s="8"/>
      <c r="I174" s="11" t="str">
        <f aca="false">IF(OR(F174="",G174=""),"",ROUND(F174*G174,0))</f>
        <v/>
      </c>
    </row>
    <row r="175" customFormat="false" ht="15" hidden="false" customHeight="false" outlineLevel="0" collapsed="false">
      <c r="A175" s="8"/>
      <c r="B175" s="10" t="str">
        <f aca="false">IF(A175="","",IFERROR(VLOOKUP(A175,DonHang!$A$2:$C$500,3,FALSE()),"mã đơn chưa có"))</f>
        <v/>
      </c>
      <c r="C175" s="8"/>
      <c r="D175" s="8"/>
      <c r="E175" s="8"/>
      <c r="F175" s="13"/>
      <c r="G175" s="14"/>
      <c r="H175" s="8"/>
      <c r="I175" s="11" t="str">
        <f aca="false">IF(OR(F175="",G175=""),"",ROUND(F175*G175,0))</f>
        <v/>
      </c>
    </row>
    <row r="176" customFormat="false" ht="15" hidden="false" customHeight="false" outlineLevel="0" collapsed="false">
      <c r="A176" s="8"/>
      <c r="B176" s="10" t="str">
        <f aca="false">IF(A176="","",IFERROR(VLOOKUP(A176,DonHang!$A$2:$C$500,3,FALSE()),"mã đơn chưa có"))</f>
        <v/>
      </c>
      <c r="C176" s="8"/>
      <c r="D176" s="8"/>
      <c r="E176" s="8"/>
      <c r="F176" s="13"/>
      <c r="G176" s="14"/>
      <c r="H176" s="8"/>
      <c r="I176" s="11" t="str">
        <f aca="false">IF(OR(F176="",G176=""),"",ROUND(F176*G176,0))</f>
        <v/>
      </c>
    </row>
    <row r="177" customFormat="false" ht="15" hidden="false" customHeight="false" outlineLevel="0" collapsed="false">
      <c r="A177" s="8"/>
      <c r="B177" s="10" t="str">
        <f aca="false">IF(A177="","",IFERROR(VLOOKUP(A177,DonHang!$A$2:$C$500,3,FALSE()),"mã đơn chưa có"))</f>
        <v/>
      </c>
      <c r="C177" s="8"/>
      <c r="D177" s="8"/>
      <c r="E177" s="8"/>
      <c r="F177" s="13"/>
      <c r="G177" s="14"/>
      <c r="H177" s="8"/>
      <c r="I177" s="11" t="str">
        <f aca="false">IF(OR(F177="",G177=""),"",ROUND(F177*G177,0))</f>
        <v/>
      </c>
    </row>
    <row r="178" customFormat="false" ht="15" hidden="false" customHeight="false" outlineLevel="0" collapsed="false">
      <c r="A178" s="8"/>
      <c r="B178" s="10" t="str">
        <f aca="false">IF(A178="","",IFERROR(VLOOKUP(A178,DonHang!$A$2:$C$500,3,FALSE()),"mã đơn chưa có"))</f>
        <v/>
      </c>
      <c r="C178" s="8"/>
      <c r="D178" s="8"/>
      <c r="E178" s="8"/>
      <c r="F178" s="13"/>
      <c r="G178" s="14"/>
      <c r="H178" s="8"/>
      <c r="I178" s="11" t="str">
        <f aca="false">IF(OR(F178="",G178=""),"",ROUND(F178*G178,0))</f>
        <v/>
      </c>
    </row>
    <row r="179" customFormat="false" ht="15" hidden="false" customHeight="false" outlineLevel="0" collapsed="false">
      <c r="A179" s="8"/>
      <c r="B179" s="10" t="str">
        <f aca="false">IF(A179="","",IFERROR(VLOOKUP(A179,DonHang!$A$2:$C$500,3,FALSE()),"mã đơn chưa có"))</f>
        <v/>
      </c>
      <c r="C179" s="8"/>
      <c r="D179" s="8"/>
      <c r="E179" s="8"/>
      <c r="F179" s="13"/>
      <c r="G179" s="14"/>
      <c r="H179" s="8"/>
      <c r="I179" s="11" t="str">
        <f aca="false">IF(OR(F179="",G179=""),"",ROUND(F179*G179,0))</f>
        <v/>
      </c>
    </row>
    <row r="180" customFormat="false" ht="15" hidden="false" customHeight="false" outlineLevel="0" collapsed="false">
      <c r="A180" s="8"/>
      <c r="B180" s="10" t="str">
        <f aca="false">IF(A180="","",IFERROR(VLOOKUP(A180,DonHang!$A$2:$C$500,3,FALSE()),"mã đơn chưa có"))</f>
        <v/>
      </c>
      <c r="C180" s="8"/>
      <c r="D180" s="8"/>
      <c r="E180" s="8"/>
      <c r="F180" s="13"/>
      <c r="G180" s="14"/>
      <c r="H180" s="8"/>
      <c r="I180" s="11" t="str">
        <f aca="false">IF(OR(F180="",G180=""),"",ROUND(F180*G180,0))</f>
        <v/>
      </c>
    </row>
    <row r="181" customFormat="false" ht="15" hidden="false" customHeight="false" outlineLevel="0" collapsed="false">
      <c r="A181" s="8"/>
      <c r="B181" s="10" t="str">
        <f aca="false">IF(A181="","",IFERROR(VLOOKUP(A181,DonHang!$A$2:$C$500,3,FALSE()),"mã đơn chưa có"))</f>
        <v/>
      </c>
      <c r="C181" s="8"/>
      <c r="D181" s="8"/>
      <c r="E181" s="8"/>
      <c r="F181" s="13"/>
      <c r="G181" s="14"/>
      <c r="H181" s="8"/>
      <c r="I181" s="11" t="str">
        <f aca="false">IF(OR(F181="",G181=""),"",ROUND(F181*G181,0))</f>
        <v/>
      </c>
    </row>
    <row r="182" customFormat="false" ht="15" hidden="false" customHeight="false" outlineLevel="0" collapsed="false">
      <c r="A182" s="8"/>
      <c r="B182" s="10" t="str">
        <f aca="false">IF(A182="","",IFERROR(VLOOKUP(A182,DonHang!$A$2:$C$500,3,FALSE()),"mã đơn chưa có"))</f>
        <v/>
      </c>
      <c r="C182" s="8"/>
      <c r="D182" s="8"/>
      <c r="E182" s="8"/>
      <c r="F182" s="13"/>
      <c r="G182" s="14"/>
      <c r="H182" s="8"/>
      <c r="I182" s="11" t="str">
        <f aca="false">IF(OR(F182="",G182=""),"",ROUND(F182*G182,0))</f>
        <v/>
      </c>
    </row>
    <row r="183" customFormat="false" ht="15" hidden="false" customHeight="false" outlineLevel="0" collapsed="false">
      <c r="A183" s="8"/>
      <c r="B183" s="10" t="str">
        <f aca="false">IF(A183="","",IFERROR(VLOOKUP(A183,DonHang!$A$2:$C$500,3,FALSE()),"mã đơn chưa có"))</f>
        <v/>
      </c>
      <c r="C183" s="8"/>
      <c r="D183" s="8"/>
      <c r="E183" s="8"/>
      <c r="F183" s="13"/>
      <c r="G183" s="14"/>
      <c r="H183" s="8"/>
      <c r="I183" s="11" t="str">
        <f aca="false">IF(OR(F183="",G183=""),"",ROUND(F183*G183,0))</f>
        <v/>
      </c>
    </row>
    <row r="184" customFormat="false" ht="15" hidden="false" customHeight="false" outlineLevel="0" collapsed="false">
      <c r="A184" s="8"/>
      <c r="B184" s="10" t="str">
        <f aca="false">IF(A184="","",IFERROR(VLOOKUP(A184,DonHang!$A$2:$C$500,3,FALSE()),"mã đơn chưa có"))</f>
        <v/>
      </c>
      <c r="C184" s="8"/>
      <c r="D184" s="8"/>
      <c r="E184" s="8"/>
      <c r="F184" s="13"/>
      <c r="G184" s="14"/>
      <c r="H184" s="8"/>
      <c r="I184" s="11" t="str">
        <f aca="false">IF(OR(F184="",G184=""),"",ROUND(F184*G184,0))</f>
        <v/>
      </c>
    </row>
    <row r="185" customFormat="false" ht="15" hidden="false" customHeight="false" outlineLevel="0" collapsed="false">
      <c r="A185" s="8"/>
      <c r="B185" s="10" t="str">
        <f aca="false">IF(A185="","",IFERROR(VLOOKUP(A185,DonHang!$A$2:$C$500,3,FALSE()),"mã đơn chưa có"))</f>
        <v/>
      </c>
      <c r="C185" s="8"/>
      <c r="D185" s="8"/>
      <c r="E185" s="8"/>
      <c r="F185" s="13"/>
      <c r="G185" s="14"/>
      <c r="H185" s="8"/>
      <c r="I185" s="11" t="str">
        <f aca="false">IF(OR(F185="",G185=""),"",ROUND(F185*G185,0))</f>
        <v/>
      </c>
    </row>
    <row r="186" customFormat="false" ht="15" hidden="false" customHeight="false" outlineLevel="0" collapsed="false">
      <c r="A186" s="8"/>
      <c r="B186" s="10" t="str">
        <f aca="false">IF(A186="","",IFERROR(VLOOKUP(A186,DonHang!$A$2:$C$500,3,FALSE()),"mã đơn chưa có"))</f>
        <v/>
      </c>
      <c r="C186" s="8"/>
      <c r="D186" s="8"/>
      <c r="E186" s="8"/>
      <c r="F186" s="13"/>
      <c r="G186" s="14"/>
      <c r="H186" s="8"/>
      <c r="I186" s="11" t="str">
        <f aca="false">IF(OR(F186="",G186=""),"",ROUND(F186*G186,0))</f>
        <v/>
      </c>
    </row>
    <row r="187" customFormat="false" ht="15" hidden="false" customHeight="false" outlineLevel="0" collapsed="false">
      <c r="A187" s="8"/>
      <c r="B187" s="10" t="str">
        <f aca="false">IF(A187="","",IFERROR(VLOOKUP(A187,DonHang!$A$2:$C$500,3,FALSE()),"mã đơn chưa có"))</f>
        <v/>
      </c>
      <c r="C187" s="8"/>
      <c r="D187" s="8"/>
      <c r="E187" s="8"/>
      <c r="F187" s="13"/>
      <c r="G187" s="14"/>
      <c r="H187" s="8"/>
      <c r="I187" s="11" t="str">
        <f aca="false">IF(OR(F187="",G187=""),"",ROUND(F187*G187,0))</f>
        <v/>
      </c>
    </row>
    <row r="188" customFormat="false" ht="15" hidden="false" customHeight="false" outlineLevel="0" collapsed="false">
      <c r="A188" s="8"/>
      <c r="B188" s="10" t="str">
        <f aca="false">IF(A188="","",IFERROR(VLOOKUP(A188,DonHang!$A$2:$C$500,3,FALSE()),"mã đơn chưa có"))</f>
        <v/>
      </c>
      <c r="C188" s="8"/>
      <c r="D188" s="8"/>
      <c r="E188" s="8"/>
      <c r="F188" s="13"/>
      <c r="G188" s="14"/>
      <c r="H188" s="8"/>
      <c r="I188" s="11" t="str">
        <f aca="false">IF(OR(F188="",G188=""),"",ROUND(F188*G188,0))</f>
        <v/>
      </c>
    </row>
    <row r="189" customFormat="false" ht="15" hidden="false" customHeight="false" outlineLevel="0" collapsed="false">
      <c r="A189" s="8"/>
      <c r="B189" s="10" t="str">
        <f aca="false">IF(A189="","",IFERROR(VLOOKUP(A189,DonHang!$A$2:$C$500,3,FALSE()),"mã đơn chưa có"))</f>
        <v/>
      </c>
      <c r="C189" s="8"/>
      <c r="D189" s="8"/>
      <c r="E189" s="8"/>
      <c r="F189" s="13"/>
      <c r="G189" s="14"/>
      <c r="H189" s="8"/>
      <c r="I189" s="11" t="str">
        <f aca="false">IF(OR(F189="",G189=""),"",ROUND(F189*G189,0))</f>
        <v/>
      </c>
    </row>
    <row r="190" customFormat="false" ht="15" hidden="false" customHeight="false" outlineLevel="0" collapsed="false">
      <c r="A190" s="8"/>
      <c r="B190" s="10" t="str">
        <f aca="false">IF(A190="","",IFERROR(VLOOKUP(A190,DonHang!$A$2:$C$500,3,FALSE()),"mã đơn chưa có"))</f>
        <v/>
      </c>
      <c r="C190" s="8"/>
      <c r="D190" s="8"/>
      <c r="E190" s="8"/>
      <c r="F190" s="13"/>
      <c r="G190" s="14"/>
      <c r="H190" s="8"/>
      <c r="I190" s="11" t="str">
        <f aca="false">IF(OR(F190="",G190=""),"",ROUND(F190*G190,0))</f>
        <v/>
      </c>
    </row>
    <row r="191" customFormat="false" ht="15" hidden="false" customHeight="false" outlineLevel="0" collapsed="false">
      <c r="A191" s="8"/>
      <c r="B191" s="10" t="str">
        <f aca="false">IF(A191="","",IFERROR(VLOOKUP(A191,DonHang!$A$2:$C$500,3,FALSE()),"mã đơn chưa có"))</f>
        <v/>
      </c>
      <c r="C191" s="8"/>
      <c r="D191" s="8"/>
      <c r="E191" s="8"/>
      <c r="F191" s="13"/>
      <c r="G191" s="14"/>
      <c r="H191" s="8"/>
      <c r="I191" s="11" t="str">
        <f aca="false">IF(OR(F191="",G191=""),"",ROUND(F191*G191,0))</f>
        <v/>
      </c>
    </row>
    <row r="192" customFormat="false" ht="15" hidden="false" customHeight="false" outlineLevel="0" collapsed="false">
      <c r="A192" s="8"/>
      <c r="B192" s="10" t="str">
        <f aca="false">IF(A192="","",IFERROR(VLOOKUP(A192,DonHang!$A$2:$C$500,3,FALSE()),"mã đơn chưa có"))</f>
        <v/>
      </c>
      <c r="C192" s="8"/>
      <c r="D192" s="8"/>
      <c r="E192" s="8"/>
      <c r="F192" s="13"/>
      <c r="G192" s="14"/>
      <c r="H192" s="8"/>
      <c r="I192" s="11" t="str">
        <f aca="false">IF(OR(F192="",G192=""),"",ROUND(F192*G192,0))</f>
        <v/>
      </c>
    </row>
    <row r="193" customFormat="false" ht="15" hidden="false" customHeight="false" outlineLevel="0" collapsed="false">
      <c r="A193" s="8"/>
      <c r="B193" s="10" t="str">
        <f aca="false">IF(A193="","",IFERROR(VLOOKUP(A193,DonHang!$A$2:$C$500,3,FALSE()),"mã đơn chưa có"))</f>
        <v/>
      </c>
      <c r="C193" s="8"/>
      <c r="D193" s="8"/>
      <c r="E193" s="8"/>
      <c r="F193" s="13"/>
      <c r="G193" s="14"/>
      <c r="H193" s="8"/>
      <c r="I193" s="11" t="str">
        <f aca="false">IF(OR(F193="",G193=""),"",ROUND(F193*G193,0))</f>
        <v/>
      </c>
    </row>
    <row r="194" customFormat="false" ht="15" hidden="false" customHeight="false" outlineLevel="0" collapsed="false">
      <c r="A194" s="8"/>
      <c r="B194" s="10" t="str">
        <f aca="false">IF(A194="","",IFERROR(VLOOKUP(A194,DonHang!$A$2:$C$500,3,FALSE()),"mã đơn chưa có"))</f>
        <v/>
      </c>
      <c r="C194" s="8"/>
      <c r="D194" s="8"/>
      <c r="E194" s="8"/>
      <c r="F194" s="13"/>
      <c r="G194" s="14"/>
      <c r="H194" s="8"/>
      <c r="I194" s="11" t="str">
        <f aca="false">IF(OR(F194="",G194=""),"",ROUND(F194*G194,0))</f>
        <v/>
      </c>
    </row>
    <row r="195" customFormat="false" ht="15" hidden="false" customHeight="false" outlineLevel="0" collapsed="false">
      <c r="A195" s="8"/>
      <c r="B195" s="10" t="str">
        <f aca="false">IF(A195="","",IFERROR(VLOOKUP(A195,DonHang!$A$2:$C$500,3,FALSE()),"mã đơn chưa có"))</f>
        <v/>
      </c>
      <c r="C195" s="8"/>
      <c r="D195" s="8"/>
      <c r="E195" s="8"/>
      <c r="F195" s="13"/>
      <c r="G195" s="14"/>
      <c r="H195" s="8"/>
      <c r="I195" s="11" t="str">
        <f aca="false">IF(OR(F195="",G195=""),"",ROUND(F195*G195,0))</f>
        <v/>
      </c>
    </row>
    <row r="196" customFormat="false" ht="15" hidden="false" customHeight="false" outlineLevel="0" collapsed="false">
      <c r="A196" s="8"/>
      <c r="B196" s="10" t="str">
        <f aca="false">IF(A196="","",IFERROR(VLOOKUP(A196,DonHang!$A$2:$C$500,3,FALSE()),"mã đơn chưa có"))</f>
        <v/>
      </c>
      <c r="C196" s="8"/>
      <c r="D196" s="8"/>
      <c r="E196" s="8"/>
      <c r="F196" s="13"/>
      <c r="G196" s="14"/>
      <c r="H196" s="8"/>
      <c r="I196" s="11" t="str">
        <f aca="false">IF(OR(F196="",G196=""),"",ROUND(F196*G196,0))</f>
        <v/>
      </c>
    </row>
    <row r="197" customFormat="false" ht="15" hidden="false" customHeight="false" outlineLevel="0" collapsed="false">
      <c r="A197" s="8"/>
      <c r="B197" s="10" t="str">
        <f aca="false">IF(A197="","",IFERROR(VLOOKUP(A197,DonHang!$A$2:$C$500,3,FALSE()),"mã đơn chưa có"))</f>
        <v/>
      </c>
      <c r="C197" s="8"/>
      <c r="D197" s="8"/>
      <c r="E197" s="8"/>
      <c r="F197" s="13"/>
      <c r="G197" s="14"/>
      <c r="H197" s="8"/>
      <c r="I197" s="11" t="str">
        <f aca="false">IF(OR(F197="",G197=""),"",ROUND(F197*G197,0))</f>
        <v/>
      </c>
    </row>
    <row r="198" customFormat="false" ht="15" hidden="false" customHeight="false" outlineLevel="0" collapsed="false">
      <c r="A198" s="8"/>
      <c r="B198" s="10" t="str">
        <f aca="false">IF(A198="","",IFERROR(VLOOKUP(A198,DonHang!$A$2:$C$500,3,FALSE()),"mã đơn chưa có"))</f>
        <v/>
      </c>
      <c r="C198" s="8"/>
      <c r="D198" s="8"/>
      <c r="E198" s="8"/>
      <c r="F198" s="13"/>
      <c r="G198" s="14"/>
      <c r="H198" s="8"/>
      <c r="I198" s="11" t="str">
        <f aca="false">IF(OR(F198="",G198=""),"",ROUND(F198*G198,0))</f>
        <v/>
      </c>
    </row>
    <row r="199" customFormat="false" ht="15" hidden="false" customHeight="false" outlineLevel="0" collapsed="false">
      <c r="A199" s="8"/>
      <c r="B199" s="10" t="str">
        <f aca="false">IF(A199="","",IFERROR(VLOOKUP(A199,DonHang!$A$2:$C$500,3,FALSE()),"mã đơn chưa có"))</f>
        <v/>
      </c>
      <c r="C199" s="8"/>
      <c r="D199" s="8"/>
      <c r="E199" s="8"/>
      <c r="F199" s="13"/>
      <c r="G199" s="14"/>
      <c r="H199" s="8"/>
      <c r="I199" s="11" t="str">
        <f aca="false">IF(OR(F199="",G199=""),"",ROUND(F199*G199,0))</f>
        <v/>
      </c>
    </row>
    <row r="200" customFormat="false" ht="15" hidden="false" customHeight="false" outlineLevel="0" collapsed="false">
      <c r="A200" s="8"/>
      <c r="B200" s="10" t="str">
        <f aca="false">IF(A200="","",IFERROR(VLOOKUP(A200,DonHang!$A$2:$C$500,3,FALSE()),"mã đơn chưa có"))</f>
        <v/>
      </c>
      <c r="C200" s="8"/>
      <c r="D200" s="8"/>
      <c r="E200" s="8"/>
      <c r="F200" s="13"/>
      <c r="G200" s="14"/>
      <c r="H200" s="8"/>
      <c r="I200" s="11" t="str">
        <f aca="false">IF(OR(F200="",G200=""),"",ROUND(F200*G200,0))</f>
        <v/>
      </c>
    </row>
    <row r="201" customFormat="false" ht="15" hidden="false" customHeight="false" outlineLevel="0" collapsed="false">
      <c r="A201" s="8"/>
      <c r="B201" s="10" t="str">
        <f aca="false">IF(A201="","",IFERROR(VLOOKUP(A201,DonHang!$A$2:$C$500,3,FALSE()),"mã đơn chưa có"))</f>
        <v/>
      </c>
      <c r="C201" s="8"/>
      <c r="D201" s="8"/>
      <c r="E201" s="8"/>
      <c r="F201" s="13"/>
      <c r="G201" s="14"/>
      <c r="H201" s="8"/>
      <c r="I201" s="11" t="str">
        <f aca="false">IF(OR(F201="",G201=""),"",ROUND(F201*G201,0))</f>
        <v/>
      </c>
    </row>
    <row r="202" customFormat="false" ht="15" hidden="false" customHeight="false" outlineLevel="0" collapsed="false">
      <c r="A202" s="8"/>
      <c r="B202" s="10" t="str">
        <f aca="false">IF(A202="","",IFERROR(VLOOKUP(A202,DonHang!$A$2:$C$500,3,FALSE()),"mã đơn chưa có"))</f>
        <v/>
      </c>
      <c r="C202" s="8"/>
      <c r="D202" s="8"/>
      <c r="E202" s="8"/>
      <c r="F202" s="13"/>
      <c r="G202" s="14"/>
      <c r="H202" s="8"/>
      <c r="I202" s="11" t="str">
        <f aca="false">IF(OR(F202="",G202=""),"",ROUND(F202*G202,0))</f>
        <v/>
      </c>
    </row>
    <row r="203" customFormat="false" ht="15" hidden="false" customHeight="false" outlineLevel="0" collapsed="false">
      <c r="A203" s="8"/>
      <c r="B203" s="10" t="str">
        <f aca="false">IF(A203="","",IFERROR(VLOOKUP(A203,DonHang!$A$2:$C$500,3,FALSE()),"mã đơn chưa có"))</f>
        <v/>
      </c>
      <c r="C203" s="8"/>
      <c r="D203" s="8"/>
      <c r="E203" s="8"/>
      <c r="F203" s="13"/>
      <c r="G203" s="14"/>
      <c r="H203" s="8"/>
      <c r="I203" s="11" t="str">
        <f aca="false">IF(OR(F203="",G203=""),"",ROUND(F203*G203,0))</f>
        <v/>
      </c>
    </row>
    <row r="204" customFormat="false" ht="15" hidden="false" customHeight="false" outlineLevel="0" collapsed="false">
      <c r="A204" s="8"/>
      <c r="B204" s="10" t="str">
        <f aca="false">IF(A204="","",IFERROR(VLOOKUP(A204,DonHang!$A$2:$C$500,3,FALSE()),"mã đơn chưa có"))</f>
        <v/>
      </c>
      <c r="C204" s="8"/>
      <c r="D204" s="8"/>
      <c r="E204" s="8"/>
      <c r="F204" s="13"/>
      <c r="G204" s="14"/>
      <c r="H204" s="8"/>
      <c r="I204" s="11" t="str">
        <f aca="false">IF(OR(F204="",G204=""),"",ROUND(F204*G204,0))</f>
        <v/>
      </c>
    </row>
    <row r="205" customFormat="false" ht="15" hidden="false" customHeight="false" outlineLevel="0" collapsed="false">
      <c r="A205" s="8"/>
      <c r="B205" s="10" t="str">
        <f aca="false">IF(A205="","",IFERROR(VLOOKUP(A205,DonHang!$A$2:$C$500,3,FALSE()),"mã đơn chưa có"))</f>
        <v/>
      </c>
      <c r="C205" s="8"/>
      <c r="D205" s="8"/>
      <c r="E205" s="8"/>
      <c r="F205" s="13"/>
      <c r="G205" s="14"/>
      <c r="H205" s="8"/>
      <c r="I205" s="11" t="str">
        <f aca="false">IF(OR(F205="",G205=""),"",ROUND(F205*G205,0))</f>
        <v/>
      </c>
    </row>
    <row r="206" customFormat="false" ht="15" hidden="false" customHeight="false" outlineLevel="0" collapsed="false">
      <c r="A206" s="8"/>
      <c r="B206" s="10" t="str">
        <f aca="false">IF(A206="","",IFERROR(VLOOKUP(A206,DonHang!$A$2:$C$500,3,FALSE()),"mã đơn chưa có"))</f>
        <v/>
      </c>
      <c r="C206" s="8"/>
      <c r="D206" s="8"/>
      <c r="E206" s="8"/>
      <c r="F206" s="13"/>
      <c r="G206" s="14"/>
      <c r="H206" s="8"/>
      <c r="I206" s="11" t="str">
        <f aca="false">IF(OR(F206="",G206=""),"",ROUND(F206*G206,0))</f>
        <v/>
      </c>
    </row>
    <row r="207" customFormat="false" ht="15" hidden="false" customHeight="false" outlineLevel="0" collapsed="false">
      <c r="A207" s="8"/>
      <c r="B207" s="10" t="str">
        <f aca="false">IF(A207="","",IFERROR(VLOOKUP(A207,DonHang!$A$2:$C$500,3,FALSE()),"mã đơn chưa có"))</f>
        <v/>
      </c>
      <c r="C207" s="8"/>
      <c r="D207" s="8"/>
      <c r="E207" s="8"/>
      <c r="F207" s="13"/>
      <c r="G207" s="14"/>
      <c r="H207" s="8"/>
      <c r="I207" s="11" t="str">
        <f aca="false">IF(OR(F207="",G207=""),"",ROUND(F207*G207,0))</f>
        <v/>
      </c>
    </row>
    <row r="208" customFormat="false" ht="15" hidden="false" customHeight="false" outlineLevel="0" collapsed="false">
      <c r="A208" s="8"/>
      <c r="B208" s="10" t="str">
        <f aca="false">IF(A208="","",IFERROR(VLOOKUP(A208,DonHang!$A$2:$C$500,3,FALSE()),"mã đơn chưa có"))</f>
        <v/>
      </c>
      <c r="C208" s="8"/>
      <c r="D208" s="8"/>
      <c r="E208" s="8"/>
      <c r="F208" s="13"/>
      <c r="G208" s="14"/>
      <c r="H208" s="8"/>
      <c r="I208" s="11" t="str">
        <f aca="false">IF(OR(F208="",G208=""),"",ROUND(F208*G208,0))</f>
        <v/>
      </c>
    </row>
    <row r="209" customFormat="false" ht="15" hidden="false" customHeight="false" outlineLevel="0" collapsed="false">
      <c r="A209" s="8"/>
      <c r="B209" s="10" t="str">
        <f aca="false">IF(A209="","",IFERROR(VLOOKUP(A209,DonHang!$A$2:$C$500,3,FALSE()),"mã đơn chưa có"))</f>
        <v/>
      </c>
      <c r="C209" s="8"/>
      <c r="D209" s="8"/>
      <c r="E209" s="8"/>
      <c r="F209" s="13"/>
      <c r="G209" s="14"/>
      <c r="H209" s="8"/>
      <c r="I209" s="11" t="str">
        <f aca="false">IF(OR(F209="",G209=""),"",ROUND(F209*G209,0))</f>
        <v/>
      </c>
    </row>
    <row r="210" customFormat="false" ht="15" hidden="false" customHeight="false" outlineLevel="0" collapsed="false">
      <c r="A210" s="8"/>
      <c r="B210" s="10" t="str">
        <f aca="false">IF(A210="","",IFERROR(VLOOKUP(A210,DonHang!$A$2:$C$500,3,FALSE()),"mã đơn chưa có"))</f>
        <v/>
      </c>
      <c r="C210" s="8"/>
      <c r="D210" s="8"/>
      <c r="E210" s="8"/>
      <c r="F210" s="13"/>
      <c r="G210" s="14"/>
      <c r="H210" s="8"/>
      <c r="I210" s="11" t="str">
        <f aca="false">IF(OR(F210="",G210=""),"",ROUND(F210*G210,0))</f>
        <v/>
      </c>
    </row>
    <row r="211" customFormat="false" ht="15" hidden="false" customHeight="false" outlineLevel="0" collapsed="false">
      <c r="A211" s="8"/>
      <c r="B211" s="10" t="str">
        <f aca="false">IF(A211="","",IFERROR(VLOOKUP(A211,DonHang!$A$2:$C$500,3,FALSE()),"mã đơn chưa có"))</f>
        <v/>
      </c>
      <c r="C211" s="8"/>
      <c r="D211" s="8"/>
      <c r="E211" s="8"/>
      <c r="F211" s="13"/>
      <c r="G211" s="14"/>
      <c r="H211" s="8"/>
      <c r="I211" s="11" t="str">
        <f aca="false">IF(OR(F211="",G211=""),"",ROUND(F211*G211,0))</f>
        <v/>
      </c>
    </row>
    <row r="212" customFormat="false" ht="15" hidden="false" customHeight="false" outlineLevel="0" collapsed="false">
      <c r="A212" s="8"/>
      <c r="B212" s="10" t="str">
        <f aca="false">IF(A212="","",IFERROR(VLOOKUP(A212,DonHang!$A$2:$C$500,3,FALSE()),"mã đơn chưa có"))</f>
        <v/>
      </c>
      <c r="C212" s="8"/>
      <c r="D212" s="8"/>
      <c r="E212" s="8"/>
      <c r="F212" s="13"/>
      <c r="G212" s="14"/>
      <c r="H212" s="8"/>
      <c r="I212" s="11" t="str">
        <f aca="false">IF(OR(F212="",G212=""),"",ROUND(F212*G212,0))</f>
        <v/>
      </c>
    </row>
    <row r="213" customFormat="false" ht="15" hidden="false" customHeight="false" outlineLevel="0" collapsed="false">
      <c r="A213" s="8"/>
      <c r="B213" s="10" t="str">
        <f aca="false">IF(A213="","",IFERROR(VLOOKUP(A213,DonHang!$A$2:$C$500,3,FALSE()),"mã đơn chưa có"))</f>
        <v/>
      </c>
      <c r="C213" s="8"/>
      <c r="D213" s="8"/>
      <c r="E213" s="8"/>
      <c r="F213" s="13"/>
      <c r="G213" s="14"/>
      <c r="H213" s="8"/>
      <c r="I213" s="11" t="str">
        <f aca="false">IF(OR(F213="",G213=""),"",ROUND(F213*G213,0))</f>
        <v/>
      </c>
    </row>
    <row r="214" customFormat="false" ht="15" hidden="false" customHeight="false" outlineLevel="0" collapsed="false">
      <c r="A214" s="8"/>
      <c r="B214" s="10" t="str">
        <f aca="false">IF(A214="","",IFERROR(VLOOKUP(A214,DonHang!$A$2:$C$500,3,FALSE()),"mã đơn chưa có"))</f>
        <v/>
      </c>
      <c r="C214" s="8"/>
      <c r="D214" s="8"/>
      <c r="E214" s="8"/>
      <c r="F214" s="13"/>
      <c r="G214" s="14"/>
      <c r="H214" s="8"/>
      <c r="I214" s="11" t="str">
        <f aca="false">IF(OR(F214="",G214=""),"",ROUND(F214*G214,0))</f>
        <v/>
      </c>
    </row>
    <row r="215" customFormat="false" ht="15" hidden="false" customHeight="false" outlineLevel="0" collapsed="false">
      <c r="A215" s="8"/>
      <c r="B215" s="10" t="str">
        <f aca="false">IF(A215="","",IFERROR(VLOOKUP(A215,DonHang!$A$2:$C$500,3,FALSE()),"mã đơn chưa có"))</f>
        <v/>
      </c>
      <c r="C215" s="8"/>
      <c r="D215" s="8"/>
      <c r="E215" s="8"/>
      <c r="F215" s="13"/>
      <c r="G215" s="14"/>
      <c r="H215" s="8"/>
      <c r="I215" s="11" t="str">
        <f aca="false">IF(OR(F215="",G215=""),"",ROUND(F215*G215,0))</f>
        <v/>
      </c>
    </row>
    <row r="216" customFormat="false" ht="15" hidden="false" customHeight="false" outlineLevel="0" collapsed="false">
      <c r="A216" s="8"/>
      <c r="B216" s="10" t="str">
        <f aca="false">IF(A216="","",IFERROR(VLOOKUP(A216,DonHang!$A$2:$C$500,3,FALSE()),"mã đơn chưa có"))</f>
        <v/>
      </c>
      <c r="C216" s="8"/>
      <c r="D216" s="8"/>
      <c r="E216" s="8"/>
      <c r="F216" s="13"/>
      <c r="G216" s="14"/>
      <c r="H216" s="8"/>
      <c r="I216" s="11" t="str">
        <f aca="false">IF(OR(F216="",G216=""),"",ROUND(F216*G216,0))</f>
        <v/>
      </c>
    </row>
    <row r="217" customFormat="false" ht="15" hidden="false" customHeight="false" outlineLevel="0" collapsed="false">
      <c r="A217" s="8"/>
      <c r="B217" s="10" t="str">
        <f aca="false">IF(A217="","",IFERROR(VLOOKUP(A217,DonHang!$A$2:$C$500,3,FALSE()),"mã đơn chưa có"))</f>
        <v/>
      </c>
      <c r="C217" s="8"/>
      <c r="D217" s="8"/>
      <c r="E217" s="8"/>
      <c r="F217" s="13"/>
      <c r="G217" s="14"/>
      <c r="H217" s="8"/>
      <c r="I217" s="11" t="str">
        <f aca="false">IF(OR(F217="",G217=""),"",ROUND(F217*G217,0))</f>
        <v/>
      </c>
    </row>
    <row r="218" customFormat="false" ht="15" hidden="false" customHeight="false" outlineLevel="0" collapsed="false">
      <c r="A218" s="8"/>
      <c r="B218" s="10" t="str">
        <f aca="false">IF(A218="","",IFERROR(VLOOKUP(A218,DonHang!$A$2:$C$500,3,FALSE()),"mã đơn chưa có"))</f>
        <v/>
      </c>
      <c r="C218" s="8"/>
      <c r="D218" s="8"/>
      <c r="E218" s="8"/>
      <c r="F218" s="13"/>
      <c r="G218" s="14"/>
      <c r="H218" s="8"/>
      <c r="I218" s="11" t="str">
        <f aca="false">IF(OR(F218="",G218=""),"",ROUND(F218*G218,0))</f>
        <v/>
      </c>
    </row>
    <row r="219" customFormat="false" ht="15" hidden="false" customHeight="false" outlineLevel="0" collapsed="false">
      <c r="A219" s="8"/>
      <c r="B219" s="10" t="str">
        <f aca="false">IF(A219="","",IFERROR(VLOOKUP(A219,DonHang!$A$2:$C$500,3,FALSE()),"mã đơn chưa có"))</f>
        <v/>
      </c>
      <c r="C219" s="8"/>
      <c r="D219" s="8"/>
      <c r="E219" s="8"/>
      <c r="F219" s="13"/>
      <c r="G219" s="14"/>
      <c r="H219" s="8"/>
      <c r="I219" s="11" t="str">
        <f aca="false">IF(OR(F219="",G219=""),"",ROUND(F219*G219,0))</f>
        <v/>
      </c>
    </row>
    <row r="220" customFormat="false" ht="15" hidden="false" customHeight="false" outlineLevel="0" collapsed="false">
      <c r="A220" s="8"/>
      <c r="B220" s="10" t="str">
        <f aca="false">IF(A220="","",IFERROR(VLOOKUP(A220,DonHang!$A$2:$C$500,3,FALSE()),"mã đơn chưa có"))</f>
        <v/>
      </c>
      <c r="C220" s="8"/>
      <c r="D220" s="8"/>
      <c r="E220" s="8"/>
      <c r="F220" s="13"/>
      <c r="G220" s="14"/>
      <c r="H220" s="8"/>
      <c r="I220" s="11" t="str">
        <f aca="false">IF(OR(F220="",G220=""),"",ROUND(F220*G220,0))</f>
        <v/>
      </c>
    </row>
    <row r="221" customFormat="false" ht="15" hidden="false" customHeight="false" outlineLevel="0" collapsed="false">
      <c r="A221" s="8"/>
      <c r="B221" s="10" t="str">
        <f aca="false">IF(A221="","",IFERROR(VLOOKUP(A221,DonHang!$A$2:$C$500,3,FALSE()),"mã đơn chưa có"))</f>
        <v/>
      </c>
      <c r="C221" s="8"/>
      <c r="D221" s="8"/>
      <c r="E221" s="8"/>
      <c r="F221" s="13"/>
      <c r="G221" s="14"/>
      <c r="H221" s="8"/>
      <c r="I221" s="11" t="str">
        <f aca="false">IF(OR(F221="",G221=""),"",ROUND(F221*G221,0))</f>
        <v/>
      </c>
    </row>
    <row r="222" customFormat="false" ht="15" hidden="false" customHeight="false" outlineLevel="0" collapsed="false">
      <c r="A222" s="8"/>
      <c r="B222" s="10" t="str">
        <f aca="false">IF(A222="","",IFERROR(VLOOKUP(A222,DonHang!$A$2:$C$500,3,FALSE()),"mã đơn chưa có"))</f>
        <v/>
      </c>
      <c r="C222" s="8"/>
      <c r="D222" s="8"/>
      <c r="E222" s="8"/>
      <c r="F222" s="13"/>
      <c r="G222" s="14"/>
      <c r="H222" s="8"/>
      <c r="I222" s="11" t="str">
        <f aca="false">IF(OR(F222="",G222=""),"",ROUND(F222*G222,0))</f>
        <v/>
      </c>
    </row>
    <row r="223" customFormat="false" ht="15" hidden="false" customHeight="false" outlineLevel="0" collapsed="false">
      <c r="A223" s="8"/>
      <c r="B223" s="10" t="str">
        <f aca="false">IF(A223="","",IFERROR(VLOOKUP(A223,DonHang!$A$2:$C$500,3,FALSE()),"mã đơn chưa có"))</f>
        <v/>
      </c>
      <c r="C223" s="8"/>
      <c r="D223" s="8"/>
      <c r="E223" s="8"/>
      <c r="F223" s="13"/>
      <c r="G223" s="14"/>
      <c r="H223" s="8"/>
      <c r="I223" s="11" t="str">
        <f aca="false">IF(OR(F223="",G223=""),"",ROUND(F223*G223,0))</f>
        <v/>
      </c>
    </row>
    <row r="224" customFormat="false" ht="15" hidden="false" customHeight="false" outlineLevel="0" collapsed="false">
      <c r="A224" s="8"/>
      <c r="B224" s="10" t="str">
        <f aca="false">IF(A224="","",IFERROR(VLOOKUP(A224,DonHang!$A$2:$C$500,3,FALSE()),"mã đơn chưa có"))</f>
        <v/>
      </c>
      <c r="C224" s="8"/>
      <c r="D224" s="8"/>
      <c r="E224" s="8"/>
      <c r="F224" s="13"/>
      <c r="G224" s="14"/>
      <c r="H224" s="8"/>
      <c r="I224" s="11" t="str">
        <f aca="false">IF(OR(F224="",G224=""),"",ROUND(F224*G224,0))</f>
        <v/>
      </c>
    </row>
    <row r="225" customFormat="false" ht="15" hidden="false" customHeight="false" outlineLevel="0" collapsed="false">
      <c r="A225" s="8"/>
      <c r="B225" s="10" t="str">
        <f aca="false">IF(A225="","",IFERROR(VLOOKUP(A225,DonHang!$A$2:$C$500,3,FALSE()),"mã đơn chưa có"))</f>
        <v/>
      </c>
      <c r="C225" s="8"/>
      <c r="D225" s="8"/>
      <c r="E225" s="8"/>
      <c r="F225" s="13"/>
      <c r="G225" s="14"/>
      <c r="H225" s="8"/>
      <c r="I225" s="11" t="str">
        <f aca="false">IF(OR(F225="",G225=""),"",ROUND(F225*G225,0))</f>
        <v/>
      </c>
    </row>
    <row r="226" customFormat="false" ht="15" hidden="false" customHeight="false" outlineLevel="0" collapsed="false">
      <c r="A226" s="8"/>
      <c r="B226" s="10" t="str">
        <f aca="false">IF(A226="","",IFERROR(VLOOKUP(A226,DonHang!$A$2:$C$500,3,FALSE()),"mã đơn chưa có"))</f>
        <v/>
      </c>
      <c r="C226" s="8"/>
      <c r="D226" s="8"/>
      <c r="E226" s="8"/>
      <c r="F226" s="13"/>
      <c r="G226" s="14"/>
      <c r="H226" s="8"/>
      <c r="I226" s="11" t="str">
        <f aca="false">IF(OR(F226="",G226=""),"",ROUND(F226*G226,0))</f>
        <v/>
      </c>
    </row>
    <row r="227" customFormat="false" ht="15" hidden="false" customHeight="false" outlineLevel="0" collapsed="false">
      <c r="A227" s="8"/>
      <c r="B227" s="10" t="str">
        <f aca="false">IF(A227="","",IFERROR(VLOOKUP(A227,DonHang!$A$2:$C$500,3,FALSE()),"mã đơn chưa có"))</f>
        <v/>
      </c>
      <c r="C227" s="8"/>
      <c r="D227" s="8"/>
      <c r="E227" s="8"/>
      <c r="F227" s="13"/>
      <c r="G227" s="14"/>
      <c r="H227" s="8"/>
      <c r="I227" s="11" t="str">
        <f aca="false">IF(OR(F227="",G227=""),"",ROUND(F227*G227,0))</f>
        <v/>
      </c>
    </row>
    <row r="228" customFormat="false" ht="15" hidden="false" customHeight="false" outlineLevel="0" collapsed="false">
      <c r="A228" s="8"/>
      <c r="B228" s="10" t="str">
        <f aca="false">IF(A228="","",IFERROR(VLOOKUP(A228,DonHang!$A$2:$C$500,3,FALSE()),"mã đơn chưa có"))</f>
        <v/>
      </c>
      <c r="C228" s="8"/>
      <c r="D228" s="8"/>
      <c r="E228" s="8"/>
      <c r="F228" s="13"/>
      <c r="G228" s="14"/>
      <c r="H228" s="8"/>
      <c r="I228" s="11" t="str">
        <f aca="false">IF(OR(F228="",G228=""),"",ROUND(F228*G228,0))</f>
        <v/>
      </c>
    </row>
    <row r="229" customFormat="false" ht="15" hidden="false" customHeight="false" outlineLevel="0" collapsed="false">
      <c r="A229" s="8"/>
      <c r="B229" s="10" t="str">
        <f aca="false">IF(A229="","",IFERROR(VLOOKUP(A229,DonHang!$A$2:$C$500,3,FALSE()),"mã đơn chưa có"))</f>
        <v/>
      </c>
      <c r="C229" s="8"/>
      <c r="D229" s="8"/>
      <c r="E229" s="8"/>
      <c r="F229" s="13"/>
      <c r="G229" s="14"/>
      <c r="H229" s="8"/>
      <c r="I229" s="11" t="str">
        <f aca="false">IF(OR(F229="",G229=""),"",ROUND(F229*G229,0))</f>
        <v/>
      </c>
    </row>
    <row r="230" customFormat="false" ht="15" hidden="false" customHeight="false" outlineLevel="0" collapsed="false">
      <c r="A230" s="8"/>
      <c r="B230" s="10" t="str">
        <f aca="false">IF(A230="","",IFERROR(VLOOKUP(A230,DonHang!$A$2:$C$500,3,FALSE()),"mã đơn chưa có"))</f>
        <v/>
      </c>
      <c r="C230" s="8"/>
      <c r="D230" s="8"/>
      <c r="E230" s="8"/>
      <c r="F230" s="13"/>
      <c r="G230" s="14"/>
      <c r="H230" s="8"/>
      <c r="I230" s="11" t="str">
        <f aca="false">IF(OR(F230="",G230=""),"",ROUND(F230*G230,0))</f>
        <v/>
      </c>
    </row>
    <row r="231" customFormat="false" ht="15" hidden="false" customHeight="false" outlineLevel="0" collapsed="false">
      <c r="A231" s="8"/>
      <c r="B231" s="10" t="str">
        <f aca="false">IF(A231="","",IFERROR(VLOOKUP(A231,DonHang!$A$2:$C$500,3,FALSE()),"mã đơn chưa có"))</f>
        <v/>
      </c>
      <c r="C231" s="8"/>
      <c r="D231" s="8"/>
      <c r="E231" s="8"/>
      <c r="F231" s="13"/>
      <c r="G231" s="14"/>
      <c r="H231" s="8"/>
      <c r="I231" s="11" t="str">
        <f aca="false">IF(OR(F231="",G231=""),"",ROUND(F231*G231,0))</f>
        <v/>
      </c>
    </row>
    <row r="232" customFormat="false" ht="15" hidden="false" customHeight="false" outlineLevel="0" collapsed="false">
      <c r="A232" s="8"/>
      <c r="B232" s="10" t="str">
        <f aca="false">IF(A232="","",IFERROR(VLOOKUP(A232,DonHang!$A$2:$C$500,3,FALSE()),"mã đơn chưa có"))</f>
        <v/>
      </c>
      <c r="C232" s="8"/>
      <c r="D232" s="8"/>
      <c r="E232" s="8"/>
      <c r="F232" s="13"/>
      <c r="G232" s="14"/>
      <c r="H232" s="8"/>
      <c r="I232" s="11" t="str">
        <f aca="false">IF(OR(F232="",G232=""),"",ROUND(F232*G232,0))</f>
        <v/>
      </c>
    </row>
    <row r="233" customFormat="false" ht="15" hidden="false" customHeight="false" outlineLevel="0" collapsed="false">
      <c r="A233" s="8"/>
      <c r="B233" s="10" t="str">
        <f aca="false">IF(A233="","",IFERROR(VLOOKUP(A233,DonHang!$A$2:$C$500,3,FALSE()),"mã đơn chưa có"))</f>
        <v/>
      </c>
      <c r="C233" s="8"/>
      <c r="D233" s="8"/>
      <c r="E233" s="8"/>
      <c r="F233" s="13"/>
      <c r="G233" s="14"/>
      <c r="H233" s="8"/>
      <c r="I233" s="11" t="str">
        <f aca="false">IF(OR(F233="",G233=""),"",ROUND(F233*G233,0))</f>
        <v/>
      </c>
    </row>
    <row r="234" customFormat="false" ht="15" hidden="false" customHeight="false" outlineLevel="0" collapsed="false">
      <c r="A234" s="8"/>
      <c r="B234" s="10" t="str">
        <f aca="false">IF(A234="","",IFERROR(VLOOKUP(A234,DonHang!$A$2:$C$500,3,FALSE()),"mã đơn chưa có"))</f>
        <v/>
      </c>
      <c r="C234" s="8"/>
      <c r="D234" s="8"/>
      <c r="E234" s="8"/>
      <c r="F234" s="13"/>
      <c r="G234" s="14"/>
      <c r="H234" s="8"/>
      <c r="I234" s="11" t="str">
        <f aca="false">IF(OR(F234="",G234=""),"",ROUND(F234*G234,0))</f>
        <v/>
      </c>
    </row>
    <row r="235" customFormat="false" ht="15" hidden="false" customHeight="false" outlineLevel="0" collapsed="false">
      <c r="A235" s="8"/>
      <c r="B235" s="10" t="str">
        <f aca="false">IF(A235="","",IFERROR(VLOOKUP(A235,DonHang!$A$2:$C$500,3,FALSE()),"mã đơn chưa có"))</f>
        <v/>
      </c>
      <c r="C235" s="8"/>
      <c r="D235" s="8"/>
      <c r="E235" s="8"/>
      <c r="F235" s="13"/>
      <c r="G235" s="14"/>
      <c r="H235" s="8"/>
      <c r="I235" s="11" t="str">
        <f aca="false">IF(OR(F235="",G235=""),"",ROUND(F235*G235,0))</f>
        <v/>
      </c>
    </row>
    <row r="236" customFormat="false" ht="15" hidden="false" customHeight="false" outlineLevel="0" collapsed="false">
      <c r="A236" s="8"/>
      <c r="B236" s="10" t="str">
        <f aca="false">IF(A236="","",IFERROR(VLOOKUP(A236,DonHang!$A$2:$C$500,3,FALSE()),"mã đơn chưa có"))</f>
        <v/>
      </c>
      <c r="C236" s="8"/>
      <c r="D236" s="8"/>
      <c r="E236" s="8"/>
      <c r="F236" s="13"/>
      <c r="G236" s="14"/>
      <c r="H236" s="8"/>
      <c r="I236" s="11" t="str">
        <f aca="false">IF(OR(F236="",G236=""),"",ROUND(F236*G236,0))</f>
        <v/>
      </c>
    </row>
    <row r="237" customFormat="false" ht="15" hidden="false" customHeight="false" outlineLevel="0" collapsed="false">
      <c r="A237" s="8"/>
      <c r="B237" s="10" t="str">
        <f aca="false">IF(A237="","",IFERROR(VLOOKUP(A237,DonHang!$A$2:$C$500,3,FALSE()),"mã đơn chưa có"))</f>
        <v/>
      </c>
      <c r="C237" s="8"/>
      <c r="D237" s="8"/>
      <c r="E237" s="8"/>
      <c r="F237" s="13"/>
      <c r="G237" s="14"/>
      <c r="H237" s="8"/>
      <c r="I237" s="11" t="str">
        <f aca="false">IF(OR(F237="",G237=""),"",ROUND(F237*G237,0))</f>
        <v/>
      </c>
    </row>
    <row r="238" customFormat="false" ht="15" hidden="false" customHeight="false" outlineLevel="0" collapsed="false">
      <c r="A238" s="8"/>
      <c r="B238" s="10" t="str">
        <f aca="false">IF(A238="","",IFERROR(VLOOKUP(A238,DonHang!$A$2:$C$500,3,FALSE()),"mã đơn chưa có"))</f>
        <v/>
      </c>
      <c r="C238" s="8"/>
      <c r="D238" s="8"/>
      <c r="E238" s="8"/>
      <c r="F238" s="13"/>
      <c r="G238" s="14"/>
      <c r="H238" s="8"/>
      <c r="I238" s="11" t="str">
        <f aca="false">IF(OR(F238="",G238=""),"",ROUND(F238*G238,0))</f>
        <v/>
      </c>
    </row>
    <row r="239" customFormat="false" ht="15" hidden="false" customHeight="false" outlineLevel="0" collapsed="false">
      <c r="A239" s="8"/>
      <c r="B239" s="10" t="str">
        <f aca="false">IF(A239="","",IFERROR(VLOOKUP(A239,DonHang!$A$2:$C$500,3,FALSE()),"mã đơn chưa có"))</f>
        <v/>
      </c>
      <c r="C239" s="8"/>
      <c r="D239" s="8"/>
      <c r="E239" s="8"/>
      <c r="F239" s="13"/>
      <c r="G239" s="14"/>
      <c r="H239" s="8"/>
      <c r="I239" s="11" t="str">
        <f aca="false">IF(OR(F239="",G239=""),"",ROUND(F239*G239,0))</f>
        <v/>
      </c>
    </row>
    <row r="240" customFormat="false" ht="15" hidden="false" customHeight="false" outlineLevel="0" collapsed="false">
      <c r="A240" s="8"/>
      <c r="B240" s="10" t="str">
        <f aca="false">IF(A240="","",IFERROR(VLOOKUP(A240,DonHang!$A$2:$C$500,3,FALSE()),"mã đơn chưa có"))</f>
        <v/>
      </c>
      <c r="C240" s="8"/>
      <c r="D240" s="8"/>
      <c r="E240" s="8"/>
      <c r="F240" s="13"/>
      <c r="G240" s="14"/>
      <c r="H240" s="8"/>
      <c r="I240" s="11" t="str">
        <f aca="false">IF(OR(F240="",G240=""),"",ROUND(F240*G240,0))</f>
        <v/>
      </c>
    </row>
    <row r="241" customFormat="false" ht="15" hidden="false" customHeight="false" outlineLevel="0" collapsed="false">
      <c r="A241" s="8"/>
      <c r="B241" s="10" t="str">
        <f aca="false">IF(A241="","",IFERROR(VLOOKUP(A241,DonHang!$A$2:$C$500,3,FALSE()),"mã đơn chưa có"))</f>
        <v/>
      </c>
      <c r="C241" s="8"/>
      <c r="D241" s="8"/>
      <c r="E241" s="8"/>
      <c r="F241" s="13"/>
      <c r="G241" s="14"/>
      <c r="H241" s="8"/>
      <c r="I241" s="11" t="str">
        <f aca="false">IF(OR(F241="",G241=""),"",ROUND(F241*G241,0))</f>
        <v/>
      </c>
    </row>
    <row r="242" customFormat="false" ht="15" hidden="false" customHeight="false" outlineLevel="0" collapsed="false">
      <c r="A242" s="8"/>
      <c r="B242" s="10" t="str">
        <f aca="false">IF(A242="","",IFERROR(VLOOKUP(A242,DonHang!$A$2:$C$500,3,FALSE()),"mã đơn chưa có"))</f>
        <v/>
      </c>
      <c r="C242" s="8"/>
      <c r="D242" s="8"/>
      <c r="E242" s="8"/>
      <c r="F242" s="13"/>
      <c r="G242" s="14"/>
      <c r="H242" s="8"/>
      <c r="I242" s="11" t="str">
        <f aca="false">IF(OR(F242="",G242=""),"",ROUND(F242*G242,0))</f>
        <v/>
      </c>
    </row>
    <row r="243" customFormat="false" ht="15" hidden="false" customHeight="false" outlineLevel="0" collapsed="false">
      <c r="A243" s="8"/>
      <c r="B243" s="10" t="str">
        <f aca="false">IF(A243="","",IFERROR(VLOOKUP(A243,DonHang!$A$2:$C$500,3,FALSE()),"mã đơn chưa có"))</f>
        <v/>
      </c>
      <c r="C243" s="8"/>
      <c r="D243" s="8"/>
      <c r="E243" s="8"/>
      <c r="F243" s="13"/>
      <c r="G243" s="14"/>
      <c r="H243" s="8"/>
      <c r="I243" s="11" t="str">
        <f aca="false">IF(OR(F243="",G243=""),"",ROUND(F243*G243,0))</f>
        <v/>
      </c>
    </row>
    <row r="244" customFormat="false" ht="15" hidden="false" customHeight="false" outlineLevel="0" collapsed="false">
      <c r="A244" s="8"/>
      <c r="B244" s="10" t="str">
        <f aca="false">IF(A244="","",IFERROR(VLOOKUP(A244,DonHang!$A$2:$C$500,3,FALSE()),"mã đơn chưa có"))</f>
        <v/>
      </c>
      <c r="C244" s="8"/>
      <c r="D244" s="8"/>
      <c r="E244" s="8"/>
      <c r="F244" s="13"/>
      <c r="G244" s="14"/>
      <c r="H244" s="8"/>
      <c r="I244" s="11" t="str">
        <f aca="false">IF(OR(F244="",G244=""),"",ROUND(F244*G244,0))</f>
        <v/>
      </c>
    </row>
    <row r="245" customFormat="false" ht="15" hidden="false" customHeight="false" outlineLevel="0" collapsed="false">
      <c r="A245" s="8"/>
      <c r="B245" s="10" t="str">
        <f aca="false">IF(A245="","",IFERROR(VLOOKUP(A245,DonHang!$A$2:$C$500,3,FALSE()),"mã đơn chưa có"))</f>
        <v/>
      </c>
      <c r="C245" s="8"/>
      <c r="D245" s="8"/>
      <c r="E245" s="8"/>
      <c r="F245" s="13"/>
      <c r="G245" s="14"/>
      <c r="H245" s="8"/>
      <c r="I245" s="11" t="str">
        <f aca="false">IF(OR(F245="",G245=""),"",ROUND(F245*G245,0))</f>
        <v/>
      </c>
    </row>
    <row r="246" customFormat="false" ht="15" hidden="false" customHeight="false" outlineLevel="0" collapsed="false">
      <c r="A246" s="8"/>
      <c r="B246" s="10" t="str">
        <f aca="false">IF(A246="","",IFERROR(VLOOKUP(A246,DonHang!$A$2:$C$500,3,FALSE()),"mã đơn chưa có"))</f>
        <v/>
      </c>
      <c r="C246" s="8"/>
      <c r="D246" s="8"/>
      <c r="E246" s="8"/>
      <c r="F246" s="13"/>
      <c r="G246" s="14"/>
      <c r="H246" s="8"/>
      <c r="I246" s="11" t="str">
        <f aca="false">IF(OR(F246="",G246=""),"",ROUND(F246*G246,0))</f>
        <v/>
      </c>
    </row>
    <row r="247" customFormat="false" ht="15" hidden="false" customHeight="false" outlineLevel="0" collapsed="false">
      <c r="A247" s="8"/>
      <c r="B247" s="10" t="str">
        <f aca="false">IF(A247="","",IFERROR(VLOOKUP(A247,DonHang!$A$2:$C$500,3,FALSE()),"mã đơn chưa có"))</f>
        <v/>
      </c>
      <c r="C247" s="8"/>
      <c r="D247" s="8"/>
      <c r="E247" s="8"/>
      <c r="F247" s="13"/>
      <c r="G247" s="14"/>
      <c r="H247" s="8"/>
      <c r="I247" s="11" t="str">
        <f aca="false">IF(OR(F247="",G247=""),"",ROUND(F247*G247,0))</f>
        <v/>
      </c>
    </row>
    <row r="248" customFormat="false" ht="15" hidden="false" customHeight="false" outlineLevel="0" collapsed="false">
      <c r="A248" s="8"/>
      <c r="B248" s="10" t="str">
        <f aca="false">IF(A248="","",IFERROR(VLOOKUP(A248,DonHang!$A$2:$C$500,3,FALSE()),"mã đơn chưa có"))</f>
        <v/>
      </c>
      <c r="C248" s="8"/>
      <c r="D248" s="8"/>
      <c r="E248" s="8"/>
      <c r="F248" s="13"/>
      <c r="G248" s="14"/>
      <c r="H248" s="8"/>
      <c r="I248" s="11" t="str">
        <f aca="false">IF(OR(F248="",G248=""),"",ROUND(F248*G248,0))</f>
        <v/>
      </c>
    </row>
    <row r="249" customFormat="false" ht="15" hidden="false" customHeight="false" outlineLevel="0" collapsed="false">
      <c r="A249" s="8"/>
      <c r="B249" s="10" t="str">
        <f aca="false">IF(A249="","",IFERROR(VLOOKUP(A249,DonHang!$A$2:$C$500,3,FALSE()),"mã đơn chưa có"))</f>
        <v/>
      </c>
      <c r="C249" s="8"/>
      <c r="D249" s="8"/>
      <c r="E249" s="8"/>
      <c r="F249" s="13"/>
      <c r="G249" s="14"/>
      <c r="H249" s="8"/>
      <c r="I249" s="11" t="str">
        <f aca="false">IF(OR(F249="",G249=""),"",ROUND(F249*G249,0))</f>
        <v/>
      </c>
    </row>
    <row r="250" customFormat="false" ht="15" hidden="false" customHeight="false" outlineLevel="0" collapsed="false">
      <c r="A250" s="8"/>
      <c r="B250" s="10" t="str">
        <f aca="false">IF(A250="","",IFERROR(VLOOKUP(A250,DonHang!$A$2:$C$500,3,FALSE()),"mã đơn chưa có"))</f>
        <v/>
      </c>
      <c r="C250" s="8"/>
      <c r="D250" s="8"/>
      <c r="E250" s="8"/>
      <c r="F250" s="13"/>
      <c r="G250" s="14"/>
      <c r="H250" s="8"/>
      <c r="I250" s="11" t="str">
        <f aca="false">IF(OR(F250="",G250=""),"",ROUND(F250*G250,0))</f>
        <v/>
      </c>
    </row>
    <row r="251" customFormat="false" ht="15" hidden="false" customHeight="false" outlineLevel="0" collapsed="false">
      <c r="A251" s="8"/>
      <c r="B251" s="10" t="str">
        <f aca="false">IF(A251="","",IFERROR(VLOOKUP(A251,DonHang!$A$2:$C$500,3,FALSE()),"mã đơn chưa có"))</f>
        <v/>
      </c>
      <c r="C251" s="8"/>
      <c r="D251" s="8"/>
      <c r="E251" s="8"/>
      <c r="F251" s="13"/>
      <c r="G251" s="14"/>
      <c r="H251" s="8"/>
      <c r="I251" s="11" t="str">
        <f aca="false">IF(OR(F251="",G251=""),"",ROUND(F251*G251,0))</f>
        <v/>
      </c>
    </row>
    <row r="252" customFormat="false" ht="15" hidden="false" customHeight="false" outlineLevel="0" collapsed="false">
      <c r="A252" s="8"/>
      <c r="B252" s="10" t="str">
        <f aca="false">IF(A252="","",IFERROR(VLOOKUP(A252,DonHang!$A$2:$C$500,3,FALSE()),"mã đơn chưa có"))</f>
        <v/>
      </c>
      <c r="C252" s="8"/>
      <c r="D252" s="8"/>
      <c r="E252" s="8"/>
      <c r="F252" s="13"/>
      <c r="G252" s="14"/>
      <c r="H252" s="8"/>
      <c r="I252" s="11" t="str">
        <f aca="false">IF(OR(F252="",G252=""),"",ROUND(F252*G252,0))</f>
        <v/>
      </c>
    </row>
    <row r="253" customFormat="false" ht="15" hidden="false" customHeight="false" outlineLevel="0" collapsed="false">
      <c r="A253" s="8"/>
      <c r="B253" s="10" t="str">
        <f aca="false">IF(A253="","",IFERROR(VLOOKUP(A253,DonHang!$A$2:$C$500,3,FALSE()),"mã đơn chưa có"))</f>
        <v/>
      </c>
      <c r="C253" s="8"/>
      <c r="D253" s="8"/>
      <c r="E253" s="8"/>
      <c r="F253" s="13"/>
      <c r="G253" s="14"/>
      <c r="H253" s="8"/>
      <c r="I253" s="11" t="str">
        <f aca="false">IF(OR(F253="",G253=""),"",ROUND(F253*G253,0))</f>
        <v/>
      </c>
    </row>
    <row r="254" customFormat="false" ht="15" hidden="false" customHeight="false" outlineLevel="0" collapsed="false">
      <c r="A254" s="8"/>
      <c r="B254" s="10" t="str">
        <f aca="false">IF(A254="","",IFERROR(VLOOKUP(A254,DonHang!$A$2:$C$500,3,FALSE()),"mã đơn chưa có"))</f>
        <v/>
      </c>
      <c r="C254" s="8"/>
      <c r="D254" s="8"/>
      <c r="E254" s="8"/>
      <c r="F254" s="13"/>
      <c r="G254" s="14"/>
      <c r="H254" s="8"/>
      <c r="I254" s="11" t="str">
        <f aca="false">IF(OR(F254="",G254=""),"",ROUND(F254*G254,0))</f>
        <v/>
      </c>
    </row>
    <row r="255" customFormat="false" ht="15" hidden="false" customHeight="false" outlineLevel="0" collapsed="false">
      <c r="A255" s="8"/>
      <c r="B255" s="10" t="str">
        <f aca="false">IF(A255="","",IFERROR(VLOOKUP(A255,DonHang!$A$2:$C$500,3,FALSE()),"mã đơn chưa có"))</f>
        <v/>
      </c>
      <c r="C255" s="8"/>
      <c r="D255" s="8"/>
      <c r="E255" s="8"/>
      <c r="F255" s="13"/>
      <c r="G255" s="14"/>
      <c r="H255" s="8"/>
      <c r="I255" s="11" t="str">
        <f aca="false">IF(OR(F255="",G255=""),"",ROUND(F255*G255,0))</f>
        <v/>
      </c>
    </row>
    <row r="256" customFormat="false" ht="15" hidden="false" customHeight="false" outlineLevel="0" collapsed="false">
      <c r="A256" s="8"/>
      <c r="B256" s="10" t="str">
        <f aca="false">IF(A256="","",IFERROR(VLOOKUP(A256,DonHang!$A$2:$C$500,3,FALSE()),"mã đơn chưa có"))</f>
        <v/>
      </c>
      <c r="C256" s="8"/>
      <c r="D256" s="8"/>
      <c r="E256" s="8"/>
      <c r="F256" s="13"/>
      <c r="G256" s="14"/>
      <c r="H256" s="8"/>
      <c r="I256" s="11" t="str">
        <f aca="false">IF(OR(F256="",G256=""),"",ROUND(F256*G256,0))</f>
        <v/>
      </c>
    </row>
    <row r="257" customFormat="false" ht="15" hidden="false" customHeight="false" outlineLevel="0" collapsed="false">
      <c r="A257" s="8"/>
      <c r="B257" s="10" t="str">
        <f aca="false">IF(A257="","",IFERROR(VLOOKUP(A257,DonHang!$A$2:$C$500,3,FALSE()),"mã đơn chưa có"))</f>
        <v/>
      </c>
      <c r="C257" s="8"/>
      <c r="D257" s="8"/>
      <c r="E257" s="8"/>
      <c r="F257" s="13"/>
      <c r="G257" s="14"/>
      <c r="H257" s="8"/>
      <c r="I257" s="11" t="str">
        <f aca="false">IF(OR(F257="",G257=""),"",ROUND(F257*G257,0))</f>
        <v/>
      </c>
    </row>
    <row r="258" customFormat="false" ht="15" hidden="false" customHeight="false" outlineLevel="0" collapsed="false">
      <c r="A258" s="8"/>
      <c r="B258" s="10" t="str">
        <f aca="false">IF(A258="","",IFERROR(VLOOKUP(A258,DonHang!$A$2:$C$500,3,FALSE()),"mã đơn chưa có"))</f>
        <v/>
      </c>
      <c r="C258" s="8"/>
      <c r="D258" s="8"/>
      <c r="E258" s="8"/>
      <c r="F258" s="13"/>
      <c r="G258" s="14"/>
      <c r="H258" s="8"/>
      <c r="I258" s="11" t="str">
        <f aca="false">IF(OR(F258="",G258=""),"",ROUND(F258*G258,0))</f>
        <v/>
      </c>
    </row>
    <row r="259" customFormat="false" ht="15" hidden="false" customHeight="false" outlineLevel="0" collapsed="false">
      <c r="A259" s="8"/>
      <c r="B259" s="10" t="str">
        <f aca="false">IF(A259="","",IFERROR(VLOOKUP(A259,DonHang!$A$2:$C$500,3,FALSE()),"mã đơn chưa có"))</f>
        <v/>
      </c>
      <c r="C259" s="8"/>
      <c r="D259" s="8"/>
      <c r="E259" s="8"/>
      <c r="F259" s="13"/>
      <c r="G259" s="14"/>
      <c r="H259" s="8"/>
      <c r="I259" s="11" t="str">
        <f aca="false">IF(OR(F259="",G259=""),"",ROUND(F259*G259,0))</f>
        <v/>
      </c>
    </row>
    <row r="260" customFormat="false" ht="15" hidden="false" customHeight="false" outlineLevel="0" collapsed="false">
      <c r="A260" s="8"/>
      <c r="B260" s="10" t="str">
        <f aca="false">IF(A260="","",IFERROR(VLOOKUP(A260,DonHang!$A$2:$C$500,3,FALSE()),"mã đơn chưa có"))</f>
        <v/>
      </c>
      <c r="C260" s="8"/>
      <c r="D260" s="8"/>
      <c r="E260" s="8"/>
      <c r="F260" s="13"/>
      <c r="G260" s="14"/>
      <c r="H260" s="8"/>
      <c r="I260" s="11" t="str">
        <f aca="false">IF(OR(F260="",G260=""),"",ROUND(F260*G260,0))</f>
        <v/>
      </c>
    </row>
    <row r="261" customFormat="false" ht="15" hidden="false" customHeight="false" outlineLevel="0" collapsed="false">
      <c r="A261" s="8"/>
      <c r="B261" s="10" t="str">
        <f aca="false">IF(A261="","",IFERROR(VLOOKUP(A261,DonHang!$A$2:$C$500,3,FALSE()),"mã đơn chưa có"))</f>
        <v/>
      </c>
      <c r="C261" s="8"/>
      <c r="D261" s="8"/>
      <c r="E261" s="8"/>
      <c r="F261" s="13"/>
      <c r="G261" s="14"/>
      <c r="H261" s="8"/>
      <c r="I261" s="11" t="str">
        <f aca="false">IF(OR(F261="",G261=""),"",ROUND(F261*G261,0))</f>
        <v/>
      </c>
    </row>
    <row r="262" customFormat="false" ht="15" hidden="false" customHeight="false" outlineLevel="0" collapsed="false">
      <c r="A262" s="8"/>
      <c r="B262" s="10" t="str">
        <f aca="false">IF(A262="","",IFERROR(VLOOKUP(A262,DonHang!$A$2:$C$500,3,FALSE()),"mã đơn chưa có"))</f>
        <v/>
      </c>
      <c r="C262" s="8"/>
      <c r="D262" s="8"/>
      <c r="E262" s="8"/>
      <c r="F262" s="13"/>
      <c r="G262" s="14"/>
      <c r="H262" s="8"/>
      <c r="I262" s="11" t="str">
        <f aca="false">IF(OR(F262="",G262=""),"",ROUND(F262*G262,0))</f>
        <v/>
      </c>
    </row>
    <row r="263" customFormat="false" ht="15" hidden="false" customHeight="false" outlineLevel="0" collapsed="false">
      <c r="A263" s="8"/>
      <c r="B263" s="10" t="str">
        <f aca="false">IF(A263="","",IFERROR(VLOOKUP(A263,DonHang!$A$2:$C$500,3,FALSE()),"mã đơn chưa có"))</f>
        <v/>
      </c>
      <c r="C263" s="8"/>
      <c r="D263" s="8"/>
      <c r="E263" s="8"/>
      <c r="F263" s="13"/>
      <c r="G263" s="14"/>
      <c r="H263" s="8"/>
      <c r="I263" s="11" t="str">
        <f aca="false">IF(OR(F263="",G263=""),"",ROUND(F263*G263,0))</f>
        <v/>
      </c>
    </row>
    <row r="264" customFormat="false" ht="15" hidden="false" customHeight="false" outlineLevel="0" collapsed="false">
      <c r="A264" s="8"/>
      <c r="B264" s="10" t="str">
        <f aca="false">IF(A264="","",IFERROR(VLOOKUP(A264,DonHang!$A$2:$C$500,3,FALSE()),"mã đơn chưa có"))</f>
        <v/>
      </c>
      <c r="C264" s="8"/>
      <c r="D264" s="8"/>
      <c r="E264" s="8"/>
      <c r="F264" s="13"/>
      <c r="G264" s="14"/>
      <c r="H264" s="8"/>
      <c r="I264" s="11" t="str">
        <f aca="false">IF(OR(F264="",G264=""),"",ROUND(F264*G264,0))</f>
        <v/>
      </c>
    </row>
    <row r="265" customFormat="false" ht="15" hidden="false" customHeight="false" outlineLevel="0" collapsed="false">
      <c r="A265" s="8"/>
      <c r="B265" s="10" t="str">
        <f aca="false">IF(A265="","",IFERROR(VLOOKUP(A265,DonHang!$A$2:$C$500,3,FALSE()),"mã đơn chưa có"))</f>
        <v/>
      </c>
      <c r="C265" s="8"/>
      <c r="D265" s="8"/>
      <c r="E265" s="8"/>
      <c r="F265" s="13"/>
      <c r="G265" s="14"/>
      <c r="H265" s="8"/>
      <c r="I265" s="11" t="str">
        <f aca="false">IF(OR(F265="",G265=""),"",ROUND(F265*G265,0))</f>
        <v/>
      </c>
    </row>
    <row r="266" customFormat="false" ht="15" hidden="false" customHeight="false" outlineLevel="0" collapsed="false">
      <c r="A266" s="8"/>
      <c r="B266" s="10" t="str">
        <f aca="false">IF(A266="","",IFERROR(VLOOKUP(A266,DonHang!$A$2:$C$500,3,FALSE()),"mã đơn chưa có"))</f>
        <v/>
      </c>
      <c r="C266" s="8"/>
      <c r="D266" s="8"/>
      <c r="E266" s="8"/>
      <c r="F266" s="13"/>
      <c r="G266" s="14"/>
      <c r="H266" s="8"/>
      <c r="I266" s="11" t="str">
        <f aca="false">IF(OR(F266="",G266=""),"",ROUND(F266*G266,0))</f>
        <v/>
      </c>
    </row>
    <row r="267" customFormat="false" ht="15" hidden="false" customHeight="false" outlineLevel="0" collapsed="false">
      <c r="A267" s="8"/>
      <c r="B267" s="10" t="str">
        <f aca="false">IF(A267="","",IFERROR(VLOOKUP(A267,DonHang!$A$2:$C$500,3,FALSE()),"mã đơn chưa có"))</f>
        <v/>
      </c>
      <c r="C267" s="8"/>
      <c r="D267" s="8"/>
      <c r="E267" s="8"/>
      <c r="F267" s="13"/>
      <c r="G267" s="14"/>
      <c r="H267" s="8"/>
      <c r="I267" s="11" t="str">
        <f aca="false">IF(OR(F267="",G267=""),"",ROUND(F267*G267,0))</f>
        <v/>
      </c>
    </row>
    <row r="268" customFormat="false" ht="15" hidden="false" customHeight="false" outlineLevel="0" collapsed="false">
      <c r="A268" s="8"/>
      <c r="B268" s="10" t="str">
        <f aca="false">IF(A268="","",IFERROR(VLOOKUP(A268,DonHang!$A$2:$C$500,3,FALSE()),"mã đơn chưa có"))</f>
        <v/>
      </c>
      <c r="C268" s="8"/>
      <c r="D268" s="8"/>
      <c r="E268" s="8"/>
      <c r="F268" s="13"/>
      <c r="G268" s="14"/>
      <c r="H268" s="8"/>
      <c r="I268" s="11" t="str">
        <f aca="false">IF(OR(F268="",G268=""),"",ROUND(F268*G268,0))</f>
        <v/>
      </c>
    </row>
    <row r="269" customFormat="false" ht="15" hidden="false" customHeight="false" outlineLevel="0" collapsed="false">
      <c r="A269" s="8"/>
      <c r="B269" s="10" t="str">
        <f aca="false">IF(A269="","",IFERROR(VLOOKUP(A269,DonHang!$A$2:$C$500,3,FALSE()),"mã đơn chưa có"))</f>
        <v/>
      </c>
      <c r="C269" s="8"/>
      <c r="D269" s="8"/>
      <c r="E269" s="8"/>
      <c r="F269" s="13"/>
      <c r="G269" s="14"/>
      <c r="H269" s="8"/>
      <c r="I269" s="11" t="str">
        <f aca="false">IF(OR(F269="",G269=""),"",ROUND(F269*G269,0))</f>
        <v/>
      </c>
    </row>
    <row r="270" customFormat="false" ht="15" hidden="false" customHeight="false" outlineLevel="0" collapsed="false">
      <c r="A270" s="8"/>
      <c r="B270" s="10" t="str">
        <f aca="false">IF(A270="","",IFERROR(VLOOKUP(A270,DonHang!$A$2:$C$500,3,FALSE()),"mã đơn chưa có"))</f>
        <v/>
      </c>
      <c r="C270" s="8"/>
      <c r="D270" s="8"/>
      <c r="E270" s="8"/>
      <c r="F270" s="13"/>
      <c r="G270" s="14"/>
      <c r="H270" s="8"/>
      <c r="I270" s="11" t="str">
        <f aca="false">IF(OR(F270="",G270=""),"",ROUND(F270*G270,0))</f>
        <v/>
      </c>
    </row>
    <row r="271" customFormat="false" ht="15" hidden="false" customHeight="false" outlineLevel="0" collapsed="false">
      <c r="A271" s="8"/>
      <c r="B271" s="10" t="str">
        <f aca="false">IF(A271="","",IFERROR(VLOOKUP(A271,DonHang!$A$2:$C$500,3,FALSE()),"mã đơn chưa có"))</f>
        <v/>
      </c>
      <c r="C271" s="8"/>
      <c r="D271" s="8"/>
      <c r="E271" s="8"/>
      <c r="F271" s="13"/>
      <c r="G271" s="14"/>
      <c r="H271" s="8"/>
      <c r="I271" s="11" t="str">
        <f aca="false">IF(OR(F271="",G271=""),"",ROUND(F271*G271,0))</f>
        <v/>
      </c>
    </row>
    <row r="272" customFormat="false" ht="15" hidden="false" customHeight="false" outlineLevel="0" collapsed="false">
      <c r="A272" s="8"/>
      <c r="B272" s="10" t="str">
        <f aca="false">IF(A272="","",IFERROR(VLOOKUP(A272,DonHang!$A$2:$C$500,3,FALSE()),"mã đơn chưa có"))</f>
        <v/>
      </c>
      <c r="C272" s="8"/>
      <c r="D272" s="8"/>
      <c r="E272" s="8"/>
      <c r="F272" s="13"/>
      <c r="G272" s="14"/>
      <c r="H272" s="8"/>
      <c r="I272" s="11" t="str">
        <f aca="false">IF(OR(F272="",G272=""),"",ROUND(F272*G272,0))</f>
        <v/>
      </c>
    </row>
    <row r="273" customFormat="false" ht="15" hidden="false" customHeight="false" outlineLevel="0" collapsed="false">
      <c r="A273" s="8"/>
      <c r="B273" s="10" t="str">
        <f aca="false">IF(A273="","",IFERROR(VLOOKUP(A273,DonHang!$A$2:$C$500,3,FALSE()),"mã đơn chưa có"))</f>
        <v/>
      </c>
      <c r="C273" s="8"/>
      <c r="D273" s="8"/>
      <c r="E273" s="8"/>
      <c r="F273" s="13"/>
      <c r="G273" s="14"/>
      <c r="H273" s="8"/>
      <c r="I273" s="11" t="str">
        <f aca="false">IF(OR(F273="",G273=""),"",ROUND(F273*G273,0))</f>
        <v/>
      </c>
    </row>
    <row r="274" customFormat="false" ht="15" hidden="false" customHeight="false" outlineLevel="0" collapsed="false">
      <c r="A274" s="8"/>
      <c r="B274" s="10" t="str">
        <f aca="false">IF(A274="","",IFERROR(VLOOKUP(A274,DonHang!$A$2:$C$500,3,FALSE()),"mã đơn chưa có"))</f>
        <v/>
      </c>
      <c r="C274" s="8"/>
      <c r="D274" s="8"/>
      <c r="E274" s="8"/>
      <c r="F274" s="13"/>
      <c r="G274" s="14"/>
      <c r="H274" s="8"/>
      <c r="I274" s="11" t="str">
        <f aca="false">IF(OR(F274="",G274=""),"",ROUND(F274*G274,0))</f>
        <v/>
      </c>
    </row>
    <row r="275" customFormat="false" ht="15" hidden="false" customHeight="false" outlineLevel="0" collapsed="false">
      <c r="A275" s="8"/>
      <c r="B275" s="10" t="str">
        <f aca="false">IF(A275="","",IFERROR(VLOOKUP(A275,DonHang!$A$2:$C$500,3,FALSE()),"mã đơn chưa có"))</f>
        <v/>
      </c>
      <c r="C275" s="8"/>
      <c r="D275" s="8"/>
      <c r="E275" s="8"/>
      <c r="F275" s="13"/>
      <c r="G275" s="14"/>
      <c r="H275" s="8"/>
      <c r="I275" s="11" t="str">
        <f aca="false">IF(OR(F275="",G275=""),"",ROUND(F275*G275,0))</f>
        <v/>
      </c>
    </row>
    <row r="276" customFormat="false" ht="15" hidden="false" customHeight="false" outlineLevel="0" collapsed="false">
      <c r="A276" s="8"/>
      <c r="B276" s="10" t="str">
        <f aca="false">IF(A276="","",IFERROR(VLOOKUP(A276,DonHang!$A$2:$C$500,3,FALSE()),"mã đơn chưa có"))</f>
        <v/>
      </c>
      <c r="C276" s="8"/>
      <c r="D276" s="8"/>
      <c r="E276" s="8"/>
      <c r="F276" s="13"/>
      <c r="G276" s="14"/>
      <c r="H276" s="8"/>
      <c r="I276" s="11" t="str">
        <f aca="false">IF(OR(F276="",G276=""),"",ROUND(F276*G276,0))</f>
        <v/>
      </c>
    </row>
    <row r="277" customFormat="false" ht="15" hidden="false" customHeight="false" outlineLevel="0" collapsed="false">
      <c r="A277" s="8"/>
      <c r="B277" s="10" t="str">
        <f aca="false">IF(A277="","",IFERROR(VLOOKUP(A277,DonHang!$A$2:$C$500,3,FALSE()),"mã đơn chưa có"))</f>
        <v/>
      </c>
      <c r="C277" s="8"/>
      <c r="D277" s="8"/>
      <c r="E277" s="8"/>
      <c r="F277" s="13"/>
      <c r="G277" s="14"/>
      <c r="H277" s="8"/>
      <c r="I277" s="11" t="str">
        <f aca="false">IF(OR(F277="",G277=""),"",ROUND(F277*G277,0))</f>
        <v/>
      </c>
    </row>
    <row r="278" customFormat="false" ht="15" hidden="false" customHeight="false" outlineLevel="0" collapsed="false">
      <c r="A278" s="8"/>
      <c r="B278" s="10" t="str">
        <f aca="false">IF(A278="","",IFERROR(VLOOKUP(A278,DonHang!$A$2:$C$500,3,FALSE()),"mã đơn chưa có"))</f>
        <v/>
      </c>
      <c r="C278" s="8"/>
      <c r="D278" s="8"/>
      <c r="E278" s="8"/>
      <c r="F278" s="13"/>
      <c r="G278" s="14"/>
      <c r="H278" s="8"/>
      <c r="I278" s="11" t="str">
        <f aca="false">IF(OR(F278="",G278=""),"",ROUND(F278*G278,0))</f>
        <v/>
      </c>
    </row>
    <row r="279" customFormat="false" ht="15" hidden="false" customHeight="false" outlineLevel="0" collapsed="false">
      <c r="A279" s="8"/>
      <c r="B279" s="10" t="str">
        <f aca="false">IF(A279="","",IFERROR(VLOOKUP(A279,DonHang!$A$2:$C$500,3,FALSE()),"mã đơn chưa có"))</f>
        <v/>
      </c>
      <c r="C279" s="8"/>
      <c r="D279" s="8"/>
      <c r="E279" s="8"/>
      <c r="F279" s="13"/>
      <c r="G279" s="14"/>
      <c r="H279" s="8"/>
      <c r="I279" s="11" t="str">
        <f aca="false">IF(OR(F279="",G279=""),"",ROUND(F279*G279,0))</f>
        <v/>
      </c>
    </row>
    <row r="280" customFormat="false" ht="15" hidden="false" customHeight="false" outlineLevel="0" collapsed="false">
      <c r="A280" s="8"/>
      <c r="B280" s="10" t="str">
        <f aca="false">IF(A280="","",IFERROR(VLOOKUP(A280,DonHang!$A$2:$C$500,3,FALSE()),"mã đơn chưa có"))</f>
        <v/>
      </c>
      <c r="C280" s="8"/>
      <c r="D280" s="8"/>
      <c r="E280" s="8"/>
      <c r="F280" s="13"/>
      <c r="G280" s="14"/>
      <c r="H280" s="8"/>
      <c r="I280" s="11" t="str">
        <f aca="false">IF(OR(F280="",G280=""),"",ROUND(F280*G280,0))</f>
        <v/>
      </c>
    </row>
    <row r="281" customFormat="false" ht="15" hidden="false" customHeight="false" outlineLevel="0" collapsed="false">
      <c r="A281" s="8"/>
      <c r="B281" s="10" t="str">
        <f aca="false">IF(A281="","",IFERROR(VLOOKUP(A281,DonHang!$A$2:$C$500,3,FALSE()),"mã đơn chưa có"))</f>
        <v/>
      </c>
      <c r="C281" s="8"/>
      <c r="D281" s="8"/>
      <c r="E281" s="8"/>
      <c r="F281" s="13"/>
      <c r="G281" s="14"/>
      <c r="H281" s="8"/>
      <c r="I281" s="11" t="str">
        <f aca="false">IF(OR(F281="",G281=""),"",ROUND(F281*G281,0))</f>
        <v/>
      </c>
    </row>
    <row r="282" customFormat="false" ht="15" hidden="false" customHeight="false" outlineLevel="0" collapsed="false">
      <c r="A282" s="8"/>
      <c r="B282" s="10" t="str">
        <f aca="false">IF(A282="","",IFERROR(VLOOKUP(A282,DonHang!$A$2:$C$500,3,FALSE()),"mã đơn chưa có"))</f>
        <v/>
      </c>
      <c r="C282" s="8"/>
      <c r="D282" s="8"/>
      <c r="E282" s="8"/>
      <c r="F282" s="13"/>
      <c r="G282" s="14"/>
      <c r="H282" s="8"/>
      <c r="I282" s="11" t="str">
        <f aca="false">IF(OR(F282="",G282=""),"",ROUND(F282*G282,0))</f>
        <v/>
      </c>
    </row>
    <row r="283" customFormat="false" ht="15" hidden="false" customHeight="false" outlineLevel="0" collapsed="false">
      <c r="A283" s="8"/>
      <c r="B283" s="10" t="str">
        <f aca="false">IF(A283="","",IFERROR(VLOOKUP(A283,DonHang!$A$2:$C$500,3,FALSE()),"mã đơn chưa có"))</f>
        <v/>
      </c>
      <c r="C283" s="8"/>
      <c r="D283" s="8"/>
      <c r="E283" s="8"/>
      <c r="F283" s="13"/>
      <c r="G283" s="14"/>
      <c r="H283" s="8"/>
      <c r="I283" s="11" t="str">
        <f aca="false">IF(OR(F283="",G283=""),"",ROUND(F283*G283,0))</f>
        <v/>
      </c>
    </row>
    <row r="284" customFormat="false" ht="15" hidden="false" customHeight="false" outlineLevel="0" collapsed="false">
      <c r="A284" s="8"/>
      <c r="B284" s="10" t="str">
        <f aca="false">IF(A284="","",IFERROR(VLOOKUP(A284,DonHang!$A$2:$C$500,3,FALSE()),"mã đơn chưa có"))</f>
        <v/>
      </c>
      <c r="C284" s="8"/>
      <c r="D284" s="8"/>
      <c r="E284" s="8"/>
      <c r="F284" s="13"/>
      <c r="G284" s="14"/>
      <c r="H284" s="8"/>
      <c r="I284" s="11" t="str">
        <f aca="false">IF(OR(F284="",G284=""),"",ROUND(F284*G284,0))</f>
        <v/>
      </c>
    </row>
    <row r="285" customFormat="false" ht="15" hidden="false" customHeight="false" outlineLevel="0" collapsed="false">
      <c r="A285" s="8"/>
      <c r="B285" s="10" t="str">
        <f aca="false">IF(A285="","",IFERROR(VLOOKUP(A285,DonHang!$A$2:$C$500,3,FALSE()),"mã đơn chưa có"))</f>
        <v/>
      </c>
      <c r="C285" s="8"/>
      <c r="D285" s="8"/>
      <c r="E285" s="8"/>
      <c r="F285" s="13"/>
      <c r="G285" s="14"/>
      <c r="H285" s="8"/>
      <c r="I285" s="11" t="str">
        <f aca="false">IF(OR(F285="",G285=""),"",ROUND(F285*G285,0))</f>
        <v/>
      </c>
    </row>
    <row r="286" customFormat="false" ht="15" hidden="false" customHeight="false" outlineLevel="0" collapsed="false">
      <c r="A286" s="8"/>
      <c r="B286" s="10" t="str">
        <f aca="false">IF(A286="","",IFERROR(VLOOKUP(A286,DonHang!$A$2:$C$500,3,FALSE()),"mã đơn chưa có"))</f>
        <v/>
      </c>
      <c r="C286" s="8"/>
      <c r="D286" s="8"/>
      <c r="E286" s="8"/>
      <c r="F286" s="13"/>
      <c r="G286" s="14"/>
      <c r="H286" s="8"/>
      <c r="I286" s="11" t="str">
        <f aca="false">IF(OR(F286="",G286=""),"",ROUND(F286*G286,0))</f>
        <v/>
      </c>
    </row>
    <row r="287" customFormat="false" ht="15" hidden="false" customHeight="false" outlineLevel="0" collapsed="false">
      <c r="A287" s="8"/>
      <c r="B287" s="10" t="str">
        <f aca="false">IF(A287="","",IFERROR(VLOOKUP(A287,DonHang!$A$2:$C$500,3,FALSE()),"mã đơn chưa có"))</f>
        <v/>
      </c>
      <c r="C287" s="8"/>
      <c r="D287" s="8"/>
      <c r="E287" s="8"/>
      <c r="F287" s="13"/>
      <c r="G287" s="14"/>
      <c r="H287" s="8"/>
      <c r="I287" s="11" t="str">
        <f aca="false">IF(OR(F287="",G287=""),"",ROUND(F287*G287,0))</f>
        <v/>
      </c>
    </row>
    <row r="288" customFormat="false" ht="15" hidden="false" customHeight="false" outlineLevel="0" collapsed="false">
      <c r="A288" s="8"/>
      <c r="B288" s="10" t="str">
        <f aca="false">IF(A288="","",IFERROR(VLOOKUP(A288,DonHang!$A$2:$C$500,3,FALSE()),"mã đơn chưa có"))</f>
        <v/>
      </c>
      <c r="C288" s="8"/>
      <c r="D288" s="8"/>
      <c r="E288" s="8"/>
      <c r="F288" s="13"/>
      <c r="G288" s="14"/>
      <c r="H288" s="8"/>
      <c r="I288" s="11" t="str">
        <f aca="false">IF(OR(F288="",G288=""),"",ROUND(F288*G288,0))</f>
        <v/>
      </c>
    </row>
    <row r="289" customFormat="false" ht="15" hidden="false" customHeight="false" outlineLevel="0" collapsed="false">
      <c r="A289" s="8"/>
      <c r="B289" s="10" t="str">
        <f aca="false">IF(A289="","",IFERROR(VLOOKUP(A289,DonHang!$A$2:$C$500,3,FALSE()),"mã đơn chưa có"))</f>
        <v/>
      </c>
      <c r="C289" s="8"/>
      <c r="D289" s="8"/>
      <c r="E289" s="8"/>
      <c r="F289" s="13"/>
      <c r="G289" s="14"/>
      <c r="H289" s="8"/>
      <c r="I289" s="11" t="str">
        <f aca="false">IF(OR(F289="",G289=""),"",ROUND(F289*G289,0))</f>
        <v/>
      </c>
    </row>
    <row r="290" customFormat="false" ht="15" hidden="false" customHeight="false" outlineLevel="0" collapsed="false">
      <c r="A290" s="8"/>
      <c r="B290" s="10" t="str">
        <f aca="false">IF(A290="","",IFERROR(VLOOKUP(A290,DonHang!$A$2:$C$500,3,FALSE()),"mã đơn chưa có"))</f>
        <v/>
      </c>
      <c r="C290" s="8"/>
      <c r="D290" s="8"/>
      <c r="E290" s="8"/>
      <c r="F290" s="13"/>
      <c r="G290" s="14"/>
      <c r="H290" s="8"/>
      <c r="I290" s="11" t="str">
        <f aca="false">IF(OR(F290="",G290=""),"",ROUND(F290*G290,0))</f>
        <v/>
      </c>
    </row>
    <row r="291" customFormat="false" ht="15" hidden="false" customHeight="false" outlineLevel="0" collapsed="false">
      <c r="A291" s="8"/>
      <c r="B291" s="10" t="str">
        <f aca="false">IF(A291="","",IFERROR(VLOOKUP(A291,DonHang!$A$2:$C$500,3,FALSE()),"mã đơn chưa có"))</f>
        <v/>
      </c>
      <c r="C291" s="8"/>
      <c r="D291" s="8"/>
      <c r="E291" s="8"/>
      <c r="F291" s="13"/>
      <c r="G291" s="14"/>
      <c r="H291" s="8"/>
      <c r="I291" s="11" t="str">
        <f aca="false">IF(OR(F291="",G291=""),"",ROUND(F291*G291,0))</f>
        <v/>
      </c>
    </row>
    <row r="292" customFormat="false" ht="15" hidden="false" customHeight="false" outlineLevel="0" collapsed="false">
      <c r="A292" s="8"/>
      <c r="B292" s="10" t="str">
        <f aca="false">IF(A292="","",IFERROR(VLOOKUP(A292,DonHang!$A$2:$C$500,3,FALSE()),"mã đơn chưa có"))</f>
        <v/>
      </c>
      <c r="C292" s="8"/>
      <c r="D292" s="8"/>
      <c r="E292" s="8"/>
      <c r="F292" s="13"/>
      <c r="G292" s="14"/>
      <c r="H292" s="8"/>
      <c r="I292" s="11" t="str">
        <f aca="false">IF(OR(F292="",G292=""),"",ROUND(F292*G292,0))</f>
        <v/>
      </c>
    </row>
    <row r="293" customFormat="false" ht="15" hidden="false" customHeight="false" outlineLevel="0" collapsed="false">
      <c r="A293" s="8"/>
      <c r="B293" s="10" t="str">
        <f aca="false">IF(A293="","",IFERROR(VLOOKUP(A293,DonHang!$A$2:$C$500,3,FALSE()),"mã đơn chưa có"))</f>
        <v/>
      </c>
      <c r="C293" s="8"/>
      <c r="D293" s="8"/>
      <c r="E293" s="8"/>
      <c r="F293" s="13"/>
      <c r="G293" s="14"/>
      <c r="H293" s="8"/>
      <c r="I293" s="11" t="str">
        <f aca="false">IF(OR(F293="",G293=""),"",ROUND(F293*G293,0))</f>
        <v/>
      </c>
    </row>
    <row r="294" customFormat="false" ht="15" hidden="false" customHeight="false" outlineLevel="0" collapsed="false">
      <c r="A294" s="8"/>
      <c r="B294" s="10" t="str">
        <f aca="false">IF(A294="","",IFERROR(VLOOKUP(A294,DonHang!$A$2:$C$500,3,FALSE()),"mã đơn chưa có"))</f>
        <v/>
      </c>
      <c r="C294" s="8"/>
      <c r="D294" s="8"/>
      <c r="E294" s="8"/>
      <c r="F294" s="13"/>
      <c r="G294" s="14"/>
      <c r="H294" s="8"/>
      <c r="I294" s="11" t="str">
        <f aca="false">IF(OR(F294="",G294=""),"",ROUND(F294*G294,0))</f>
        <v/>
      </c>
    </row>
    <row r="295" customFormat="false" ht="15" hidden="false" customHeight="false" outlineLevel="0" collapsed="false">
      <c r="A295" s="8"/>
      <c r="B295" s="10" t="str">
        <f aca="false">IF(A295="","",IFERROR(VLOOKUP(A295,DonHang!$A$2:$C$500,3,FALSE()),"mã đơn chưa có"))</f>
        <v/>
      </c>
      <c r="C295" s="8"/>
      <c r="D295" s="8"/>
      <c r="E295" s="8"/>
      <c r="F295" s="13"/>
      <c r="G295" s="14"/>
      <c r="H295" s="8"/>
      <c r="I295" s="11" t="str">
        <f aca="false">IF(OR(F295="",G295=""),"",ROUND(F295*G295,0))</f>
        <v/>
      </c>
    </row>
    <row r="296" customFormat="false" ht="15" hidden="false" customHeight="false" outlineLevel="0" collapsed="false">
      <c r="A296" s="8"/>
      <c r="B296" s="10" t="str">
        <f aca="false">IF(A296="","",IFERROR(VLOOKUP(A296,DonHang!$A$2:$C$500,3,FALSE()),"mã đơn chưa có"))</f>
        <v/>
      </c>
      <c r="C296" s="8"/>
      <c r="D296" s="8"/>
      <c r="E296" s="8"/>
      <c r="F296" s="13"/>
      <c r="G296" s="14"/>
      <c r="H296" s="8"/>
      <c r="I296" s="11" t="str">
        <f aca="false">IF(OR(F296="",G296=""),"",ROUND(F296*G296,0))</f>
        <v/>
      </c>
    </row>
    <row r="297" customFormat="false" ht="15" hidden="false" customHeight="false" outlineLevel="0" collapsed="false">
      <c r="A297" s="8"/>
      <c r="B297" s="10" t="str">
        <f aca="false">IF(A297="","",IFERROR(VLOOKUP(A297,DonHang!$A$2:$C$500,3,FALSE()),"mã đơn chưa có"))</f>
        <v/>
      </c>
      <c r="C297" s="8"/>
      <c r="D297" s="8"/>
      <c r="E297" s="8"/>
      <c r="F297" s="13"/>
      <c r="G297" s="14"/>
      <c r="H297" s="8"/>
      <c r="I297" s="11" t="str">
        <f aca="false">IF(OR(F297="",G297=""),"",ROUND(F297*G297,0))</f>
        <v/>
      </c>
    </row>
    <row r="298" customFormat="false" ht="15" hidden="false" customHeight="false" outlineLevel="0" collapsed="false">
      <c r="A298" s="8"/>
      <c r="B298" s="10" t="str">
        <f aca="false">IF(A298="","",IFERROR(VLOOKUP(A298,DonHang!$A$2:$C$500,3,FALSE()),"mã đơn chưa có"))</f>
        <v/>
      </c>
      <c r="C298" s="8"/>
      <c r="D298" s="8"/>
      <c r="E298" s="8"/>
      <c r="F298" s="13"/>
      <c r="G298" s="14"/>
      <c r="H298" s="8"/>
      <c r="I298" s="11" t="str">
        <f aca="false">IF(OR(F298="",G298=""),"",ROUND(F298*G298,0))</f>
        <v/>
      </c>
    </row>
    <row r="299" customFormat="false" ht="15" hidden="false" customHeight="false" outlineLevel="0" collapsed="false">
      <c r="A299" s="8"/>
      <c r="B299" s="10" t="str">
        <f aca="false">IF(A299="","",IFERROR(VLOOKUP(A299,DonHang!$A$2:$C$500,3,FALSE()),"mã đơn chưa có"))</f>
        <v/>
      </c>
      <c r="C299" s="8"/>
      <c r="D299" s="8"/>
      <c r="E299" s="8"/>
      <c r="F299" s="13"/>
      <c r="G299" s="14"/>
      <c r="H299" s="8"/>
      <c r="I299" s="11" t="str">
        <f aca="false">IF(OR(F299="",G299=""),"",ROUND(F299*G299,0))</f>
        <v/>
      </c>
    </row>
    <row r="300" customFormat="false" ht="15" hidden="false" customHeight="false" outlineLevel="0" collapsed="false">
      <c r="A300" s="8"/>
      <c r="B300" s="10" t="str">
        <f aca="false">IF(A300="","",IFERROR(VLOOKUP(A300,DonHang!$A$2:$C$500,3,FALSE()),"mã đơn chưa có"))</f>
        <v/>
      </c>
      <c r="C300" s="8"/>
      <c r="D300" s="8"/>
      <c r="E300" s="8"/>
      <c r="F300" s="13"/>
      <c r="G300" s="14"/>
      <c r="H300" s="8"/>
      <c r="I300" s="11" t="str">
        <f aca="false">IF(OR(F300="",G300=""),"",ROUND(F300*G300,0))</f>
        <v/>
      </c>
    </row>
    <row r="301" customFormat="false" ht="15" hidden="false" customHeight="false" outlineLevel="0" collapsed="false">
      <c r="A301" s="8"/>
      <c r="B301" s="10" t="str">
        <f aca="false">IF(A301="","",IFERROR(VLOOKUP(A301,DonHang!$A$2:$C$500,3,FALSE()),"mã đơn chưa có"))</f>
        <v/>
      </c>
      <c r="C301" s="8"/>
      <c r="D301" s="8"/>
      <c r="E301" s="8"/>
      <c r="F301" s="13"/>
      <c r="G301" s="14"/>
      <c r="H301" s="8"/>
      <c r="I301" s="11" t="str">
        <f aca="false">IF(OR(F301="",G301=""),"",ROUND(F301*G301,0))</f>
        <v/>
      </c>
    </row>
    <row r="302" customFormat="false" ht="15" hidden="false" customHeight="false" outlineLevel="0" collapsed="false">
      <c r="A302" s="8"/>
      <c r="B302" s="10" t="str">
        <f aca="false">IF(A302="","",IFERROR(VLOOKUP(A302,DonHang!$A$2:$C$500,3,FALSE()),"mã đơn chưa có"))</f>
        <v/>
      </c>
      <c r="C302" s="8"/>
      <c r="D302" s="8"/>
      <c r="E302" s="8"/>
      <c r="F302" s="13"/>
      <c r="G302" s="14"/>
      <c r="H302" s="8"/>
      <c r="I302" s="11" t="str">
        <f aca="false">IF(OR(F302="",G302=""),"",ROUND(F302*G302,0))</f>
        <v/>
      </c>
    </row>
    <row r="303" customFormat="false" ht="15" hidden="false" customHeight="false" outlineLevel="0" collapsed="false">
      <c r="A303" s="8"/>
      <c r="B303" s="10" t="str">
        <f aca="false">IF(A303="","",IFERROR(VLOOKUP(A303,DonHang!$A$2:$C$500,3,FALSE()),"mã đơn chưa có"))</f>
        <v/>
      </c>
      <c r="C303" s="8"/>
      <c r="D303" s="8"/>
      <c r="E303" s="8"/>
      <c r="F303" s="13"/>
      <c r="G303" s="14"/>
      <c r="H303" s="8"/>
      <c r="I303" s="11" t="str">
        <f aca="false">IF(OR(F303="",G303=""),"",ROUND(F303*G303,0))</f>
        <v/>
      </c>
    </row>
    <row r="304" customFormat="false" ht="15" hidden="false" customHeight="false" outlineLevel="0" collapsed="false">
      <c r="A304" s="8"/>
      <c r="B304" s="10" t="str">
        <f aca="false">IF(A304="","",IFERROR(VLOOKUP(A304,DonHang!$A$2:$C$500,3,FALSE()),"mã đơn chưa có"))</f>
        <v/>
      </c>
      <c r="C304" s="8"/>
      <c r="D304" s="8"/>
      <c r="E304" s="8"/>
      <c r="F304" s="13"/>
      <c r="G304" s="14"/>
      <c r="H304" s="8"/>
      <c r="I304" s="11" t="str">
        <f aca="false">IF(OR(F304="",G304=""),"",ROUND(F304*G304,0))</f>
        <v/>
      </c>
    </row>
    <row r="305" customFormat="false" ht="15" hidden="false" customHeight="false" outlineLevel="0" collapsed="false">
      <c r="A305" s="8"/>
      <c r="B305" s="10" t="str">
        <f aca="false">IF(A305="","",IFERROR(VLOOKUP(A305,DonHang!$A$2:$C$500,3,FALSE()),"mã đơn chưa có"))</f>
        <v/>
      </c>
      <c r="C305" s="8"/>
      <c r="D305" s="8"/>
      <c r="E305" s="8"/>
      <c r="F305" s="13"/>
      <c r="G305" s="14"/>
      <c r="H305" s="8"/>
      <c r="I305" s="11" t="str">
        <f aca="false">IF(OR(F305="",G305=""),"",ROUND(F305*G305,0))</f>
        <v/>
      </c>
    </row>
    <row r="306" customFormat="false" ht="15" hidden="false" customHeight="false" outlineLevel="0" collapsed="false">
      <c r="A306" s="8"/>
      <c r="B306" s="10" t="str">
        <f aca="false">IF(A306="","",IFERROR(VLOOKUP(A306,DonHang!$A$2:$C$500,3,FALSE()),"mã đơn chưa có"))</f>
        <v/>
      </c>
      <c r="C306" s="8"/>
      <c r="D306" s="8"/>
      <c r="E306" s="8"/>
      <c r="F306" s="13"/>
      <c r="G306" s="14"/>
      <c r="H306" s="8"/>
      <c r="I306" s="11" t="str">
        <f aca="false">IF(OR(F306="",G306=""),"",ROUND(F306*G306,0))</f>
        <v/>
      </c>
    </row>
    <row r="307" customFormat="false" ht="15" hidden="false" customHeight="false" outlineLevel="0" collapsed="false">
      <c r="A307" s="8"/>
      <c r="B307" s="10" t="str">
        <f aca="false">IF(A307="","",IFERROR(VLOOKUP(A307,DonHang!$A$2:$C$500,3,FALSE()),"mã đơn chưa có"))</f>
        <v/>
      </c>
      <c r="C307" s="8"/>
      <c r="D307" s="8"/>
      <c r="E307" s="8"/>
      <c r="F307" s="13"/>
      <c r="G307" s="14"/>
      <c r="H307" s="8"/>
      <c r="I307" s="11" t="str">
        <f aca="false">IF(OR(F307="",G307=""),"",ROUND(F307*G307,0))</f>
        <v/>
      </c>
    </row>
    <row r="308" customFormat="false" ht="15" hidden="false" customHeight="false" outlineLevel="0" collapsed="false">
      <c r="A308" s="8"/>
      <c r="B308" s="10" t="str">
        <f aca="false">IF(A308="","",IFERROR(VLOOKUP(A308,DonHang!$A$2:$C$500,3,FALSE()),"mã đơn chưa có"))</f>
        <v/>
      </c>
      <c r="C308" s="8"/>
      <c r="D308" s="8"/>
      <c r="E308" s="8"/>
      <c r="F308" s="13"/>
      <c r="G308" s="14"/>
      <c r="H308" s="8"/>
      <c r="I308" s="11" t="str">
        <f aca="false">IF(OR(F308="",G308=""),"",ROUND(F308*G308,0))</f>
        <v/>
      </c>
    </row>
    <row r="309" customFormat="false" ht="15" hidden="false" customHeight="false" outlineLevel="0" collapsed="false">
      <c r="A309" s="8"/>
      <c r="B309" s="10" t="str">
        <f aca="false">IF(A309="","",IFERROR(VLOOKUP(A309,DonHang!$A$2:$C$500,3,FALSE()),"mã đơn chưa có"))</f>
        <v/>
      </c>
      <c r="C309" s="8"/>
      <c r="D309" s="8"/>
      <c r="E309" s="8"/>
      <c r="F309" s="13"/>
      <c r="G309" s="14"/>
      <c r="H309" s="8"/>
      <c r="I309" s="11" t="str">
        <f aca="false">IF(OR(F309="",G309=""),"",ROUND(F309*G309,0))</f>
        <v/>
      </c>
    </row>
    <row r="310" customFormat="false" ht="15" hidden="false" customHeight="false" outlineLevel="0" collapsed="false">
      <c r="A310" s="8"/>
      <c r="B310" s="10" t="str">
        <f aca="false">IF(A310="","",IFERROR(VLOOKUP(A310,DonHang!$A$2:$C$500,3,FALSE()),"mã đơn chưa có"))</f>
        <v/>
      </c>
      <c r="C310" s="8"/>
      <c r="D310" s="8"/>
      <c r="E310" s="8"/>
      <c r="F310" s="13"/>
      <c r="G310" s="14"/>
      <c r="H310" s="8"/>
      <c r="I310" s="11" t="str">
        <f aca="false">IF(OR(F310="",G310=""),"",ROUND(F310*G310,0))</f>
        <v/>
      </c>
    </row>
    <row r="311" customFormat="false" ht="15" hidden="false" customHeight="false" outlineLevel="0" collapsed="false">
      <c r="A311" s="8"/>
      <c r="B311" s="10" t="str">
        <f aca="false">IF(A311="","",IFERROR(VLOOKUP(A311,DonHang!$A$2:$C$500,3,FALSE()),"mã đơn chưa có"))</f>
        <v/>
      </c>
      <c r="C311" s="8"/>
      <c r="D311" s="8"/>
      <c r="E311" s="8"/>
      <c r="F311" s="13"/>
      <c r="G311" s="14"/>
      <c r="H311" s="8"/>
      <c r="I311" s="11" t="str">
        <f aca="false">IF(OR(F311="",G311=""),"",ROUND(F311*G311,0))</f>
        <v/>
      </c>
    </row>
    <row r="312" customFormat="false" ht="15" hidden="false" customHeight="false" outlineLevel="0" collapsed="false">
      <c r="A312" s="8"/>
      <c r="B312" s="10" t="str">
        <f aca="false">IF(A312="","",IFERROR(VLOOKUP(A312,DonHang!$A$2:$C$500,3,FALSE()),"mã đơn chưa có"))</f>
        <v/>
      </c>
      <c r="C312" s="8"/>
      <c r="D312" s="8"/>
      <c r="E312" s="8"/>
      <c r="F312" s="13"/>
      <c r="G312" s="14"/>
      <c r="H312" s="8"/>
      <c r="I312" s="11" t="str">
        <f aca="false">IF(OR(F312="",G312=""),"",ROUND(F312*G312,0))</f>
        <v/>
      </c>
    </row>
    <row r="313" customFormat="false" ht="15" hidden="false" customHeight="false" outlineLevel="0" collapsed="false">
      <c r="A313" s="8"/>
      <c r="B313" s="10" t="str">
        <f aca="false">IF(A313="","",IFERROR(VLOOKUP(A313,DonHang!$A$2:$C$500,3,FALSE()),"mã đơn chưa có"))</f>
        <v/>
      </c>
      <c r="C313" s="8"/>
      <c r="D313" s="8"/>
      <c r="E313" s="8"/>
      <c r="F313" s="13"/>
      <c r="G313" s="14"/>
      <c r="H313" s="8"/>
      <c r="I313" s="11" t="str">
        <f aca="false">IF(OR(F313="",G313=""),"",ROUND(F313*G313,0))</f>
        <v/>
      </c>
    </row>
    <row r="314" customFormat="false" ht="15" hidden="false" customHeight="false" outlineLevel="0" collapsed="false">
      <c r="A314" s="8"/>
      <c r="B314" s="10" t="str">
        <f aca="false">IF(A314="","",IFERROR(VLOOKUP(A314,DonHang!$A$2:$C$500,3,FALSE()),"mã đơn chưa có"))</f>
        <v/>
      </c>
      <c r="C314" s="8"/>
      <c r="D314" s="8"/>
      <c r="E314" s="8"/>
      <c r="F314" s="13"/>
      <c r="G314" s="14"/>
      <c r="H314" s="8"/>
      <c r="I314" s="11" t="str">
        <f aca="false">IF(OR(F314="",G314=""),"",ROUND(F314*G314,0))</f>
        <v/>
      </c>
    </row>
    <row r="315" customFormat="false" ht="15" hidden="false" customHeight="false" outlineLevel="0" collapsed="false">
      <c r="A315" s="8"/>
      <c r="B315" s="10" t="str">
        <f aca="false">IF(A315="","",IFERROR(VLOOKUP(A315,DonHang!$A$2:$C$500,3,FALSE()),"mã đơn chưa có"))</f>
        <v/>
      </c>
      <c r="C315" s="8"/>
      <c r="D315" s="8"/>
      <c r="E315" s="8"/>
      <c r="F315" s="13"/>
      <c r="G315" s="14"/>
      <c r="H315" s="8"/>
      <c r="I315" s="11" t="str">
        <f aca="false">IF(OR(F315="",G315=""),"",ROUND(F315*G315,0))</f>
        <v/>
      </c>
    </row>
    <row r="316" customFormat="false" ht="15" hidden="false" customHeight="false" outlineLevel="0" collapsed="false">
      <c r="A316" s="8"/>
      <c r="B316" s="10" t="str">
        <f aca="false">IF(A316="","",IFERROR(VLOOKUP(A316,DonHang!$A$2:$C$500,3,FALSE()),"mã đơn chưa có"))</f>
        <v/>
      </c>
      <c r="C316" s="8"/>
      <c r="D316" s="8"/>
      <c r="E316" s="8"/>
      <c r="F316" s="13"/>
      <c r="G316" s="14"/>
      <c r="H316" s="8"/>
      <c r="I316" s="11" t="str">
        <f aca="false">IF(OR(F316="",G316=""),"",ROUND(F316*G316,0))</f>
        <v/>
      </c>
    </row>
    <row r="317" customFormat="false" ht="15" hidden="false" customHeight="false" outlineLevel="0" collapsed="false">
      <c r="A317" s="8"/>
      <c r="B317" s="10" t="str">
        <f aca="false">IF(A317="","",IFERROR(VLOOKUP(A317,DonHang!$A$2:$C$500,3,FALSE()),"mã đơn chưa có"))</f>
        <v/>
      </c>
      <c r="C317" s="8"/>
      <c r="D317" s="8"/>
      <c r="E317" s="8"/>
      <c r="F317" s="13"/>
      <c r="G317" s="14"/>
      <c r="H317" s="8"/>
      <c r="I317" s="11" t="str">
        <f aca="false">IF(OR(F317="",G317=""),"",ROUND(F317*G317,0))</f>
        <v/>
      </c>
    </row>
    <row r="318" customFormat="false" ht="15" hidden="false" customHeight="false" outlineLevel="0" collapsed="false">
      <c r="A318" s="8"/>
      <c r="B318" s="10" t="str">
        <f aca="false">IF(A318="","",IFERROR(VLOOKUP(A318,DonHang!$A$2:$C$500,3,FALSE()),"mã đơn chưa có"))</f>
        <v/>
      </c>
      <c r="C318" s="8"/>
      <c r="D318" s="8"/>
      <c r="E318" s="8"/>
      <c r="F318" s="13"/>
      <c r="G318" s="14"/>
      <c r="H318" s="8"/>
      <c r="I318" s="11" t="str">
        <f aca="false">IF(OR(F318="",G318=""),"",ROUND(F318*G318,0))</f>
        <v/>
      </c>
    </row>
    <row r="319" customFormat="false" ht="15" hidden="false" customHeight="false" outlineLevel="0" collapsed="false">
      <c r="A319" s="8"/>
      <c r="B319" s="10" t="str">
        <f aca="false">IF(A319="","",IFERROR(VLOOKUP(A319,DonHang!$A$2:$C$500,3,FALSE()),"mã đơn chưa có"))</f>
        <v/>
      </c>
      <c r="C319" s="8"/>
      <c r="D319" s="8"/>
      <c r="E319" s="8"/>
      <c r="F319" s="13"/>
      <c r="G319" s="14"/>
      <c r="H319" s="8"/>
      <c r="I319" s="11" t="str">
        <f aca="false">IF(OR(F319="",G319=""),"",ROUND(F319*G319,0))</f>
        <v/>
      </c>
    </row>
    <row r="320" customFormat="false" ht="15" hidden="false" customHeight="false" outlineLevel="0" collapsed="false">
      <c r="A320" s="8"/>
      <c r="B320" s="10" t="str">
        <f aca="false">IF(A320="","",IFERROR(VLOOKUP(A320,DonHang!$A$2:$C$500,3,FALSE()),"mã đơn chưa có"))</f>
        <v/>
      </c>
      <c r="C320" s="8"/>
      <c r="D320" s="8"/>
      <c r="E320" s="8"/>
      <c r="F320" s="13"/>
      <c r="G320" s="14"/>
      <c r="H320" s="8"/>
      <c r="I320" s="11" t="str">
        <f aca="false">IF(OR(F320="",G320=""),"",ROUND(F320*G320,0))</f>
        <v/>
      </c>
    </row>
    <row r="321" customFormat="false" ht="15" hidden="false" customHeight="false" outlineLevel="0" collapsed="false">
      <c r="A321" s="8"/>
      <c r="B321" s="10" t="str">
        <f aca="false">IF(A321="","",IFERROR(VLOOKUP(A321,DonHang!$A$2:$C$500,3,FALSE()),"mã đơn chưa có"))</f>
        <v/>
      </c>
      <c r="C321" s="8"/>
      <c r="D321" s="8"/>
      <c r="E321" s="8"/>
      <c r="F321" s="13"/>
      <c r="G321" s="14"/>
      <c r="H321" s="8"/>
      <c r="I321" s="11" t="str">
        <f aca="false">IF(OR(F321="",G321=""),"",ROUND(F321*G321,0))</f>
        <v/>
      </c>
    </row>
    <row r="322" customFormat="false" ht="15" hidden="false" customHeight="false" outlineLevel="0" collapsed="false">
      <c r="A322" s="8"/>
      <c r="B322" s="10" t="str">
        <f aca="false">IF(A322="","",IFERROR(VLOOKUP(A322,DonHang!$A$2:$C$500,3,FALSE()),"mã đơn chưa có"))</f>
        <v/>
      </c>
      <c r="C322" s="8"/>
      <c r="D322" s="8"/>
      <c r="E322" s="8"/>
      <c r="F322" s="13"/>
      <c r="G322" s="14"/>
      <c r="H322" s="8"/>
      <c r="I322" s="11" t="str">
        <f aca="false">IF(OR(F322="",G322=""),"",ROUND(F322*G322,0))</f>
        <v/>
      </c>
    </row>
    <row r="323" customFormat="false" ht="15" hidden="false" customHeight="false" outlineLevel="0" collapsed="false">
      <c r="A323" s="8"/>
      <c r="B323" s="10" t="str">
        <f aca="false">IF(A323="","",IFERROR(VLOOKUP(A323,DonHang!$A$2:$C$500,3,FALSE()),"mã đơn chưa có"))</f>
        <v/>
      </c>
      <c r="C323" s="8"/>
      <c r="D323" s="8"/>
      <c r="E323" s="8"/>
      <c r="F323" s="13"/>
      <c r="G323" s="14"/>
      <c r="H323" s="8"/>
      <c r="I323" s="11" t="str">
        <f aca="false">IF(OR(F323="",G323=""),"",ROUND(F323*G323,0))</f>
        <v/>
      </c>
    </row>
    <row r="324" customFormat="false" ht="15" hidden="false" customHeight="false" outlineLevel="0" collapsed="false">
      <c r="A324" s="8"/>
      <c r="B324" s="10" t="str">
        <f aca="false">IF(A324="","",IFERROR(VLOOKUP(A324,DonHang!$A$2:$C$500,3,FALSE()),"mã đơn chưa có"))</f>
        <v/>
      </c>
      <c r="C324" s="8"/>
      <c r="D324" s="8"/>
      <c r="E324" s="8"/>
      <c r="F324" s="13"/>
      <c r="G324" s="14"/>
      <c r="H324" s="8"/>
      <c r="I324" s="11" t="str">
        <f aca="false">IF(OR(F324="",G324=""),"",ROUND(F324*G324,0))</f>
        <v/>
      </c>
    </row>
    <row r="325" customFormat="false" ht="15" hidden="false" customHeight="false" outlineLevel="0" collapsed="false">
      <c r="A325" s="8"/>
      <c r="B325" s="10" t="str">
        <f aca="false">IF(A325="","",IFERROR(VLOOKUP(A325,DonHang!$A$2:$C$500,3,FALSE()),"mã đơn chưa có"))</f>
        <v/>
      </c>
      <c r="C325" s="8"/>
      <c r="D325" s="8"/>
      <c r="E325" s="8"/>
      <c r="F325" s="13"/>
      <c r="G325" s="14"/>
      <c r="H325" s="8"/>
      <c r="I325" s="11" t="str">
        <f aca="false">IF(OR(F325="",G325=""),"",ROUND(F325*G325,0))</f>
        <v/>
      </c>
    </row>
    <row r="326" customFormat="false" ht="15" hidden="false" customHeight="false" outlineLevel="0" collapsed="false">
      <c r="A326" s="8"/>
      <c r="B326" s="10" t="str">
        <f aca="false">IF(A326="","",IFERROR(VLOOKUP(A326,DonHang!$A$2:$C$500,3,FALSE()),"mã đơn chưa có"))</f>
        <v/>
      </c>
      <c r="C326" s="8"/>
      <c r="D326" s="8"/>
      <c r="E326" s="8"/>
      <c r="F326" s="13"/>
      <c r="G326" s="14"/>
      <c r="H326" s="8"/>
      <c r="I326" s="11" t="str">
        <f aca="false">IF(OR(F326="",G326=""),"",ROUND(F326*G326,0))</f>
        <v/>
      </c>
    </row>
    <row r="327" customFormat="false" ht="15" hidden="false" customHeight="false" outlineLevel="0" collapsed="false">
      <c r="A327" s="8"/>
      <c r="B327" s="10" t="str">
        <f aca="false">IF(A327="","",IFERROR(VLOOKUP(A327,DonHang!$A$2:$C$500,3,FALSE()),"mã đơn chưa có"))</f>
        <v/>
      </c>
      <c r="C327" s="8"/>
      <c r="D327" s="8"/>
      <c r="E327" s="8"/>
      <c r="F327" s="13"/>
      <c r="G327" s="14"/>
      <c r="H327" s="8"/>
      <c r="I327" s="11" t="str">
        <f aca="false">IF(OR(F327="",G327=""),"",ROUND(F327*G327,0))</f>
        <v/>
      </c>
    </row>
    <row r="328" customFormat="false" ht="15" hidden="false" customHeight="false" outlineLevel="0" collapsed="false">
      <c r="A328" s="8"/>
      <c r="B328" s="10" t="str">
        <f aca="false">IF(A328="","",IFERROR(VLOOKUP(A328,DonHang!$A$2:$C$500,3,FALSE()),"mã đơn chưa có"))</f>
        <v/>
      </c>
      <c r="C328" s="8"/>
      <c r="D328" s="8"/>
      <c r="E328" s="8"/>
      <c r="F328" s="13"/>
      <c r="G328" s="14"/>
      <c r="H328" s="8"/>
      <c r="I328" s="11" t="str">
        <f aca="false">IF(OR(F328="",G328=""),"",ROUND(F328*G328,0))</f>
        <v/>
      </c>
    </row>
    <row r="329" customFormat="false" ht="15" hidden="false" customHeight="false" outlineLevel="0" collapsed="false">
      <c r="A329" s="8"/>
      <c r="B329" s="10" t="str">
        <f aca="false">IF(A329="","",IFERROR(VLOOKUP(A329,DonHang!$A$2:$C$500,3,FALSE()),"mã đơn chưa có"))</f>
        <v/>
      </c>
      <c r="C329" s="8"/>
      <c r="D329" s="8"/>
      <c r="E329" s="8"/>
      <c r="F329" s="13"/>
      <c r="G329" s="14"/>
      <c r="H329" s="8"/>
      <c r="I329" s="11" t="str">
        <f aca="false">IF(OR(F329="",G329=""),"",ROUND(F329*G329,0))</f>
        <v/>
      </c>
    </row>
    <row r="330" customFormat="false" ht="15" hidden="false" customHeight="false" outlineLevel="0" collapsed="false">
      <c r="A330" s="8"/>
      <c r="B330" s="10" t="str">
        <f aca="false">IF(A330="","",IFERROR(VLOOKUP(A330,DonHang!$A$2:$C$500,3,FALSE()),"mã đơn chưa có"))</f>
        <v/>
      </c>
      <c r="C330" s="8"/>
      <c r="D330" s="8"/>
      <c r="E330" s="8"/>
      <c r="F330" s="13"/>
      <c r="G330" s="14"/>
      <c r="H330" s="8"/>
      <c r="I330" s="11" t="str">
        <f aca="false">IF(OR(F330="",G330=""),"",ROUND(F330*G330,0))</f>
        <v/>
      </c>
    </row>
    <row r="331" customFormat="false" ht="15" hidden="false" customHeight="false" outlineLevel="0" collapsed="false">
      <c r="A331" s="8"/>
      <c r="B331" s="10" t="str">
        <f aca="false">IF(A331="","",IFERROR(VLOOKUP(A331,DonHang!$A$2:$C$500,3,FALSE()),"mã đơn chưa có"))</f>
        <v/>
      </c>
      <c r="C331" s="8"/>
      <c r="D331" s="8"/>
      <c r="E331" s="8"/>
      <c r="F331" s="13"/>
      <c r="G331" s="14"/>
      <c r="H331" s="8"/>
      <c r="I331" s="11" t="str">
        <f aca="false">IF(OR(F331="",G331=""),"",ROUND(F331*G331,0))</f>
        <v/>
      </c>
    </row>
    <row r="332" customFormat="false" ht="15" hidden="false" customHeight="false" outlineLevel="0" collapsed="false">
      <c r="A332" s="8"/>
      <c r="B332" s="10" t="str">
        <f aca="false">IF(A332="","",IFERROR(VLOOKUP(A332,DonHang!$A$2:$C$500,3,FALSE()),"mã đơn chưa có"))</f>
        <v/>
      </c>
      <c r="C332" s="8"/>
      <c r="D332" s="8"/>
      <c r="E332" s="8"/>
      <c r="F332" s="13"/>
      <c r="G332" s="14"/>
      <c r="H332" s="8"/>
      <c r="I332" s="11" t="str">
        <f aca="false">IF(OR(F332="",G332=""),"",ROUND(F332*G332,0))</f>
        <v/>
      </c>
    </row>
    <row r="333" customFormat="false" ht="15" hidden="false" customHeight="false" outlineLevel="0" collapsed="false">
      <c r="A333" s="8"/>
      <c r="B333" s="10" t="str">
        <f aca="false">IF(A333="","",IFERROR(VLOOKUP(A333,DonHang!$A$2:$C$500,3,FALSE()),"mã đơn chưa có"))</f>
        <v/>
      </c>
      <c r="C333" s="8"/>
      <c r="D333" s="8"/>
      <c r="E333" s="8"/>
      <c r="F333" s="13"/>
      <c r="G333" s="14"/>
      <c r="H333" s="8"/>
      <c r="I333" s="11" t="str">
        <f aca="false">IF(OR(F333="",G333=""),"",ROUND(F333*G333,0))</f>
        <v/>
      </c>
    </row>
    <row r="334" customFormat="false" ht="15" hidden="false" customHeight="false" outlineLevel="0" collapsed="false">
      <c r="A334" s="8"/>
      <c r="B334" s="10" t="str">
        <f aca="false">IF(A334="","",IFERROR(VLOOKUP(A334,DonHang!$A$2:$C$500,3,FALSE()),"mã đơn chưa có"))</f>
        <v/>
      </c>
      <c r="C334" s="8"/>
      <c r="D334" s="8"/>
      <c r="E334" s="8"/>
      <c r="F334" s="13"/>
      <c r="G334" s="14"/>
      <c r="H334" s="8"/>
      <c r="I334" s="11" t="str">
        <f aca="false">IF(OR(F334="",G334=""),"",ROUND(F334*G334,0))</f>
        <v/>
      </c>
    </row>
    <row r="335" customFormat="false" ht="15" hidden="false" customHeight="false" outlineLevel="0" collapsed="false">
      <c r="A335" s="8"/>
      <c r="B335" s="10" t="str">
        <f aca="false">IF(A335="","",IFERROR(VLOOKUP(A335,DonHang!$A$2:$C$500,3,FALSE()),"mã đơn chưa có"))</f>
        <v/>
      </c>
      <c r="C335" s="8"/>
      <c r="D335" s="8"/>
      <c r="E335" s="8"/>
      <c r="F335" s="13"/>
      <c r="G335" s="14"/>
      <c r="H335" s="8"/>
      <c r="I335" s="11" t="str">
        <f aca="false">IF(OR(F335="",G335=""),"",ROUND(F335*G335,0))</f>
        <v/>
      </c>
    </row>
    <row r="336" customFormat="false" ht="15" hidden="false" customHeight="false" outlineLevel="0" collapsed="false">
      <c r="A336" s="8"/>
      <c r="B336" s="10" t="str">
        <f aca="false">IF(A336="","",IFERROR(VLOOKUP(A336,DonHang!$A$2:$C$500,3,FALSE()),"mã đơn chưa có"))</f>
        <v/>
      </c>
      <c r="C336" s="8"/>
      <c r="D336" s="8"/>
      <c r="E336" s="8"/>
      <c r="F336" s="13"/>
      <c r="G336" s="14"/>
      <c r="H336" s="8"/>
      <c r="I336" s="11" t="str">
        <f aca="false">IF(OR(F336="",G336=""),"",ROUND(F336*G336,0))</f>
        <v/>
      </c>
    </row>
    <row r="337" customFormat="false" ht="15" hidden="false" customHeight="false" outlineLevel="0" collapsed="false">
      <c r="A337" s="8"/>
      <c r="B337" s="10" t="str">
        <f aca="false">IF(A337="","",IFERROR(VLOOKUP(A337,DonHang!$A$2:$C$500,3,FALSE()),"mã đơn chưa có"))</f>
        <v/>
      </c>
      <c r="C337" s="8"/>
      <c r="D337" s="8"/>
      <c r="E337" s="8"/>
      <c r="F337" s="13"/>
      <c r="G337" s="14"/>
      <c r="H337" s="8"/>
      <c r="I337" s="11" t="str">
        <f aca="false">IF(OR(F337="",G337=""),"",ROUND(F337*G337,0))</f>
        <v/>
      </c>
    </row>
    <row r="338" customFormat="false" ht="15" hidden="false" customHeight="false" outlineLevel="0" collapsed="false">
      <c r="A338" s="8"/>
      <c r="B338" s="10" t="str">
        <f aca="false">IF(A338="","",IFERROR(VLOOKUP(A338,DonHang!$A$2:$C$500,3,FALSE()),"mã đơn chưa có"))</f>
        <v/>
      </c>
      <c r="C338" s="8"/>
      <c r="D338" s="8"/>
      <c r="E338" s="8"/>
      <c r="F338" s="13"/>
      <c r="G338" s="14"/>
      <c r="H338" s="8"/>
      <c r="I338" s="11" t="str">
        <f aca="false">IF(OR(F338="",G338=""),"",ROUND(F338*G338,0))</f>
        <v/>
      </c>
    </row>
    <row r="339" customFormat="false" ht="15" hidden="false" customHeight="false" outlineLevel="0" collapsed="false">
      <c r="A339" s="8"/>
      <c r="B339" s="10" t="str">
        <f aca="false">IF(A339="","",IFERROR(VLOOKUP(A339,DonHang!$A$2:$C$500,3,FALSE()),"mã đơn chưa có"))</f>
        <v/>
      </c>
      <c r="C339" s="8"/>
      <c r="D339" s="8"/>
      <c r="E339" s="8"/>
      <c r="F339" s="13"/>
      <c r="G339" s="14"/>
      <c r="H339" s="8"/>
      <c r="I339" s="11" t="str">
        <f aca="false">IF(OR(F339="",G339=""),"",ROUND(F339*G339,0))</f>
        <v/>
      </c>
    </row>
    <row r="340" customFormat="false" ht="15" hidden="false" customHeight="false" outlineLevel="0" collapsed="false">
      <c r="A340" s="8"/>
      <c r="B340" s="10" t="str">
        <f aca="false">IF(A340="","",IFERROR(VLOOKUP(A340,DonHang!$A$2:$C$500,3,FALSE()),"mã đơn chưa có"))</f>
        <v/>
      </c>
      <c r="C340" s="8"/>
      <c r="D340" s="8"/>
      <c r="E340" s="8"/>
      <c r="F340" s="13"/>
      <c r="G340" s="14"/>
      <c r="H340" s="8"/>
      <c r="I340" s="11" t="str">
        <f aca="false">IF(OR(F340="",G340=""),"",ROUND(F340*G340,0))</f>
        <v/>
      </c>
    </row>
    <row r="341" customFormat="false" ht="15" hidden="false" customHeight="false" outlineLevel="0" collapsed="false">
      <c r="A341" s="8"/>
      <c r="B341" s="10" t="str">
        <f aca="false">IF(A341="","",IFERROR(VLOOKUP(A341,DonHang!$A$2:$C$500,3,FALSE()),"mã đơn chưa có"))</f>
        <v/>
      </c>
      <c r="C341" s="8"/>
      <c r="D341" s="8"/>
      <c r="E341" s="8"/>
      <c r="F341" s="13"/>
      <c r="G341" s="14"/>
      <c r="H341" s="8"/>
      <c r="I341" s="11" t="str">
        <f aca="false">IF(OR(F341="",G341=""),"",ROUND(F341*G341,0))</f>
        <v/>
      </c>
    </row>
    <row r="342" customFormat="false" ht="15" hidden="false" customHeight="false" outlineLevel="0" collapsed="false">
      <c r="A342" s="8"/>
      <c r="B342" s="10" t="str">
        <f aca="false">IF(A342="","",IFERROR(VLOOKUP(A342,DonHang!$A$2:$C$500,3,FALSE()),"mã đơn chưa có"))</f>
        <v/>
      </c>
      <c r="C342" s="8"/>
      <c r="D342" s="8"/>
      <c r="E342" s="8"/>
      <c r="F342" s="13"/>
      <c r="G342" s="14"/>
      <c r="H342" s="8"/>
      <c r="I342" s="11" t="str">
        <f aca="false">IF(OR(F342="",G342=""),"",ROUND(F342*G342,0))</f>
        <v/>
      </c>
    </row>
    <row r="343" customFormat="false" ht="15" hidden="false" customHeight="false" outlineLevel="0" collapsed="false">
      <c r="A343" s="8"/>
      <c r="B343" s="10" t="str">
        <f aca="false">IF(A343="","",IFERROR(VLOOKUP(A343,DonHang!$A$2:$C$500,3,FALSE()),"mã đơn chưa có"))</f>
        <v/>
      </c>
      <c r="C343" s="8"/>
      <c r="D343" s="8"/>
      <c r="E343" s="8"/>
      <c r="F343" s="13"/>
      <c r="G343" s="14"/>
      <c r="H343" s="8"/>
      <c r="I343" s="11" t="str">
        <f aca="false">IF(OR(F343="",G343=""),"",ROUND(F343*G343,0))</f>
        <v/>
      </c>
    </row>
    <row r="344" customFormat="false" ht="15" hidden="false" customHeight="false" outlineLevel="0" collapsed="false">
      <c r="A344" s="8"/>
      <c r="B344" s="10" t="str">
        <f aca="false">IF(A344="","",IFERROR(VLOOKUP(A344,DonHang!$A$2:$C$500,3,FALSE()),"mã đơn chưa có"))</f>
        <v/>
      </c>
      <c r="C344" s="8"/>
      <c r="D344" s="8"/>
      <c r="E344" s="8"/>
      <c r="F344" s="13"/>
      <c r="G344" s="14"/>
      <c r="H344" s="8"/>
      <c r="I344" s="11" t="str">
        <f aca="false">IF(OR(F344="",G344=""),"",ROUND(F344*G344,0))</f>
        <v/>
      </c>
    </row>
    <row r="345" customFormat="false" ht="15" hidden="false" customHeight="false" outlineLevel="0" collapsed="false">
      <c r="A345" s="8"/>
      <c r="B345" s="10" t="str">
        <f aca="false">IF(A345="","",IFERROR(VLOOKUP(A345,DonHang!$A$2:$C$500,3,FALSE()),"mã đơn chưa có"))</f>
        <v/>
      </c>
      <c r="C345" s="8"/>
      <c r="D345" s="8"/>
      <c r="E345" s="8"/>
      <c r="F345" s="13"/>
      <c r="G345" s="14"/>
      <c r="H345" s="8"/>
      <c r="I345" s="11" t="str">
        <f aca="false">IF(OR(F345="",G345=""),"",ROUND(F345*G345,0))</f>
        <v/>
      </c>
    </row>
    <row r="346" customFormat="false" ht="15" hidden="false" customHeight="false" outlineLevel="0" collapsed="false">
      <c r="A346" s="8"/>
      <c r="B346" s="10" t="str">
        <f aca="false">IF(A346="","",IFERROR(VLOOKUP(A346,DonHang!$A$2:$C$500,3,FALSE()),"mã đơn chưa có"))</f>
        <v/>
      </c>
      <c r="C346" s="8"/>
      <c r="D346" s="8"/>
      <c r="E346" s="8"/>
      <c r="F346" s="13"/>
      <c r="G346" s="14"/>
      <c r="H346" s="8"/>
      <c r="I346" s="11" t="str">
        <f aca="false">IF(OR(F346="",G346=""),"",ROUND(F346*G346,0))</f>
        <v/>
      </c>
    </row>
    <row r="347" customFormat="false" ht="15" hidden="false" customHeight="false" outlineLevel="0" collapsed="false">
      <c r="A347" s="8"/>
      <c r="B347" s="10" t="str">
        <f aca="false">IF(A347="","",IFERROR(VLOOKUP(A347,DonHang!$A$2:$C$500,3,FALSE()),"mã đơn chưa có"))</f>
        <v/>
      </c>
      <c r="C347" s="8"/>
      <c r="D347" s="8"/>
      <c r="E347" s="8"/>
      <c r="F347" s="13"/>
      <c r="G347" s="14"/>
      <c r="H347" s="8"/>
      <c r="I347" s="11" t="str">
        <f aca="false">IF(OR(F347="",G347=""),"",ROUND(F347*G347,0))</f>
        <v/>
      </c>
    </row>
    <row r="348" customFormat="false" ht="15" hidden="false" customHeight="false" outlineLevel="0" collapsed="false">
      <c r="A348" s="8"/>
      <c r="B348" s="10" t="str">
        <f aca="false">IF(A348="","",IFERROR(VLOOKUP(A348,DonHang!$A$2:$C$500,3,FALSE()),"mã đơn chưa có"))</f>
        <v/>
      </c>
      <c r="C348" s="8"/>
      <c r="D348" s="8"/>
      <c r="E348" s="8"/>
      <c r="F348" s="13"/>
      <c r="G348" s="14"/>
      <c r="H348" s="8"/>
      <c r="I348" s="11" t="str">
        <f aca="false">IF(OR(F348="",G348=""),"",ROUND(F348*G348,0))</f>
        <v/>
      </c>
    </row>
    <row r="349" customFormat="false" ht="15" hidden="false" customHeight="false" outlineLevel="0" collapsed="false">
      <c r="A349" s="8"/>
      <c r="B349" s="10" t="str">
        <f aca="false">IF(A349="","",IFERROR(VLOOKUP(A349,DonHang!$A$2:$C$500,3,FALSE()),"mã đơn chưa có"))</f>
        <v/>
      </c>
      <c r="C349" s="8"/>
      <c r="D349" s="8"/>
      <c r="E349" s="8"/>
      <c r="F349" s="13"/>
      <c r="G349" s="14"/>
      <c r="H349" s="8"/>
      <c r="I349" s="11" t="str">
        <f aca="false">IF(OR(F349="",G349=""),"",ROUND(F349*G349,0))</f>
        <v/>
      </c>
    </row>
    <row r="350" customFormat="false" ht="15" hidden="false" customHeight="false" outlineLevel="0" collapsed="false">
      <c r="A350" s="8"/>
      <c r="B350" s="10" t="str">
        <f aca="false">IF(A350="","",IFERROR(VLOOKUP(A350,DonHang!$A$2:$C$500,3,FALSE()),"mã đơn chưa có"))</f>
        <v/>
      </c>
      <c r="C350" s="8"/>
      <c r="D350" s="8"/>
      <c r="E350" s="8"/>
      <c r="F350" s="13"/>
      <c r="G350" s="14"/>
      <c r="H350" s="8"/>
      <c r="I350" s="11" t="str">
        <f aca="false">IF(OR(F350="",G350=""),"",ROUND(F350*G350,0))</f>
        <v/>
      </c>
    </row>
    <row r="351" customFormat="false" ht="15" hidden="false" customHeight="false" outlineLevel="0" collapsed="false">
      <c r="A351" s="8"/>
      <c r="B351" s="10" t="str">
        <f aca="false">IF(A351="","",IFERROR(VLOOKUP(A351,DonHang!$A$2:$C$500,3,FALSE()),"mã đơn chưa có"))</f>
        <v/>
      </c>
      <c r="C351" s="8"/>
      <c r="D351" s="8"/>
      <c r="E351" s="8"/>
      <c r="F351" s="13"/>
      <c r="G351" s="14"/>
      <c r="H351" s="8"/>
      <c r="I351" s="11" t="str">
        <f aca="false">IF(OR(F351="",G351=""),"",ROUND(F351*G351,0))</f>
        <v/>
      </c>
    </row>
    <row r="352" customFormat="false" ht="15" hidden="false" customHeight="false" outlineLevel="0" collapsed="false">
      <c r="A352" s="8"/>
      <c r="B352" s="10" t="str">
        <f aca="false">IF(A352="","",IFERROR(VLOOKUP(A352,DonHang!$A$2:$C$500,3,FALSE()),"mã đơn chưa có"))</f>
        <v/>
      </c>
      <c r="C352" s="8"/>
      <c r="D352" s="8"/>
      <c r="E352" s="8"/>
      <c r="F352" s="13"/>
      <c r="G352" s="14"/>
      <c r="H352" s="8"/>
      <c r="I352" s="11" t="str">
        <f aca="false">IF(OR(F352="",G352=""),"",ROUND(F352*G352,0))</f>
        <v/>
      </c>
    </row>
    <row r="353" customFormat="false" ht="15" hidden="false" customHeight="false" outlineLevel="0" collapsed="false">
      <c r="A353" s="8"/>
      <c r="B353" s="10" t="str">
        <f aca="false">IF(A353="","",IFERROR(VLOOKUP(A353,DonHang!$A$2:$C$500,3,FALSE()),"mã đơn chưa có"))</f>
        <v/>
      </c>
      <c r="C353" s="8"/>
      <c r="D353" s="8"/>
      <c r="E353" s="8"/>
      <c r="F353" s="13"/>
      <c r="G353" s="14"/>
      <c r="H353" s="8"/>
      <c r="I353" s="11" t="str">
        <f aca="false">IF(OR(F353="",G353=""),"",ROUND(F353*G353,0))</f>
        <v/>
      </c>
    </row>
    <row r="354" customFormat="false" ht="15" hidden="false" customHeight="false" outlineLevel="0" collapsed="false">
      <c r="A354" s="8"/>
      <c r="B354" s="10" t="str">
        <f aca="false">IF(A354="","",IFERROR(VLOOKUP(A354,DonHang!$A$2:$C$500,3,FALSE()),"mã đơn chưa có"))</f>
        <v/>
      </c>
      <c r="C354" s="8"/>
      <c r="D354" s="8"/>
      <c r="E354" s="8"/>
      <c r="F354" s="13"/>
      <c r="G354" s="14"/>
      <c r="H354" s="8"/>
      <c r="I354" s="11" t="str">
        <f aca="false">IF(OR(F354="",G354=""),"",ROUND(F354*G354,0))</f>
        <v/>
      </c>
    </row>
    <row r="355" customFormat="false" ht="15" hidden="false" customHeight="false" outlineLevel="0" collapsed="false">
      <c r="A355" s="8"/>
      <c r="B355" s="10" t="str">
        <f aca="false">IF(A355="","",IFERROR(VLOOKUP(A355,DonHang!$A$2:$C$500,3,FALSE()),"mã đơn chưa có"))</f>
        <v/>
      </c>
      <c r="C355" s="8"/>
      <c r="D355" s="8"/>
      <c r="E355" s="8"/>
      <c r="F355" s="13"/>
      <c r="G355" s="14"/>
      <c r="H355" s="8"/>
      <c r="I355" s="11" t="str">
        <f aca="false">IF(OR(F355="",G355=""),"",ROUND(F355*G355,0))</f>
        <v/>
      </c>
    </row>
    <row r="356" customFormat="false" ht="15" hidden="false" customHeight="false" outlineLevel="0" collapsed="false">
      <c r="A356" s="8"/>
      <c r="B356" s="10" t="str">
        <f aca="false">IF(A356="","",IFERROR(VLOOKUP(A356,DonHang!$A$2:$C$500,3,FALSE()),"mã đơn chưa có"))</f>
        <v/>
      </c>
      <c r="C356" s="8"/>
      <c r="D356" s="8"/>
      <c r="E356" s="8"/>
      <c r="F356" s="13"/>
      <c r="G356" s="14"/>
      <c r="H356" s="8"/>
      <c r="I356" s="11" t="str">
        <f aca="false">IF(OR(F356="",G356=""),"",ROUND(F356*G356,0))</f>
        <v/>
      </c>
    </row>
    <row r="357" customFormat="false" ht="15" hidden="false" customHeight="false" outlineLevel="0" collapsed="false">
      <c r="A357" s="8"/>
      <c r="B357" s="10" t="str">
        <f aca="false">IF(A357="","",IFERROR(VLOOKUP(A357,DonHang!$A$2:$C$500,3,FALSE()),"mã đơn chưa có"))</f>
        <v/>
      </c>
      <c r="C357" s="8"/>
      <c r="D357" s="8"/>
      <c r="E357" s="8"/>
      <c r="F357" s="13"/>
      <c r="G357" s="14"/>
      <c r="H357" s="8"/>
      <c r="I357" s="11" t="str">
        <f aca="false">IF(OR(F357="",G357=""),"",ROUND(F357*G357,0))</f>
        <v/>
      </c>
    </row>
    <row r="358" customFormat="false" ht="15" hidden="false" customHeight="false" outlineLevel="0" collapsed="false">
      <c r="A358" s="8"/>
      <c r="B358" s="10" t="str">
        <f aca="false">IF(A358="","",IFERROR(VLOOKUP(A358,DonHang!$A$2:$C$500,3,FALSE()),"mã đơn chưa có"))</f>
        <v/>
      </c>
      <c r="C358" s="8"/>
      <c r="D358" s="8"/>
      <c r="E358" s="8"/>
      <c r="F358" s="13"/>
      <c r="G358" s="14"/>
      <c r="H358" s="8"/>
      <c r="I358" s="11" t="str">
        <f aca="false">IF(OR(F358="",G358=""),"",ROUND(F358*G358,0))</f>
        <v/>
      </c>
    </row>
    <row r="359" customFormat="false" ht="15" hidden="false" customHeight="false" outlineLevel="0" collapsed="false">
      <c r="A359" s="8"/>
      <c r="B359" s="10" t="str">
        <f aca="false">IF(A359="","",IFERROR(VLOOKUP(A359,DonHang!$A$2:$C$500,3,FALSE()),"mã đơn chưa có"))</f>
        <v/>
      </c>
      <c r="C359" s="8"/>
      <c r="D359" s="8"/>
      <c r="E359" s="8"/>
      <c r="F359" s="13"/>
      <c r="G359" s="14"/>
      <c r="H359" s="8"/>
      <c r="I359" s="11" t="str">
        <f aca="false">IF(OR(F359="",G359=""),"",ROUND(F359*G359,0))</f>
        <v/>
      </c>
    </row>
    <row r="360" customFormat="false" ht="15" hidden="false" customHeight="false" outlineLevel="0" collapsed="false">
      <c r="A360" s="8"/>
      <c r="B360" s="10" t="str">
        <f aca="false">IF(A360="","",IFERROR(VLOOKUP(A360,DonHang!$A$2:$C$500,3,FALSE()),"mã đơn chưa có"))</f>
        <v/>
      </c>
      <c r="C360" s="8"/>
      <c r="D360" s="8"/>
      <c r="E360" s="8"/>
      <c r="F360" s="13"/>
      <c r="G360" s="14"/>
      <c r="H360" s="8"/>
      <c r="I360" s="11" t="str">
        <f aca="false">IF(OR(F360="",G360=""),"",ROUND(F360*G360,0))</f>
        <v/>
      </c>
    </row>
    <row r="361" customFormat="false" ht="15" hidden="false" customHeight="false" outlineLevel="0" collapsed="false">
      <c r="A361" s="8"/>
      <c r="B361" s="10" t="str">
        <f aca="false">IF(A361="","",IFERROR(VLOOKUP(A361,DonHang!$A$2:$C$500,3,FALSE()),"mã đơn chưa có"))</f>
        <v/>
      </c>
      <c r="C361" s="8"/>
      <c r="D361" s="8"/>
      <c r="E361" s="8"/>
      <c r="F361" s="13"/>
      <c r="G361" s="14"/>
      <c r="H361" s="8"/>
      <c r="I361" s="11" t="str">
        <f aca="false">IF(OR(F361="",G361=""),"",ROUND(F361*G361,0))</f>
        <v/>
      </c>
    </row>
    <row r="362" customFormat="false" ht="15" hidden="false" customHeight="false" outlineLevel="0" collapsed="false">
      <c r="A362" s="8"/>
      <c r="B362" s="10" t="str">
        <f aca="false">IF(A362="","",IFERROR(VLOOKUP(A362,DonHang!$A$2:$C$500,3,FALSE()),"mã đơn chưa có"))</f>
        <v/>
      </c>
      <c r="C362" s="8"/>
      <c r="D362" s="8"/>
      <c r="E362" s="8"/>
      <c r="F362" s="13"/>
      <c r="G362" s="14"/>
      <c r="H362" s="8"/>
      <c r="I362" s="11" t="str">
        <f aca="false">IF(OR(F362="",G362=""),"",ROUND(F362*G362,0))</f>
        <v/>
      </c>
    </row>
    <row r="363" customFormat="false" ht="15" hidden="false" customHeight="false" outlineLevel="0" collapsed="false">
      <c r="A363" s="8"/>
      <c r="B363" s="10" t="str">
        <f aca="false">IF(A363="","",IFERROR(VLOOKUP(A363,DonHang!$A$2:$C$500,3,FALSE()),"mã đơn chưa có"))</f>
        <v/>
      </c>
      <c r="C363" s="8"/>
      <c r="D363" s="8"/>
      <c r="E363" s="8"/>
      <c r="F363" s="13"/>
      <c r="G363" s="14"/>
      <c r="H363" s="8"/>
      <c r="I363" s="11" t="str">
        <f aca="false">IF(OR(F363="",G363=""),"",ROUND(F363*G363,0))</f>
        <v/>
      </c>
    </row>
    <row r="364" customFormat="false" ht="15" hidden="false" customHeight="false" outlineLevel="0" collapsed="false">
      <c r="A364" s="8"/>
      <c r="B364" s="10" t="str">
        <f aca="false">IF(A364="","",IFERROR(VLOOKUP(A364,DonHang!$A$2:$C$500,3,FALSE()),"mã đơn chưa có"))</f>
        <v/>
      </c>
      <c r="C364" s="8"/>
      <c r="D364" s="8"/>
      <c r="E364" s="8"/>
      <c r="F364" s="13"/>
      <c r="G364" s="14"/>
      <c r="H364" s="8"/>
      <c r="I364" s="11" t="str">
        <f aca="false">IF(OR(F364="",G364=""),"",ROUND(F364*G364,0))</f>
        <v/>
      </c>
    </row>
    <row r="365" customFormat="false" ht="15" hidden="false" customHeight="false" outlineLevel="0" collapsed="false">
      <c r="A365" s="8"/>
      <c r="B365" s="10" t="str">
        <f aca="false">IF(A365="","",IFERROR(VLOOKUP(A365,DonHang!$A$2:$C$500,3,FALSE()),"mã đơn chưa có"))</f>
        <v/>
      </c>
      <c r="C365" s="8"/>
      <c r="D365" s="8"/>
      <c r="E365" s="8"/>
      <c r="F365" s="13"/>
      <c r="G365" s="14"/>
      <c r="H365" s="8"/>
      <c r="I365" s="11" t="str">
        <f aca="false">IF(OR(F365="",G365=""),"",ROUND(F365*G365,0))</f>
        <v/>
      </c>
    </row>
    <row r="366" customFormat="false" ht="15" hidden="false" customHeight="false" outlineLevel="0" collapsed="false">
      <c r="A366" s="8"/>
      <c r="B366" s="10" t="str">
        <f aca="false">IF(A366="","",IFERROR(VLOOKUP(A366,DonHang!$A$2:$C$500,3,FALSE()),"mã đơn chưa có"))</f>
        <v/>
      </c>
      <c r="C366" s="8"/>
      <c r="D366" s="8"/>
      <c r="E366" s="8"/>
      <c r="F366" s="13"/>
      <c r="G366" s="14"/>
      <c r="H366" s="8"/>
      <c r="I366" s="11" t="str">
        <f aca="false">IF(OR(F366="",G366=""),"",ROUND(F366*G366,0))</f>
        <v/>
      </c>
    </row>
    <row r="367" customFormat="false" ht="15" hidden="false" customHeight="false" outlineLevel="0" collapsed="false">
      <c r="A367" s="8"/>
      <c r="B367" s="10" t="str">
        <f aca="false">IF(A367="","",IFERROR(VLOOKUP(A367,DonHang!$A$2:$C$500,3,FALSE()),"mã đơn chưa có"))</f>
        <v/>
      </c>
      <c r="C367" s="8"/>
      <c r="D367" s="8"/>
      <c r="E367" s="8"/>
      <c r="F367" s="13"/>
      <c r="G367" s="14"/>
      <c r="H367" s="8"/>
      <c r="I367" s="11" t="str">
        <f aca="false">IF(OR(F367="",G367=""),"",ROUND(F367*G367,0))</f>
        <v/>
      </c>
    </row>
    <row r="368" customFormat="false" ht="15" hidden="false" customHeight="false" outlineLevel="0" collapsed="false">
      <c r="A368" s="8"/>
      <c r="B368" s="10" t="str">
        <f aca="false">IF(A368="","",IFERROR(VLOOKUP(A368,DonHang!$A$2:$C$500,3,FALSE()),"mã đơn chưa có"))</f>
        <v/>
      </c>
      <c r="C368" s="8"/>
      <c r="D368" s="8"/>
      <c r="E368" s="8"/>
      <c r="F368" s="13"/>
      <c r="G368" s="14"/>
      <c r="H368" s="8"/>
      <c r="I368" s="11" t="str">
        <f aca="false">IF(OR(F368="",G368=""),"",ROUND(F368*G368,0))</f>
        <v/>
      </c>
    </row>
    <row r="369" customFormat="false" ht="15" hidden="false" customHeight="false" outlineLevel="0" collapsed="false">
      <c r="A369" s="8"/>
      <c r="B369" s="10" t="str">
        <f aca="false">IF(A369="","",IFERROR(VLOOKUP(A369,DonHang!$A$2:$C$500,3,FALSE()),"mã đơn chưa có"))</f>
        <v/>
      </c>
      <c r="C369" s="8"/>
      <c r="D369" s="8"/>
      <c r="E369" s="8"/>
      <c r="F369" s="13"/>
      <c r="G369" s="14"/>
      <c r="H369" s="8"/>
      <c r="I369" s="11" t="str">
        <f aca="false">IF(OR(F369="",G369=""),"",ROUND(F369*G369,0))</f>
        <v/>
      </c>
    </row>
    <row r="370" customFormat="false" ht="15" hidden="false" customHeight="false" outlineLevel="0" collapsed="false">
      <c r="A370" s="8"/>
      <c r="B370" s="10" t="str">
        <f aca="false">IF(A370="","",IFERROR(VLOOKUP(A370,DonHang!$A$2:$C$500,3,FALSE()),"mã đơn chưa có"))</f>
        <v/>
      </c>
      <c r="C370" s="8"/>
      <c r="D370" s="8"/>
      <c r="E370" s="8"/>
      <c r="F370" s="13"/>
      <c r="G370" s="14"/>
      <c r="H370" s="8"/>
      <c r="I370" s="11" t="str">
        <f aca="false">IF(OR(F370="",G370=""),"",ROUND(F370*G370,0))</f>
        <v/>
      </c>
    </row>
    <row r="371" customFormat="false" ht="15" hidden="false" customHeight="false" outlineLevel="0" collapsed="false">
      <c r="A371" s="8"/>
      <c r="B371" s="10" t="str">
        <f aca="false">IF(A371="","",IFERROR(VLOOKUP(A371,DonHang!$A$2:$C$500,3,FALSE()),"mã đơn chưa có"))</f>
        <v/>
      </c>
      <c r="C371" s="8"/>
      <c r="D371" s="8"/>
      <c r="E371" s="8"/>
      <c r="F371" s="13"/>
      <c r="G371" s="14"/>
      <c r="H371" s="8"/>
      <c r="I371" s="11" t="str">
        <f aca="false">IF(OR(F371="",G371=""),"",ROUND(F371*G371,0))</f>
        <v/>
      </c>
    </row>
    <row r="372" customFormat="false" ht="15" hidden="false" customHeight="false" outlineLevel="0" collapsed="false">
      <c r="A372" s="8"/>
      <c r="B372" s="10" t="str">
        <f aca="false">IF(A372="","",IFERROR(VLOOKUP(A372,DonHang!$A$2:$C$500,3,FALSE()),"mã đơn chưa có"))</f>
        <v/>
      </c>
      <c r="C372" s="8"/>
      <c r="D372" s="8"/>
      <c r="E372" s="8"/>
      <c r="F372" s="13"/>
      <c r="G372" s="14"/>
      <c r="H372" s="8"/>
      <c r="I372" s="11" t="str">
        <f aca="false">IF(OR(F372="",G372=""),"",ROUND(F372*G372,0))</f>
        <v/>
      </c>
    </row>
    <row r="373" customFormat="false" ht="15" hidden="false" customHeight="false" outlineLevel="0" collapsed="false">
      <c r="A373" s="8"/>
      <c r="B373" s="10" t="str">
        <f aca="false">IF(A373="","",IFERROR(VLOOKUP(A373,DonHang!$A$2:$C$500,3,FALSE()),"mã đơn chưa có"))</f>
        <v/>
      </c>
      <c r="C373" s="8"/>
      <c r="D373" s="8"/>
      <c r="E373" s="8"/>
      <c r="F373" s="13"/>
      <c r="G373" s="14"/>
      <c r="H373" s="8"/>
      <c r="I373" s="11" t="str">
        <f aca="false">IF(OR(F373="",G373=""),"",ROUND(F373*G373,0))</f>
        <v/>
      </c>
    </row>
    <row r="374" customFormat="false" ht="15" hidden="false" customHeight="false" outlineLevel="0" collapsed="false">
      <c r="A374" s="8"/>
      <c r="B374" s="10" t="str">
        <f aca="false">IF(A374="","",IFERROR(VLOOKUP(A374,DonHang!$A$2:$C$500,3,FALSE()),"mã đơn chưa có"))</f>
        <v/>
      </c>
      <c r="C374" s="8"/>
      <c r="D374" s="8"/>
      <c r="E374" s="8"/>
      <c r="F374" s="13"/>
      <c r="G374" s="14"/>
      <c r="H374" s="8"/>
      <c r="I374" s="11" t="str">
        <f aca="false">IF(OR(F374="",G374=""),"",ROUND(F374*G374,0))</f>
        <v/>
      </c>
    </row>
    <row r="375" customFormat="false" ht="15" hidden="false" customHeight="false" outlineLevel="0" collapsed="false">
      <c r="A375" s="8"/>
      <c r="B375" s="10" t="str">
        <f aca="false">IF(A375="","",IFERROR(VLOOKUP(A375,DonHang!$A$2:$C$500,3,FALSE()),"mã đơn chưa có"))</f>
        <v/>
      </c>
      <c r="C375" s="8"/>
      <c r="D375" s="8"/>
      <c r="E375" s="8"/>
      <c r="F375" s="13"/>
      <c r="G375" s="14"/>
      <c r="H375" s="8"/>
      <c r="I375" s="11" t="str">
        <f aca="false">IF(OR(F375="",G375=""),"",ROUND(F375*G375,0))</f>
        <v/>
      </c>
    </row>
    <row r="376" customFormat="false" ht="15" hidden="false" customHeight="false" outlineLevel="0" collapsed="false">
      <c r="A376" s="8"/>
      <c r="B376" s="10" t="str">
        <f aca="false">IF(A376="","",IFERROR(VLOOKUP(A376,DonHang!$A$2:$C$500,3,FALSE()),"mã đơn chưa có"))</f>
        <v/>
      </c>
      <c r="C376" s="8"/>
      <c r="D376" s="8"/>
      <c r="E376" s="8"/>
      <c r="F376" s="13"/>
      <c r="G376" s="14"/>
      <c r="H376" s="8"/>
      <c r="I376" s="11" t="str">
        <f aca="false">IF(OR(F376="",G376=""),"",ROUND(F376*G376,0))</f>
        <v/>
      </c>
    </row>
    <row r="377" customFormat="false" ht="15" hidden="false" customHeight="false" outlineLevel="0" collapsed="false">
      <c r="A377" s="8"/>
      <c r="B377" s="10" t="str">
        <f aca="false">IF(A377="","",IFERROR(VLOOKUP(A377,DonHang!$A$2:$C$500,3,FALSE()),"mã đơn chưa có"))</f>
        <v/>
      </c>
      <c r="C377" s="8"/>
      <c r="D377" s="8"/>
      <c r="E377" s="8"/>
      <c r="F377" s="13"/>
      <c r="G377" s="14"/>
      <c r="H377" s="8"/>
      <c r="I377" s="11" t="str">
        <f aca="false">IF(OR(F377="",G377=""),"",ROUND(F377*G377,0))</f>
        <v/>
      </c>
    </row>
    <row r="378" customFormat="false" ht="15" hidden="false" customHeight="false" outlineLevel="0" collapsed="false">
      <c r="A378" s="8"/>
      <c r="B378" s="10" t="str">
        <f aca="false">IF(A378="","",IFERROR(VLOOKUP(A378,DonHang!$A$2:$C$500,3,FALSE()),"mã đơn chưa có"))</f>
        <v/>
      </c>
      <c r="C378" s="8"/>
      <c r="D378" s="8"/>
      <c r="E378" s="8"/>
      <c r="F378" s="13"/>
      <c r="G378" s="14"/>
      <c r="H378" s="8"/>
      <c r="I378" s="11" t="str">
        <f aca="false">IF(OR(F378="",G378=""),"",ROUND(F378*G378,0))</f>
        <v/>
      </c>
    </row>
    <row r="379" customFormat="false" ht="15" hidden="false" customHeight="false" outlineLevel="0" collapsed="false">
      <c r="A379" s="8"/>
      <c r="B379" s="10" t="str">
        <f aca="false">IF(A379="","",IFERROR(VLOOKUP(A379,DonHang!$A$2:$C$500,3,FALSE()),"mã đơn chưa có"))</f>
        <v/>
      </c>
      <c r="C379" s="8"/>
      <c r="D379" s="8"/>
      <c r="E379" s="8"/>
      <c r="F379" s="13"/>
      <c r="G379" s="14"/>
      <c r="H379" s="8"/>
      <c r="I379" s="11" t="str">
        <f aca="false">IF(OR(F379="",G379=""),"",ROUND(F379*G379,0))</f>
        <v/>
      </c>
    </row>
    <row r="380" customFormat="false" ht="15" hidden="false" customHeight="false" outlineLevel="0" collapsed="false">
      <c r="A380" s="8"/>
      <c r="B380" s="10" t="str">
        <f aca="false">IF(A380="","",IFERROR(VLOOKUP(A380,DonHang!$A$2:$C$500,3,FALSE()),"mã đơn chưa có"))</f>
        <v/>
      </c>
      <c r="C380" s="8"/>
      <c r="D380" s="8"/>
      <c r="E380" s="8"/>
      <c r="F380" s="13"/>
      <c r="G380" s="14"/>
      <c r="H380" s="8"/>
      <c r="I380" s="11" t="str">
        <f aca="false">IF(OR(F380="",G380=""),"",ROUND(F380*G380,0))</f>
        <v/>
      </c>
    </row>
    <row r="381" customFormat="false" ht="15" hidden="false" customHeight="false" outlineLevel="0" collapsed="false">
      <c r="A381" s="8"/>
      <c r="B381" s="10" t="str">
        <f aca="false">IF(A381="","",IFERROR(VLOOKUP(A381,DonHang!$A$2:$C$500,3,FALSE()),"mã đơn chưa có"))</f>
        <v/>
      </c>
      <c r="C381" s="8"/>
      <c r="D381" s="8"/>
      <c r="E381" s="8"/>
      <c r="F381" s="13"/>
      <c r="G381" s="14"/>
      <c r="H381" s="8"/>
      <c r="I381" s="11" t="str">
        <f aca="false">IF(OR(F381="",G381=""),"",ROUND(F381*G381,0))</f>
        <v/>
      </c>
    </row>
    <row r="382" customFormat="false" ht="15" hidden="false" customHeight="false" outlineLevel="0" collapsed="false">
      <c r="A382" s="8"/>
      <c r="B382" s="10" t="str">
        <f aca="false">IF(A382="","",IFERROR(VLOOKUP(A382,DonHang!$A$2:$C$500,3,FALSE()),"mã đơn chưa có"))</f>
        <v/>
      </c>
      <c r="C382" s="8"/>
      <c r="D382" s="8"/>
      <c r="E382" s="8"/>
      <c r="F382" s="13"/>
      <c r="G382" s="14"/>
      <c r="H382" s="8"/>
      <c r="I382" s="11" t="str">
        <f aca="false">IF(OR(F382="",G382=""),"",ROUND(F382*G382,0))</f>
        <v/>
      </c>
    </row>
    <row r="383" customFormat="false" ht="15" hidden="false" customHeight="false" outlineLevel="0" collapsed="false">
      <c r="A383" s="8"/>
      <c r="B383" s="10" t="str">
        <f aca="false">IF(A383="","",IFERROR(VLOOKUP(A383,DonHang!$A$2:$C$500,3,FALSE()),"mã đơn chưa có"))</f>
        <v/>
      </c>
      <c r="C383" s="8"/>
      <c r="D383" s="8"/>
      <c r="E383" s="8"/>
      <c r="F383" s="13"/>
      <c r="G383" s="14"/>
      <c r="H383" s="8"/>
      <c r="I383" s="11" t="str">
        <f aca="false">IF(OR(F383="",G383=""),"",ROUND(F383*G383,0))</f>
        <v/>
      </c>
    </row>
    <row r="384" customFormat="false" ht="15" hidden="false" customHeight="false" outlineLevel="0" collapsed="false">
      <c r="A384" s="8"/>
      <c r="B384" s="10" t="str">
        <f aca="false">IF(A384="","",IFERROR(VLOOKUP(A384,DonHang!$A$2:$C$500,3,FALSE()),"mã đơn chưa có"))</f>
        <v/>
      </c>
      <c r="C384" s="8"/>
      <c r="D384" s="8"/>
      <c r="E384" s="8"/>
      <c r="F384" s="13"/>
      <c r="G384" s="14"/>
      <c r="H384" s="8"/>
      <c r="I384" s="11" t="str">
        <f aca="false">IF(OR(F384="",G384=""),"",ROUND(F384*G384,0))</f>
        <v/>
      </c>
    </row>
    <row r="385" customFormat="false" ht="15" hidden="false" customHeight="false" outlineLevel="0" collapsed="false">
      <c r="A385" s="8"/>
      <c r="B385" s="10" t="str">
        <f aca="false">IF(A385="","",IFERROR(VLOOKUP(A385,DonHang!$A$2:$C$500,3,FALSE()),"mã đơn chưa có"))</f>
        <v/>
      </c>
      <c r="C385" s="8"/>
      <c r="D385" s="8"/>
      <c r="E385" s="8"/>
      <c r="F385" s="13"/>
      <c r="G385" s="14"/>
      <c r="H385" s="8"/>
      <c r="I385" s="11" t="str">
        <f aca="false">IF(OR(F385="",G385=""),"",ROUND(F385*G385,0))</f>
        <v/>
      </c>
    </row>
    <row r="386" customFormat="false" ht="15" hidden="false" customHeight="false" outlineLevel="0" collapsed="false">
      <c r="A386" s="8"/>
      <c r="B386" s="10" t="str">
        <f aca="false">IF(A386="","",IFERROR(VLOOKUP(A386,DonHang!$A$2:$C$500,3,FALSE()),"mã đơn chưa có"))</f>
        <v/>
      </c>
      <c r="C386" s="8"/>
      <c r="D386" s="8"/>
      <c r="E386" s="8"/>
      <c r="F386" s="13"/>
      <c r="G386" s="14"/>
      <c r="H386" s="8"/>
      <c r="I386" s="11" t="str">
        <f aca="false">IF(OR(F386="",G386=""),"",ROUND(F386*G386,0))</f>
        <v/>
      </c>
    </row>
    <row r="387" customFormat="false" ht="15" hidden="false" customHeight="false" outlineLevel="0" collapsed="false">
      <c r="A387" s="8"/>
      <c r="B387" s="10" t="str">
        <f aca="false">IF(A387="","",IFERROR(VLOOKUP(A387,DonHang!$A$2:$C$500,3,FALSE()),"mã đơn chưa có"))</f>
        <v/>
      </c>
      <c r="C387" s="8"/>
      <c r="D387" s="8"/>
      <c r="E387" s="8"/>
      <c r="F387" s="13"/>
      <c r="G387" s="14"/>
      <c r="H387" s="8"/>
      <c r="I387" s="11" t="str">
        <f aca="false">IF(OR(F387="",G387=""),"",ROUND(F387*G387,0))</f>
        <v/>
      </c>
    </row>
    <row r="388" customFormat="false" ht="15" hidden="false" customHeight="false" outlineLevel="0" collapsed="false">
      <c r="A388" s="8"/>
      <c r="B388" s="10" t="str">
        <f aca="false">IF(A388="","",IFERROR(VLOOKUP(A388,DonHang!$A$2:$C$500,3,FALSE()),"mã đơn chưa có"))</f>
        <v/>
      </c>
      <c r="C388" s="8"/>
      <c r="D388" s="8"/>
      <c r="E388" s="8"/>
      <c r="F388" s="13"/>
      <c r="G388" s="14"/>
      <c r="H388" s="8"/>
      <c r="I388" s="11" t="str">
        <f aca="false">IF(OR(F388="",G388=""),"",ROUND(F388*G388,0))</f>
        <v/>
      </c>
    </row>
    <row r="389" customFormat="false" ht="15" hidden="false" customHeight="false" outlineLevel="0" collapsed="false">
      <c r="A389" s="8"/>
      <c r="B389" s="10" t="str">
        <f aca="false">IF(A389="","",IFERROR(VLOOKUP(A389,DonHang!$A$2:$C$500,3,FALSE()),"mã đơn chưa có"))</f>
        <v/>
      </c>
      <c r="C389" s="8"/>
      <c r="D389" s="8"/>
      <c r="E389" s="8"/>
      <c r="F389" s="13"/>
      <c r="G389" s="14"/>
      <c r="H389" s="8"/>
      <c r="I389" s="11" t="str">
        <f aca="false">IF(OR(F389="",G389=""),"",ROUND(F389*G389,0))</f>
        <v/>
      </c>
    </row>
    <row r="390" customFormat="false" ht="15" hidden="false" customHeight="false" outlineLevel="0" collapsed="false">
      <c r="A390" s="8"/>
      <c r="B390" s="10" t="str">
        <f aca="false">IF(A390="","",IFERROR(VLOOKUP(A390,DonHang!$A$2:$C$500,3,FALSE()),"mã đơn chưa có"))</f>
        <v/>
      </c>
      <c r="C390" s="8"/>
      <c r="D390" s="8"/>
      <c r="E390" s="8"/>
      <c r="F390" s="13"/>
      <c r="G390" s="14"/>
      <c r="H390" s="8"/>
      <c r="I390" s="11" t="str">
        <f aca="false">IF(OR(F390="",G390=""),"",ROUND(F390*G390,0))</f>
        <v/>
      </c>
    </row>
    <row r="391" customFormat="false" ht="15" hidden="false" customHeight="false" outlineLevel="0" collapsed="false">
      <c r="A391" s="8"/>
      <c r="B391" s="10" t="str">
        <f aca="false">IF(A391="","",IFERROR(VLOOKUP(A391,DonHang!$A$2:$C$500,3,FALSE()),"mã đơn chưa có"))</f>
        <v/>
      </c>
      <c r="C391" s="8"/>
      <c r="D391" s="8"/>
      <c r="E391" s="8"/>
      <c r="F391" s="13"/>
      <c r="G391" s="14"/>
      <c r="H391" s="8"/>
      <c r="I391" s="11" t="str">
        <f aca="false">IF(OR(F391="",G391=""),"",ROUND(F391*G391,0))</f>
        <v/>
      </c>
    </row>
    <row r="392" customFormat="false" ht="15" hidden="false" customHeight="false" outlineLevel="0" collapsed="false">
      <c r="A392" s="8"/>
      <c r="B392" s="10" t="str">
        <f aca="false">IF(A392="","",IFERROR(VLOOKUP(A392,DonHang!$A$2:$C$500,3,FALSE()),"mã đơn chưa có"))</f>
        <v/>
      </c>
      <c r="C392" s="8"/>
      <c r="D392" s="8"/>
      <c r="E392" s="8"/>
      <c r="F392" s="13"/>
      <c r="G392" s="14"/>
      <c r="H392" s="8"/>
      <c r="I392" s="11" t="str">
        <f aca="false">IF(OR(F392="",G392=""),"",ROUND(F392*G392,0))</f>
        <v/>
      </c>
    </row>
    <row r="393" customFormat="false" ht="15" hidden="false" customHeight="false" outlineLevel="0" collapsed="false">
      <c r="A393" s="8"/>
      <c r="B393" s="10" t="str">
        <f aca="false">IF(A393="","",IFERROR(VLOOKUP(A393,DonHang!$A$2:$C$500,3,FALSE()),"mã đơn chưa có"))</f>
        <v/>
      </c>
      <c r="C393" s="8"/>
      <c r="D393" s="8"/>
      <c r="E393" s="8"/>
      <c r="F393" s="13"/>
      <c r="G393" s="14"/>
      <c r="H393" s="8"/>
      <c r="I393" s="11" t="str">
        <f aca="false">IF(OR(F393="",G393=""),"",ROUND(F393*G393,0))</f>
        <v/>
      </c>
    </row>
    <row r="394" customFormat="false" ht="15" hidden="false" customHeight="false" outlineLevel="0" collapsed="false">
      <c r="A394" s="8"/>
      <c r="B394" s="10" t="str">
        <f aca="false">IF(A394="","",IFERROR(VLOOKUP(A394,DonHang!$A$2:$C$500,3,FALSE()),"mã đơn chưa có"))</f>
        <v/>
      </c>
      <c r="C394" s="8"/>
      <c r="D394" s="8"/>
      <c r="E394" s="8"/>
      <c r="F394" s="13"/>
      <c r="G394" s="14"/>
      <c r="H394" s="8"/>
      <c r="I394" s="11" t="str">
        <f aca="false">IF(OR(F394="",G394=""),"",ROUND(F394*G394,0))</f>
        <v/>
      </c>
    </row>
    <row r="395" customFormat="false" ht="15" hidden="false" customHeight="false" outlineLevel="0" collapsed="false">
      <c r="A395" s="8"/>
      <c r="B395" s="10" t="str">
        <f aca="false">IF(A395="","",IFERROR(VLOOKUP(A395,DonHang!$A$2:$C$500,3,FALSE()),"mã đơn chưa có"))</f>
        <v/>
      </c>
      <c r="C395" s="8"/>
      <c r="D395" s="8"/>
      <c r="E395" s="8"/>
      <c r="F395" s="13"/>
      <c r="G395" s="14"/>
      <c r="H395" s="8"/>
      <c r="I395" s="11" t="str">
        <f aca="false">IF(OR(F395="",G395=""),"",ROUND(F395*G395,0))</f>
        <v/>
      </c>
    </row>
    <row r="396" customFormat="false" ht="15" hidden="false" customHeight="false" outlineLevel="0" collapsed="false">
      <c r="A396" s="8"/>
      <c r="B396" s="10" t="str">
        <f aca="false">IF(A396="","",IFERROR(VLOOKUP(A396,DonHang!$A$2:$C$500,3,FALSE()),"mã đơn chưa có"))</f>
        <v/>
      </c>
      <c r="C396" s="8"/>
      <c r="D396" s="8"/>
      <c r="E396" s="8"/>
      <c r="F396" s="13"/>
      <c r="G396" s="14"/>
      <c r="H396" s="8"/>
      <c r="I396" s="11" t="str">
        <f aca="false">IF(OR(F396="",G396=""),"",ROUND(F396*G396,0))</f>
        <v/>
      </c>
    </row>
    <row r="397" customFormat="false" ht="15" hidden="false" customHeight="false" outlineLevel="0" collapsed="false">
      <c r="A397" s="8"/>
      <c r="B397" s="10" t="str">
        <f aca="false">IF(A397="","",IFERROR(VLOOKUP(A397,DonHang!$A$2:$C$500,3,FALSE()),"mã đơn chưa có"))</f>
        <v/>
      </c>
      <c r="C397" s="8"/>
      <c r="D397" s="8"/>
      <c r="E397" s="8"/>
      <c r="F397" s="13"/>
      <c r="G397" s="14"/>
      <c r="H397" s="8"/>
      <c r="I397" s="11" t="str">
        <f aca="false">IF(OR(F397="",G397=""),"",ROUND(F397*G397,0))</f>
        <v/>
      </c>
    </row>
    <row r="398" customFormat="false" ht="15" hidden="false" customHeight="false" outlineLevel="0" collapsed="false">
      <c r="A398" s="8"/>
      <c r="B398" s="10" t="str">
        <f aca="false">IF(A398="","",IFERROR(VLOOKUP(A398,DonHang!$A$2:$C$500,3,FALSE()),"mã đơn chưa có"))</f>
        <v/>
      </c>
      <c r="C398" s="8"/>
      <c r="D398" s="8"/>
      <c r="E398" s="8"/>
      <c r="F398" s="13"/>
      <c r="G398" s="14"/>
      <c r="H398" s="8"/>
      <c r="I398" s="11" t="str">
        <f aca="false">IF(OR(F398="",G398=""),"",ROUND(F398*G398,0))</f>
        <v/>
      </c>
    </row>
    <row r="399" customFormat="false" ht="15" hidden="false" customHeight="false" outlineLevel="0" collapsed="false">
      <c r="A399" s="8"/>
      <c r="B399" s="10" t="str">
        <f aca="false">IF(A399="","",IFERROR(VLOOKUP(A399,DonHang!$A$2:$C$500,3,FALSE()),"mã đơn chưa có"))</f>
        <v/>
      </c>
      <c r="C399" s="8"/>
      <c r="D399" s="8"/>
      <c r="E399" s="8"/>
      <c r="F399" s="13"/>
      <c r="G399" s="14"/>
      <c r="H399" s="8"/>
      <c r="I399" s="11" t="str">
        <f aca="false">IF(OR(F399="",G399=""),"",ROUND(F399*G399,0))</f>
        <v/>
      </c>
    </row>
    <row r="400" customFormat="false" ht="15" hidden="false" customHeight="false" outlineLevel="0" collapsed="false">
      <c r="A400" s="8"/>
      <c r="B400" s="10" t="str">
        <f aca="false">IF(A400="","",IFERROR(VLOOKUP(A400,DonHang!$A$2:$C$500,3,FALSE()),"mã đơn chưa có"))</f>
        <v/>
      </c>
      <c r="C400" s="8"/>
      <c r="D400" s="8"/>
      <c r="E400" s="8"/>
      <c r="F400" s="13"/>
      <c r="G400" s="14"/>
      <c r="H400" s="8"/>
      <c r="I400" s="11" t="str">
        <f aca="false">IF(OR(F400="",G400=""),"",ROUND(F400*G400,0))</f>
        <v/>
      </c>
    </row>
    <row r="401" customFormat="false" ht="15" hidden="false" customHeight="false" outlineLevel="0" collapsed="false">
      <c r="A401" s="8"/>
      <c r="B401" s="10" t="str">
        <f aca="false">IF(A401="","",IFERROR(VLOOKUP(A401,DonHang!$A$2:$C$500,3,FALSE()),"mã đơn chưa có"))</f>
        <v/>
      </c>
      <c r="C401" s="8"/>
      <c r="D401" s="8"/>
      <c r="E401" s="8"/>
      <c r="F401" s="13"/>
      <c r="G401" s="14"/>
      <c r="H401" s="8"/>
      <c r="I401" s="11" t="str">
        <f aca="false">IF(OR(F401="",G401=""),"",ROUND(F401*G401,0))</f>
        <v/>
      </c>
    </row>
    <row r="402" customFormat="false" ht="15" hidden="false" customHeight="false" outlineLevel="0" collapsed="false">
      <c r="A402" s="8"/>
      <c r="B402" s="10" t="str">
        <f aca="false">IF(A402="","",IFERROR(VLOOKUP(A402,DonHang!$A$2:$C$500,3,FALSE()),"mã đơn chưa có"))</f>
        <v/>
      </c>
      <c r="C402" s="8"/>
      <c r="D402" s="8"/>
      <c r="E402" s="8"/>
      <c r="F402" s="13"/>
      <c r="G402" s="14"/>
      <c r="H402" s="8"/>
      <c r="I402" s="11" t="str">
        <f aca="false">IF(OR(F402="",G402=""),"",ROUND(F402*G402,0))</f>
        <v/>
      </c>
    </row>
    <row r="403" customFormat="false" ht="15" hidden="false" customHeight="false" outlineLevel="0" collapsed="false">
      <c r="A403" s="8"/>
      <c r="B403" s="10" t="str">
        <f aca="false">IF(A403="","",IFERROR(VLOOKUP(A403,DonHang!$A$2:$C$500,3,FALSE()),"mã đơn chưa có"))</f>
        <v/>
      </c>
      <c r="C403" s="8"/>
      <c r="D403" s="8"/>
      <c r="E403" s="8"/>
      <c r="F403" s="13"/>
      <c r="G403" s="14"/>
      <c r="H403" s="8"/>
      <c r="I403" s="11" t="str">
        <f aca="false">IF(OR(F403="",G403=""),"",ROUND(F403*G403,0))</f>
        <v/>
      </c>
    </row>
    <row r="404" customFormat="false" ht="15" hidden="false" customHeight="false" outlineLevel="0" collapsed="false">
      <c r="A404" s="8"/>
      <c r="B404" s="10" t="str">
        <f aca="false">IF(A404="","",IFERROR(VLOOKUP(A404,DonHang!$A$2:$C$500,3,FALSE()),"mã đơn chưa có"))</f>
        <v/>
      </c>
      <c r="C404" s="8"/>
      <c r="D404" s="8"/>
      <c r="E404" s="8"/>
      <c r="F404" s="13"/>
      <c r="G404" s="14"/>
      <c r="H404" s="8"/>
      <c r="I404" s="11" t="str">
        <f aca="false">IF(OR(F404="",G404=""),"",ROUND(F404*G404,0))</f>
        <v/>
      </c>
    </row>
    <row r="405" customFormat="false" ht="15" hidden="false" customHeight="false" outlineLevel="0" collapsed="false">
      <c r="A405" s="8"/>
      <c r="B405" s="10" t="str">
        <f aca="false">IF(A405="","",IFERROR(VLOOKUP(A405,DonHang!$A$2:$C$500,3,FALSE()),"mã đơn chưa có"))</f>
        <v/>
      </c>
      <c r="C405" s="8"/>
      <c r="D405" s="8"/>
      <c r="E405" s="8"/>
      <c r="F405" s="13"/>
      <c r="G405" s="14"/>
      <c r="H405" s="8"/>
      <c r="I405" s="11" t="str">
        <f aca="false">IF(OR(F405="",G405=""),"",ROUND(F405*G405,0))</f>
        <v/>
      </c>
    </row>
    <row r="406" customFormat="false" ht="15" hidden="false" customHeight="false" outlineLevel="0" collapsed="false">
      <c r="A406" s="8"/>
      <c r="B406" s="10" t="str">
        <f aca="false">IF(A406="","",IFERROR(VLOOKUP(A406,DonHang!$A$2:$C$500,3,FALSE()),"mã đơn chưa có"))</f>
        <v/>
      </c>
      <c r="C406" s="8"/>
      <c r="D406" s="8"/>
      <c r="E406" s="8"/>
      <c r="F406" s="13"/>
      <c r="G406" s="14"/>
      <c r="H406" s="8"/>
      <c r="I406" s="11" t="str">
        <f aca="false">IF(OR(F406="",G406=""),"",ROUND(F406*G406,0))</f>
        <v/>
      </c>
    </row>
    <row r="407" customFormat="false" ht="15" hidden="false" customHeight="false" outlineLevel="0" collapsed="false">
      <c r="A407" s="8"/>
      <c r="B407" s="10" t="str">
        <f aca="false">IF(A407="","",IFERROR(VLOOKUP(A407,DonHang!$A$2:$C$500,3,FALSE()),"mã đơn chưa có"))</f>
        <v/>
      </c>
      <c r="C407" s="8"/>
      <c r="D407" s="8"/>
      <c r="E407" s="8"/>
      <c r="F407" s="13"/>
      <c r="G407" s="14"/>
      <c r="H407" s="8"/>
      <c r="I407" s="11" t="str">
        <f aca="false">IF(OR(F407="",G407=""),"",ROUND(F407*G407,0))</f>
        <v/>
      </c>
    </row>
    <row r="408" customFormat="false" ht="15" hidden="false" customHeight="false" outlineLevel="0" collapsed="false">
      <c r="A408" s="8"/>
      <c r="B408" s="10" t="str">
        <f aca="false">IF(A408="","",IFERROR(VLOOKUP(A408,DonHang!$A$2:$C$500,3,FALSE()),"mã đơn chưa có"))</f>
        <v/>
      </c>
      <c r="C408" s="8"/>
      <c r="D408" s="8"/>
      <c r="E408" s="8"/>
      <c r="F408" s="13"/>
      <c r="G408" s="14"/>
      <c r="H408" s="8"/>
      <c r="I408" s="11" t="str">
        <f aca="false">IF(OR(F408="",G408=""),"",ROUND(F408*G408,0))</f>
        <v/>
      </c>
    </row>
    <row r="409" customFormat="false" ht="15" hidden="false" customHeight="false" outlineLevel="0" collapsed="false">
      <c r="A409" s="8"/>
      <c r="B409" s="10" t="str">
        <f aca="false">IF(A409="","",IFERROR(VLOOKUP(A409,DonHang!$A$2:$C$500,3,FALSE()),"mã đơn chưa có"))</f>
        <v/>
      </c>
      <c r="C409" s="8"/>
      <c r="D409" s="8"/>
      <c r="E409" s="8"/>
      <c r="F409" s="13"/>
      <c r="G409" s="14"/>
      <c r="H409" s="8"/>
      <c r="I409" s="11" t="str">
        <f aca="false">IF(OR(F409="",G409=""),"",ROUND(F409*G409,0))</f>
        <v/>
      </c>
    </row>
    <row r="410" customFormat="false" ht="15" hidden="false" customHeight="false" outlineLevel="0" collapsed="false">
      <c r="A410" s="8"/>
      <c r="B410" s="10" t="str">
        <f aca="false">IF(A410="","",IFERROR(VLOOKUP(A410,DonHang!$A$2:$C$500,3,FALSE()),"mã đơn chưa có"))</f>
        <v/>
      </c>
      <c r="C410" s="8"/>
      <c r="D410" s="8"/>
      <c r="E410" s="8"/>
      <c r="F410" s="13"/>
      <c r="G410" s="14"/>
      <c r="H410" s="8"/>
      <c r="I410" s="11" t="str">
        <f aca="false">IF(OR(F410="",G410=""),"",ROUND(F410*G410,0))</f>
        <v/>
      </c>
    </row>
    <row r="411" customFormat="false" ht="15" hidden="false" customHeight="false" outlineLevel="0" collapsed="false">
      <c r="A411" s="8"/>
      <c r="B411" s="10" t="str">
        <f aca="false">IF(A411="","",IFERROR(VLOOKUP(A411,DonHang!$A$2:$C$500,3,FALSE()),"mã đơn chưa có"))</f>
        <v/>
      </c>
      <c r="C411" s="8"/>
      <c r="D411" s="8"/>
      <c r="E411" s="8"/>
      <c r="F411" s="13"/>
      <c r="G411" s="14"/>
      <c r="H411" s="8"/>
      <c r="I411" s="11" t="str">
        <f aca="false">IF(OR(F411="",G411=""),"",ROUND(F411*G411,0))</f>
        <v/>
      </c>
    </row>
    <row r="412" customFormat="false" ht="15" hidden="false" customHeight="false" outlineLevel="0" collapsed="false">
      <c r="A412" s="8"/>
      <c r="B412" s="10" t="str">
        <f aca="false">IF(A412="","",IFERROR(VLOOKUP(A412,DonHang!$A$2:$C$500,3,FALSE()),"mã đơn chưa có"))</f>
        <v/>
      </c>
      <c r="C412" s="8"/>
      <c r="D412" s="8"/>
      <c r="E412" s="8"/>
      <c r="F412" s="13"/>
      <c r="G412" s="14"/>
      <c r="H412" s="8"/>
      <c r="I412" s="11" t="str">
        <f aca="false">IF(OR(F412="",G412=""),"",ROUND(F412*G412,0))</f>
        <v/>
      </c>
    </row>
    <row r="413" customFormat="false" ht="15" hidden="false" customHeight="false" outlineLevel="0" collapsed="false">
      <c r="A413" s="8"/>
      <c r="B413" s="10" t="str">
        <f aca="false">IF(A413="","",IFERROR(VLOOKUP(A413,DonHang!$A$2:$C$500,3,FALSE()),"mã đơn chưa có"))</f>
        <v/>
      </c>
      <c r="C413" s="8"/>
      <c r="D413" s="8"/>
      <c r="E413" s="8"/>
      <c r="F413" s="13"/>
      <c r="G413" s="14"/>
      <c r="H413" s="8"/>
      <c r="I413" s="11" t="str">
        <f aca="false">IF(OR(F413="",G413=""),"",ROUND(F413*G413,0))</f>
        <v/>
      </c>
    </row>
    <row r="414" customFormat="false" ht="15" hidden="false" customHeight="false" outlineLevel="0" collapsed="false">
      <c r="A414" s="8"/>
      <c r="B414" s="10" t="str">
        <f aca="false">IF(A414="","",IFERROR(VLOOKUP(A414,DonHang!$A$2:$C$500,3,FALSE()),"mã đơn chưa có"))</f>
        <v/>
      </c>
      <c r="C414" s="8"/>
      <c r="D414" s="8"/>
      <c r="E414" s="8"/>
      <c r="F414" s="13"/>
      <c r="G414" s="14"/>
      <c r="H414" s="8"/>
      <c r="I414" s="11" t="str">
        <f aca="false">IF(OR(F414="",G414=""),"",ROUND(F414*G414,0))</f>
        <v/>
      </c>
    </row>
    <row r="415" customFormat="false" ht="15" hidden="false" customHeight="false" outlineLevel="0" collapsed="false">
      <c r="A415" s="8"/>
      <c r="B415" s="10" t="str">
        <f aca="false">IF(A415="","",IFERROR(VLOOKUP(A415,DonHang!$A$2:$C$500,3,FALSE()),"mã đơn chưa có"))</f>
        <v/>
      </c>
      <c r="C415" s="8"/>
      <c r="D415" s="8"/>
      <c r="E415" s="8"/>
      <c r="F415" s="13"/>
      <c r="G415" s="14"/>
      <c r="H415" s="8"/>
      <c r="I415" s="11" t="str">
        <f aca="false">IF(OR(F415="",G415=""),"",ROUND(F415*G415,0))</f>
        <v/>
      </c>
    </row>
    <row r="416" customFormat="false" ht="15" hidden="false" customHeight="false" outlineLevel="0" collapsed="false">
      <c r="A416" s="8"/>
      <c r="B416" s="10" t="str">
        <f aca="false">IF(A416="","",IFERROR(VLOOKUP(A416,DonHang!$A$2:$C$500,3,FALSE()),"mã đơn chưa có"))</f>
        <v/>
      </c>
      <c r="C416" s="8"/>
      <c r="D416" s="8"/>
      <c r="E416" s="8"/>
      <c r="F416" s="13"/>
      <c r="G416" s="14"/>
      <c r="H416" s="8"/>
      <c r="I416" s="11" t="str">
        <f aca="false">IF(OR(F416="",G416=""),"",ROUND(F416*G416,0))</f>
        <v/>
      </c>
    </row>
    <row r="417" customFormat="false" ht="15" hidden="false" customHeight="false" outlineLevel="0" collapsed="false">
      <c r="A417" s="8"/>
      <c r="B417" s="10" t="str">
        <f aca="false">IF(A417="","",IFERROR(VLOOKUP(A417,DonHang!$A$2:$C$500,3,FALSE()),"mã đơn chưa có"))</f>
        <v/>
      </c>
      <c r="C417" s="8"/>
      <c r="D417" s="8"/>
      <c r="E417" s="8"/>
      <c r="F417" s="13"/>
      <c r="G417" s="14"/>
      <c r="H417" s="8"/>
      <c r="I417" s="11" t="str">
        <f aca="false">IF(OR(F417="",G417=""),"",ROUND(F417*G417,0))</f>
        <v/>
      </c>
    </row>
    <row r="418" customFormat="false" ht="15" hidden="false" customHeight="false" outlineLevel="0" collapsed="false">
      <c r="A418" s="8"/>
      <c r="B418" s="10" t="str">
        <f aca="false">IF(A418="","",IFERROR(VLOOKUP(A418,DonHang!$A$2:$C$500,3,FALSE()),"mã đơn chưa có"))</f>
        <v/>
      </c>
      <c r="C418" s="8"/>
      <c r="D418" s="8"/>
      <c r="E418" s="8"/>
      <c r="F418" s="13"/>
      <c r="G418" s="14"/>
      <c r="H418" s="8"/>
      <c r="I418" s="11" t="str">
        <f aca="false">IF(OR(F418="",G418=""),"",ROUND(F418*G418,0))</f>
        <v/>
      </c>
    </row>
    <row r="419" customFormat="false" ht="15" hidden="false" customHeight="false" outlineLevel="0" collapsed="false">
      <c r="A419" s="8"/>
      <c r="B419" s="10" t="str">
        <f aca="false">IF(A419="","",IFERROR(VLOOKUP(A419,DonHang!$A$2:$C$500,3,FALSE()),"mã đơn chưa có"))</f>
        <v/>
      </c>
      <c r="C419" s="8"/>
      <c r="D419" s="8"/>
      <c r="E419" s="8"/>
      <c r="F419" s="13"/>
      <c r="G419" s="14"/>
      <c r="H419" s="8"/>
      <c r="I419" s="11" t="str">
        <f aca="false">IF(OR(F419="",G419=""),"",ROUND(F419*G419,0))</f>
        <v/>
      </c>
    </row>
    <row r="420" customFormat="false" ht="15" hidden="false" customHeight="false" outlineLevel="0" collapsed="false">
      <c r="A420" s="8"/>
      <c r="B420" s="10" t="str">
        <f aca="false">IF(A420="","",IFERROR(VLOOKUP(A420,DonHang!$A$2:$C$500,3,FALSE()),"mã đơn chưa có"))</f>
        <v/>
      </c>
      <c r="C420" s="8"/>
      <c r="D420" s="8"/>
      <c r="E420" s="8"/>
      <c r="F420" s="13"/>
      <c r="G420" s="14"/>
      <c r="H420" s="8"/>
      <c r="I420" s="11" t="str">
        <f aca="false">IF(OR(F420="",G420=""),"",ROUND(F420*G420,0))</f>
        <v/>
      </c>
    </row>
    <row r="421" customFormat="false" ht="15" hidden="false" customHeight="false" outlineLevel="0" collapsed="false">
      <c r="A421" s="8"/>
      <c r="B421" s="10" t="str">
        <f aca="false">IF(A421="","",IFERROR(VLOOKUP(A421,DonHang!$A$2:$C$500,3,FALSE()),"mã đơn chưa có"))</f>
        <v/>
      </c>
      <c r="C421" s="8"/>
      <c r="D421" s="8"/>
      <c r="E421" s="8"/>
      <c r="F421" s="13"/>
      <c r="G421" s="14"/>
      <c r="H421" s="8"/>
      <c r="I421" s="11" t="str">
        <f aca="false">IF(OR(F421="",G421=""),"",ROUND(F421*G421,0))</f>
        <v/>
      </c>
    </row>
    <row r="422" customFormat="false" ht="15" hidden="false" customHeight="false" outlineLevel="0" collapsed="false">
      <c r="A422" s="8"/>
      <c r="B422" s="10" t="str">
        <f aca="false">IF(A422="","",IFERROR(VLOOKUP(A422,DonHang!$A$2:$C$500,3,FALSE()),"mã đơn chưa có"))</f>
        <v/>
      </c>
      <c r="C422" s="8"/>
      <c r="D422" s="8"/>
      <c r="E422" s="8"/>
      <c r="F422" s="13"/>
      <c r="G422" s="14"/>
      <c r="H422" s="8"/>
      <c r="I422" s="11" t="str">
        <f aca="false">IF(OR(F422="",G422=""),"",ROUND(F422*G422,0))</f>
        <v/>
      </c>
    </row>
    <row r="423" customFormat="false" ht="15" hidden="false" customHeight="false" outlineLevel="0" collapsed="false">
      <c r="A423" s="8"/>
      <c r="B423" s="10" t="str">
        <f aca="false">IF(A423="","",IFERROR(VLOOKUP(A423,DonHang!$A$2:$C$500,3,FALSE()),"mã đơn chưa có"))</f>
        <v/>
      </c>
      <c r="C423" s="8"/>
      <c r="D423" s="8"/>
      <c r="E423" s="8"/>
      <c r="F423" s="13"/>
      <c r="G423" s="14"/>
      <c r="H423" s="8"/>
      <c r="I423" s="11" t="str">
        <f aca="false">IF(OR(F423="",G423=""),"",ROUND(F423*G423,0))</f>
        <v/>
      </c>
    </row>
    <row r="424" customFormat="false" ht="15" hidden="false" customHeight="false" outlineLevel="0" collapsed="false">
      <c r="A424" s="8"/>
      <c r="B424" s="10" t="str">
        <f aca="false">IF(A424="","",IFERROR(VLOOKUP(A424,DonHang!$A$2:$C$500,3,FALSE()),"mã đơn chưa có"))</f>
        <v/>
      </c>
      <c r="C424" s="8"/>
      <c r="D424" s="8"/>
      <c r="E424" s="8"/>
      <c r="F424" s="13"/>
      <c r="G424" s="14"/>
      <c r="H424" s="8"/>
      <c r="I424" s="11" t="str">
        <f aca="false">IF(OR(F424="",G424=""),"",ROUND(F424*G424,0))</f>
        <v/>
      </c>
    </row>
    <row r="425" customFormat="false" ht="15" hidden="false" customHeight="false" outlineLevel="0" collapsed="false">
      <c r="A425" s="8"/>
      <c r="B425" s="10" t="str">
        <f aca="false">IF(A425="","",IFERROR(VLOOKUP(A425,DonHang!$A$2:$C$500,3,FALSE()),"mã đơn chưa có"))</f>
        <v/>
      </c>
      <c r="C425" s="8"/>
      <c r="D425" s="8"/>
      <c r="E425" s="8"/>
      <c r="F425" s="13"/>
      <c r="G425" s="14"/>
      <c r="H425" s="8"/>
      <c r="I425" s="11" t="str">
        <f aca="false">IF(OR(F425="",G425=""),"",ROUND(F425*G425,0))</f>
        <v/>
      </c>
    </row>
    <row r="426" customFormat="false" ht="15" hidden="false" customHeight="false" outlineLevel="0" collapsed="false">
      <c r="A426" s="8"/>
      <c r="B426" s="10" t="str">
        <f aca="false">IF(A426="","",IFERROR(VLOOKUP(A426,DonHang!$A$2:$C$500,3,FALSE()),"mã đơn chưa có"))</f>
        <v/>
      </c>
      <c r="C426" s="8"/>
      <c r="D426" s="8"/>
      <c r="E426" s="8"/>
      <c r="F426" s="13"/>
      <c r="G426" s="14"/>
      <c r="H426" s="8"/>
      <c r="I426" s="11" t="str">
        <f aca="false">IF(OR(F426="",G426=""),"",ROUND(F426*G426,0))</f>
        <v/>
      </c>
    </row>
    <row r="427" customFormat="false" ht="15" hidden="false" customHeight="false" outlineLevel="0" collapsed="false">
      <c r="A427" s="8"/>
      <c r="B427" s="10" t="str">
        <f aca="false">IF(A427="","",IFERROR(VLOOKUP(A427,DonHang!$A$2:$C$500,3,FALSE()),"mã đơn chưa có"))</f>
        <v/>
      </c>
      <c r="C427" s="8"/>
      <c r="D427" s="8"/>
      <c r="E427" s="8"/>
      <c r="F427" s="13"/>
      <c r="G427" s="14"/>
      <c r="H427" s="8"/>
      <c r="I427" s="11" t="str">
        <f aca="false">IF(OR(F427="",G427=""),"",ROUND(F427*G427,0))</f>
        <v/>
      </c>
    </row>
    <row r="428" customFormat="false" ht="15" hidden="false" customHeight="false" outlineLevel="0" collapsed="false">
      <c r="A428" s="8"/>
      <c r="B428" s="10" t="str">
        <f aca="false">IF(A428="","",IFERROR(VLOOKUP(A428,DonHang!$A$2:$C$500,3,FALSE()),"mã đơn chưa có"))</f>
        <v/>
      </c>
      <c r="C428" s="8"/>
      <c r="D428" s="8"/>
      <c r="E428" s="8"/>
      <c r="F428" s="13"/>
      <c r="G428" s="14"/>
      <c r="H428" s="8"/>
      <c r="I428" s="11" t="str">
        <f aca="false">IF(OR(F428="",G428=""),"",ROUND(F428*G428,0))</f>
        <v/>
      </c>
    </row>
    <row r="429" customFormat="false" ht="15" hidden="false" customHeight="false" outlineLevel="0" collapsed="false">
      <c r="A429" s="8"/>
      <c r="B429" s="10" t="str">
        <f aca="false">IF(A429="","",IFERROR(VLOOKUP(A429,DonHang!$A$2:$C$500,3,FALSE()),"mã đơn chưa có"))</f>
        <v/>
      </c>
      <c r="C429" s="8"/>
      <c r="D429" s="8"/>
      <c r="E429" s="8"/>
      <c r="F429" s="13"/>
      <c r="G429" s="14"/>
      <c r="H429" s="8"/>
      <c r="I429" s="11" t="str">
        <f aca="false">IF(OR(F429="",G429=""),"",ROUND(F429*G429,0))</f>
        <v/>
      </c>
    </row>
    <row r="430" customFormat="false" ht="15" hidden="false" customHeight="false" outlineLevel="0" collapsed="false">
      <c r="A430" s="8"/>
      <c r="B430" s="10" t="str">
        <f aca="false">IF(A430="","",IFERROR(VLOOKUP(A430,DonHang!$A$2:$C$500,3,FALSE()),"mã đơn chưa có"))</f>
        <v/>
      </c>
      <c r="C430" s="8"/>
      <c r="D430" s="8"/>
      <c r="E430" s="8"/>
      <c r="F430" s="13"/>
      <c r="G430" s="14"/>
      <c r="H430" s="8"/>
      <c r="I430" s="11" t="str">
        <f aca="false">IF(OR(F430="",G430=""),"",ROUND(F430*G430,0))</f>
        <v/>
      </c>
    </row>
    <row r="431" customFormat="false" ht="15" hidden="false" customHeight="false" outlineLevel="0" collapsed="false">
      <c r="A431" s="8"/>
      <c r="B431" s="10" t="str">
        <f aca="false">IF(A431="","",IFERROR(VLOOKUP(A431,DonHang!$A$2:$C$500,3,FALSE()),"mã đơn chưa có"))</f>
        <v/>
      </c>
      <c r="C431" s="8"/>
      <c r="D431" s="8"/>
      <c r="E431" s="8"/>
      <c r="F431" s="13"/>
      <c r="G431" s="14"/>
      <c r="H431" s="8"/>
      <c r="I431" s="11" t="str">
        <f aca="false">IF(OR(F431="",G431=""),"",ROUND(F431*G431,0))</f>
        <v/>
      </c>
    </row>
    <row r="432" customFormat="false" ht="15" hidden="false" customHeight="false" outlineLevel="0" collapsed="false">
      <c r="A432" s="8"/>
      <c r="B432" s="10" t="str">
        <f aca="false">IF(A432="","",IFERROR(VLOOKUP(A432,DonHang!$A$2:$C$500,3,FALSE()),"mã đơn chưa có"))</f>
        <v/>
      </c>
      <c r="C432" s="8"/>
      <c r="D432" s="8"/>
      <c r="E432" s="8"/>
      <c r="F432" s="13"/>
      <c r="G432" s="14"/>
      <c r="H432" s="8"/>
      <c r="I432" s="11" t="str">
        <f aca="false">IF(OR(F432="",G432=""),"",ROUND(F432*G432,0))</f>
        <v/>
      </c>
    </row>
    <row r="433" customFormat="false" ht="15" hidden="false" customHeight="false" outlineLevel="0" collapsed="false">
      <c r="A433" s="8"/>
      <c r="B433" s="10" t="str">
        <f aca="false">IF(A433="","",IFERROR(VLOOKUP(A433,DonHang!$A$2:$C$500,3,FALSE()),"mã đơn chưa có"))</f>
        <v/>
      </c>
      <c r="C433" s="8"/>
      <c r="D433" s="8"/>
      <c r="E433" s="8"/>
      <c r="F433" s="13"/>
      <c r="G433" s="14"/>
      <c r="H433" s="8"/>
      <c r="I433" s="11" t="str">
        <f aca="false">IF(OR(F433="",G433=""),"",ROUND(F433*G433,0))</f>
        <v/>
      </c>
    </row>
    <row r="434" customFormat="false" ht="15" hidden="false" customHeight="false" outlineLevel="0" collapsed="false">
      <c r="A434" s="8"/>
      <c r="B434" s="10" t="str">
        <f aca="false">IF(A434="","",IFERROR(VLOOKUP(A434,DonHang!$A$2:$C$500,3,FALSE()),"mã đơn chưa có"))</f>
        <v/>
      </c>
      <c r="C434" s="8"/>
      <c r="D434" s="8"/>
      <c r="E434" s="8"/>
      <c r="F434" s="13"/>
      <c r="G434" s="14"/>
      <c r="H434" s="8"/>
      <c r="I434" s="11" t="str">
        <f aca="false">IF(OR(F434="",G434=""),"",ROUND(F434*G434,0))</f>
        <v/>
      </c>
    </row>
    <row r="435" customFormat="false" ht="15" hidden="false" customHeight="false" outlineLevel="0" collapsed="false">
      <c r="A435" s="8"/>
      <c r="B435" s="10" t="str">
        <f aca="false">IF(A435="","",IFERROR(VLOOKUP(A435,DonHang!$A$2:$C$500,3,FALSE()),"mã đơn chưa có"))</f>
        <v/>
      </c>
      <c r="C435" s="8"/>
      <c r="D435" s="8"/>
      <c r="E435" s="8"/>
      <c r="F435" s="13"/>
      <c r="G435" s="14"/>
      <c r="H435" s="8"/>
      <c r="I435" s="11" t="str">
        <f aca="false">IF(OR(F435="",G435=""),"",ROUND(F435*G435,0))</f>
        <v/>
      </c>
    </row>
    <row r="436" customFormat="false" ht="15" hidden="false" customHeight="false" outlineLevel="0" collapsed="false">
      <c r="A436" s="8"/>
      <c r="B436" s="10" t="str">
        <f aca="false">IF(A436="","",IFERROR(VLOOKUP(A436,DonHang!$A$2:$C$500,3,FALSE()),"mã đơn chưa có"))</f>
        <v/>
      </c>
      <c r="C436" s="8"/>
      <c r="D436" s="8"/>
      <c r="E436" s="8"/>
      <c r="F436" s="13"/>
      <c r="G436" s="14"/>
      <c r="H436" s="8"/>
      <c r="I436" s="11" t="str">
        <f aca="false">IF(OR(F436="",G436=""),"",ROUND(F436*G436,0))</f>
        <v/>
      </c>
    </row>
    <row r="437" customFormat="false" ht="15" hidden="false" customHeight="false" outlineLevel="0" collapsed="false">
      <c r="A437" s="8"/>
      <c r="B437" s="10" t="str">
        <f aca="false">IF(A437="","",IFERROR(VLOOKUP(A437,DonHang!$A$2:$C$500,3,FALSE()),"mã đơn chưa có"))</f>
        <v/>
      </c>
      <c r="C437" s="8"/>
      <c r="D437" s="8"/>
      <c r="E437" s="8"/>
      <c r="F437" s="13"/>
      <c r="G437" s="14"/>
      <c r="H437" s="8"/>
      <c r="I437" s="11" t="str">
        <f aca="false">IF(OR(F437="",G437=""),"",ROUND(F437*G437,0))</f>
        <v/>
      </c>
    </row>
    <row r="438" customFormat="false" ht="15" hidden="false" customHeight="false" outlineLevel="0" collapsed="false">
      <c r="A438" s="8"/>
      <c r="B438" s="10" t="str">
        <f aca="false">IF(A438="","",IFERROR(VLOOKUP(A438,DonHang!$A$2:$C$500,3,FALSE()),"mã đơn chưa có"))</f>
        <v/>
      </c>
      <c r="C438" s="8"/>
      <c r="D438" s="8"/>
      <c r="E438" s="8"/>
      <c r="F438" s="13"/>
      <c r="G438" s="14"/>
      <c r="H438" s="8"/>
      <c r="I438" s="11" t="str">
        <f aca="false">IF(OR(F438="",G438=""),"",ROUND(F438*G438,0))</f>
        <v/>
      </c>
    </row>
    <row r="439" customFormat="false" ht="15" hidden="false" customHeight="false" outlineLevel="0" collapsed="false">
      <c r="A439" s="8"/>
      <c r="B439" s="10" t="str">
        <f aca="false">IF(A439="","",IFERROR(VLOOKUP(A439,DonHang!$A$2:$C$500,3,FALSE()),"mã đơn chưa có"))</f>
        <v/>
      </c>
      <c r="C439" s="8"/>
      <c r="D439" s="8"/>
      <c r="E439" s="8"/>
      <c r="F439" s="13"/>
      <c r="G439" s="14"/>
      <c r="H439" s="8"/>
      <c r="I439" s="11" t="str">
        <f aca="false">IF(OR(F439="",G439=""),"",ROUND(F439*G439,0))</f>
        <v/>
      </c>
    </row>
    <row r="440" customFormat="false" ht="15" hidden="false" customHeight="false" outlineLevel="0" collapsed="false">
      <c r="A440" s="8"/>
      <c r="B440" s="10" t="str">
        <f aca="false">IF(A440="","",IFERROR(VLOOKUP(A440,DonHang!$A$2:$C$500,3,FALSE()),"mã đơn chưa có"))</f>
        <v/>
      </c>
      <c r="C440" s="8"/>
      <c r="D440" s="8"/>
      <c r="E440" s="8"/>
      <c r="F440" s="13"/>
      <c r="G440" s="14"/>
      <c r="H440" s="8"/>
      <c r="I440" s="11" t="str">
        <f aca="false">IF(OR(F440="",G440=""),"",ROUND(F440*G440,0))</f>
        <v/>
      </c>
    </row>
    <row r="441" customFormat="false" ht="15" hidden="false" customHeight="false" outlineLevel="0" collapsed="false">
      <c r="A441" s="8"/>
      <c r="B441" s="10" t="str">
        <f aca="false">IF(A441="","",IFERROR(VLOOKUP(A441,DonHang!$A$2:$C$500,3,FALSE()),"mã đơn chưa có"))</f>
        <v/>
      </c>
      <c r="C441" s="8"/>
      <c r="D441" s="8"/>
      <c r="E441" s="8"/>
      <c r="F441" s="13"/>
      <c r="G441" s="14"/>
      <c r="H441" s="8"/>
      <c r="I441" s="11" t="str">
        <f aca="false">IF(OR(F441="",G441=""),"",ROUND(F441*G441,0))</f>
        <v/>
      </c>
    </row>
    <row r="442" customFormat="false" ht="15" hidden="false" customHeight="false" outlineLevel="0" collapsed="false">
      <c r="A442" s="8"/>
      <c r="B442" s="10" t="str">
        <f aca="false">IF(A442="","",IFERROR(VLOOKUP(A442,DonHang!$A$2:$C$500,3,FALSE()),"mã đơn chưa có"))</f>
        <v/>
      </c>
      <c r="C442" s="8"/>
      <c r="D442" s="8"/>
      <c r="E442" s="8"/>
      <c r="F442" s="13"/>
      <c r="G442" s="14"/>
      <c r="H442" s="8"/>
      <c r="I442" s="11" t="str">
        <f aca="false">IF(OR(F442="",G442=""),"",ROUND(F442*G442,0))</f>
        <v/>
      </c>
    </row>
    <row r="443" customFormat="false" ht="15" hidden="false" customHeight="false" outlineLevel="0" collapsed="false">
      <c r="A443" s="8"/>
      <c r="B443" s="10" t="str">
        <f aca="false">IF(A443="","",IFERROR(VLOOKUP(A443,DonHang!$A$2:$C$500,3,FALSE()),"mã đơn chưa có"))</f>
        <v/>
      </c>
      <c r="C443" s="8"/>
      <c r="D443" s="8"/>
      <c r="E443" s="8"/>
      <c r="F443" s="13"/>
      <c r="G443" s="14"/>
      <c r="H443" s="8"/>
      <c r="I443" s="11" t="str">
        <f aca="false">IF(OR(F443="",G443=""),"",ROUND(F443*G443,0))</f>
        <v/>
      </c>
    </row>
    <row r="444" customFormat="false" ht="15" hidden="false" customHeight="false" outlineLevel="0" collapsed="false">
      <c r="A444" s="8"/>
      <c r="B444" s="10" t="str">
        <f aca="false">IF(A444="","",IFERROR(VLOOKUP(A444,DonHang!$A$2:$C$500,3,FALSE()),"mã đơn chưa có"))</f>
        <v/>
      </c>
      <c r="C444" s="8"/>
      <c r="D444" s="8"/>
      <c r="E444" s="8"/>
      <c r="F444" s="13"/>
      <c r="G444" s="14"/>
      <c r="H444" s="8"/>
      <c r="I444" s="11" t="str">
        <f aca="false">IF(OR(F444="",G444=""),"",ROUND(F444*G444,0))</f>
        <v/>
      </c>
    </row>
    <row r="445" customFormat="false" ht="15" hidden="false" customHeight="false" outlineLevel="0" collapsed="false">
      <c r="A445" s="8"/>
      <c r="B445" s="10" t="str">
        <f aca="false">IF(A445="","",IFERROR(VLOOKUP(A445,DonHang!$A$2:$C$500,3,FALSE()),"mã đơn chưa có"))</f>
        <v/>
      </c>
      <c r="C445" s="8"/>
      <c r="D445" s="8"/>
      <c r="E445" s="8"/>
      <c r="F445" s="13"/>
      <c r="G445" s="14"/>
      <c r="H445" s="8"/>
      <c r="I445" s="11" t="str">
        <f aca="false">IF(OR(F445="",G445=""),"",ROUND(F445*G445,0))</f>
        <v/>
      </c>
    </row>
    <row r="446" customFormat="false" ht="15" hidden="false" customHeight="false" outlineLevel="0" collapsed="false">
      <c r="A446" s="8"/>
      <c r="B446" s="10" t="str">
        <f aca="false">IF(A446="","",IFERROR(VLOOKUP(A446,DonHang!$A$2:$C$500,3,FALSE()),"mã đơn chưa có"))</f>
        <v/>
      </c>
      <c r="C446" s="8"/>
      <c r="D446" s="8"/>
      <c r="E446" s="8"/>
      <c r="F446" s="13"/>
      <c r="G446" s="14"/>
      <c r="H446" s="8"/>
      <c r="I446" s="11" t="str">
        <f aca="false">IF(OR(F446="",G446=""),"",ROUND(F446*G446,0))</f>
        <v/>
      </c>
    </row>
    <row r="447" customFormat="false" ht="15" hidden="false" customHeight="false" outlineLevel="0" collapsed="false">
      <c r="A447" s="8"/>
      <c r="B447" s="10" t="str">
        <f aca="false">IF(A447="","",IFERROR(VLOOKUP(A447,DonHang!$A$2:$C$500,3,FALSE()),"mã đơn chưa có"))</f>
        <v/>
      </c>
      <c r="C447" s="8"/>
      <c r="D447" s="8"/>
      <c r="E447" s="8"/>
      <c r="F447" s="13"/>
      <c r="G447" s="14"/>
      <c r="H447" s="8"/>
      <c r="I447" s="11" t="str">
        <f aca="false">IF(OR(F447="",G447=""),"",ROUND(F447*G447,0))</f>
        <v/>
      </c>
    </row>
    <row r="448" customFormat="false" ht="15" hidden="false" customHeight="false" outlineLevel="0" collapsed="false">
      <c r="A448" s="8"/>
      <c r="B448" s="10" t="str">
        <f aca="false">IF(A448="","",IFERROR(VLOOKUP(A448,DonHang!$A$2:$C$500,3,FALSE()),"mã đơn chưa có"))</f>
        <v/>
      </c>
      <c r="C448" s="8"/>
      <c r="D448" s="8"/>
      <c r="E448" s="8"/>
      <c r="F448" s="13"/>
      <c r="G448" s="14"/>
      <c r="H448" s="8"/>
      <c r="I448" s="11" t="str">
        <f aca="false">IF(OR(F448="",G448=""),"",ROUND(F448*G448,0))</f>
        <v/>
      </c>
    </row>
    <row r="449" customFormat="false" ht="15" hidden="false" customHeight="false" outlineLevel="0" collapsed="false">
      <c r="A449" s="8"/>
      <c r="B449" s="10" t="str">
        <f aca="false">IF(A449="","",IFERROR(VLOOKUP(A449,DonHang!$A$2:$C$500,3,FALSE()),"mã đơn chưa có"))</f>
        <v/>
      </c>
      <c r="C449" s="8"/>
      <c r="D449" s="8"/>
      <c r="E449" s="8"/>
      <c r="F449" s="13"/>
      <c r="G449" s="14"/>
      <c r="H449" s="8"/>
      <c r="I449" s="11" t="str">
        <f aca="false">IF(OR(F449="",G449=""),"",ROUND(F449*G449,0))</f>
        <v/>
      </c>
    </row>
    <row r="450" customFormat="false" ht="15" hidden="false" customHeight="false" outlineLevel="0" collapsed="false">
      <c r="A450" s="8"/>
      <c r="B450" s="10" t="str">
        <f aca="false">IF(A450="","",IFERROR(VLOOKUP(A450,DonHang!$A$2:$C$500,3,FALSE()),"mã đơn chưa có"))</f>
        <v/>
      </c>
      <c r="C450" s="8"/>
      <c r="D450" s="8"/>
      <c r="E450" s="8"/>
      <c r="F450" s="13"/>
      <c r="G450" s="14"/>
      <c r="H450" s="8"/>
      <c r="I450" s="11" t="str">
        <f aca="false">IF(OR(F450="",G450=""),"",ROUND(F450*G450,0))</f>
        <v/>
      </c>
    </row>
    <row r="451" customFormat="false" ht="15" hidden="false" customHeight="false" outlineLevel="0" collapsed="false">
      <c r="A451" s="8"/>
      <c r="B451" s="10" t="str">
        <f aca="false">IF(A451="","",IFERROR(VLOOKUP(A451,DonHang!$A$2:$C$500,3,FALSE()),"mã đơn chưa có"))</f>
        <v/>
      </c>
      <c r="C451" s="8"/>
      <c r="D451" s="8"/>
      <c r="E451" s="8"/>
      <c r="F451" s="13"/>
      <c r="G451" s="14"/>
      <c r="H451" s="8"/>
      <c r="I451" s="11" t="str">
        <f aca="false">IF(OR(F451="",G451=""),"",ROUND(F451*G451,0))</f>
        <v/>
      </c>
    </row>
    <row r="452" customFormat="false" ht="15" hidden="false" customHeight="false" outlineLevel="0" collapsed="false">
      <c r="A452" s="8"/>
      <c r="B452" s="10" t="str">
        <f aca="false">IF(A452="","",IFERROR(VLOOKUP(A452,DonHang!$A$2:$C$500,3,FALSE()),"mã đơn chưa có"))</f>
        <v/>
      </c>
      <c r="C452" s="8"/>
      <c r="D452" s="8"/>
      <c r="E452" s="8"/>
      <c r="F452" s="13"/>
      <c r="G452" s="14"/>
      <c r="H452" s="8"/>
      <c r="I452" s="11" t="str">
        <f aca="false">IF(OR(F452="",G452=""),"",ROUND(F452*G452,0))</f>
        <v/>
      </c>
    </row>
    <row r="453" customFormat="false" ht="15" hidden="false" customHeight="false" outlineLevel="0" collapsed="false">
      <c r="A453" s="8"/>
      <c r="B453" s="10" t="str">
        <f aca="false">IF(A453="","",IFERROR(VLOOKUP(A453,DonHang!$A$2:$C$500,3,FALSE()),"mã đơn chưa có"))</f>
        <v/>
      </c>
      <c r="C453" s="8"/>
      <c r="D453" s="8"/>
      <c r="E453" s="8"/>
      <c r="F453" s="13"/>
      <c r="G453" s="14"/>
      <c r="H453" s="8"/>
      <c r="I453" s="11" t="str">
        <f aca="false">IF(OR(F453="",G453=""),"",ROUND(F453*G453,0))</f>
        <v/>
      </c>
    </row>
    <row r="454" customFormat="false" ht="15" hidden="false" customHeight="false" outlineLevel="0" collapsed="false">
      <c r="A454" s="8"/>
      <c r="B454" s="10" t="str">
        <f aca="false">IF(A454="","",IFERROR(VLOOKUP(A454,DonHang!$A$2:$C$500,3,FALSE()),"mã đơn chưa có"))</f>
        <v/>
      </c>
      <c r="C454" s="8"/>
      <c r="D454" s="8"/>
      <c r="E454" s="8"/>
      <c r="F454" s="13"/>
      <c r="G454" s="14"/>
      <c r="H454" s="8"/>
      <c r="I454" s="11" t="str">
        <f aca="false">IF(OR(F454="",G454=""),"",ROUND(F454*G454,0))</f>
        <v/>
      </c>
    </row>
    <row r="455" customFormat="false" ht="15" hidden="false" customHeight="false" outlineLevel="0" collapsed="false">
      <c r="A455" s="8"/>
      <c r="B455" s="10" t="str">
        <f aca="false">IF(A455="","",IFERROR(VLOOKUP(A455,DonHang!$A$2:$C$500,3,FALSE()),"mã đơn chưa có"))</f>
        <v/>
      </c>
      <c r="C455" s="8"/>
      <c r="D455" s="8"/>
      <c r="E455" s="8"/>
      <c r="F455" s="13"/>
      <c r="G455" s="14"/>
      <c r="H455" s="8"/>
      <c r="I455" s="11" t="str">
        <f aca="false">IF(OR(F455="",G455=""),"",ROUND(F455*G455,0))</f>
        <v/>
      </c>
    </row>
    <row r="456" customFormat="false" ht="15" hidden="false" customHeight="false" outlineLevel="0" collapsed="false">
      <c r="A456" s="8"/>
      <c r="B456" s="10" t="str">
        <f aca="false">IF(A456="","",IFERROR(VLOOKUP(A456,DonHang!$A$2:$C$500,3,FALSE()),"mã đơn chưa có"))</f>
        <v/>
      </c>
      <c r="C456" s="8"/>
      <c r="D456" s="8"/>
      <c r="E456" s="8"/>
      <c r="F456" s="13"/>
      <c r="G456" s="14"/>
      <c r="H456" s="8"/>
      <c r="I456" s="11" t="str">
        <f aca="false">IF(OR(F456="",G456=""),"",ROUND(F456*G456,0))</f>
        <v/>
      </c>
    </row>
    <row r="457" customFormat="false" ht="15" hidden="false" customHeight="false" outlineLevel="0" collapsed="false">
      <c r="A457" s="8"/>
      <c r="B457" s="10" t="str">
        <f aca="false">IF(A457="","",IFERROR(VLOOKUP(A457,DonHang!$A$2:$C$500,3,FALSE()),"mã đơn chưa có"))</f>
        <v/>
      </c>
      <c r="C457" s="8"/>
      <c r="D457" s="8"/>
      <c r="E457" s="8"/>
      <c r="F457" s="13"/>
      <c r="G457" s="14"/>
      <c r="H457" s="8"/>
      <c r="I457" s="11" t="str">
        <f aca="false">IF(OR(F457="",G457=""),"",ROUND(F457*G457,0))</f>
        <v/>
      </c>
    </row>
    <row r="458" customFormat="false" ht="15" hidden="false" customHeight="false" outlineLevel="0" collapsed="false">
      <c r="A458" s="8"/>
      <c r="B458" s="10" t="str">
        <f aca="false">IF(A458="","",IFERROR(VLOOKUP(A458,DonHang!$A$2:$C$500,3,FALSE()),"mã đơn chưa có"))</f>
        <v/>
      </c>
      <c r="C458" s="8"/>
      <c r="D458" s="8"/>
      <c r="E458" s="8"/>
      <c r="F458" s="13"/>
      <c r="G458" s="14"/>
      <c r="H458" s="8"/>
      <c r="I458" s="11" t="str">
        <f aca="false">IF(OR(F458="",G458=""),"",ROUND(F458*G458,0))</f>
        <v/>
      </c>
    </row>
    <row r="459" customFormat="false" ht="15" hidden="false" customHeight="false" outlineLevel="0" collapsed="false">
      <c r="A459" s="8"/>
      <c r="B459" s="10" t="str">
        <f aca="false">IF(A459="","",IFERROR(VLOOKUP(A459,DonHang!$A$2:$C$500,3,FALSE()),"mã đơn chưa có"))</f>
        <v/>
      </c>
      <c r="C459" s="8"/>
      <c r="D459" s="8"/>
      <c r="E459" s="8"/>
      <c r="F459" s="13"/>
      <c r="G459" s="14"/>
      <c r="H459" s="8"/>
      <c r="I459" s="11" t="str">
        <f aca="false">IF(OR(F459="",G459=""),"",ROUND(F459*G459,0))</f>
        <v/>
      </c>
    </row>
    <row r="460" customFormat="false" ht="15" hidden="false" customHeight="false" outlineLevel="0" collapsed="false">
      <c r="A460" s="8"/>
      <c r="B460" s="10" t="str">
        <f aca="false">IF(A460="","",IFERROR(VLOOKUP(A460,DonHang!$A$2:$C$500,3,FALSE()),"mã đơn chưa có"))</f>
        <v/>
      </c>
      <c r="C460" s="8"/>
      <c r="D460" s="8"/>
      <c r="E460" s="8"/>
      <c r="F460" s="13"/>
      <c r="G460" s="14"/>
      <c r="H460" s="8"/>
      <c r="I460" s="11" t="str">
        <f aca="false">IF(OR(F460="",G460=""),"",ROUND(F460*G460,0))</f>
        <v/>
      </c>
    </row>
    <row r="461" customFormat="false" ht="15" hidden="false" customHeight="false" outlineLevel="0" collapsed="false">
      <c r="A461" s="8"/>
      <c r="B461" s="10" t="str">
        <f aca="false">IF(A461="","",IFERROR(VLOOKUP(A461,DonHang!$A$2:$C$500,3,FALSE()),"mã đơn chưa có"))</f>
        <v/>
      </c>
      <c r="C461" s="8"/>
      <c r="D461" s="8"/>
      <c r="E461" s="8"/>
      <c r="F461" s="13"/>
      <c r="G461" s="14"/>
      <c r="H461" s="8"/>
      <c r="I461" s="11" t="str">
        <f aca="false">IF(OR(F461="",G461=""),"",ROUND(F461*G461,0))</f>
        <v/>
      </c>
    </row>
    <row r="462" customFormat="false" ht="15" hidden="false" customHeight="false" outlineLevel="0" collapsed="false">
      <c r="A462" s="8"/>
      <c r="B462" s="10" t="str">
        <f aca="false">IF(A462="","",IFERROR(VLOOKUP(A462,DonHang!$A$2:$C$500,3,FALSE()),"mã đơn chưa có"))</f>
        <v/>
      </c>
      <c r="C462" s="8"/>
      <c r="D462" s="8"/>
      <c r="E462" s="8"/>
      <c r="F462" s="13"/>
      <c r="G462" s="14"/>
      <c r="H462" s="8"/>
      <c r="I462" s="11" t="str">
        <f aca="false">IF(OR(F462="",G462=""),"",ROUND(F462*G462,0))</f>
        <v/>
      </c>
    </row>
    <row r="463" customFormat="false" ht="15" hidden="false" customHeight="false" outlineLevel="0" collapsed="false">
      <c r="A463" s="8"/>
      <c r="B463" s="10" t="str">
        <f aca="false">IF(A463="","",IFERROR(VLOOKUP(A463,DonHang!$A$2:$C$500,3,FALSE()),"mã đơn chưa có"))</f>
        <v/>
      </c>
      <c r="C463" s="8"/>
      <c r="D463" s="8"/>
      <c r="E463" s="8"/>
      <c r="F463" s="13"/>
      <c r="G463" s="14"/>
      <c r="H463" s="8"/>
      <c r="I463" s="11" t="str">
        <f aca="false">IF(OR(F463="",G463=""),"",ROUND(F463*G463,0))</f>
        <v/>
      </c>
    </row>
    <row r="464" customFormat="false" ht="15" hidden="false" customHeight="false" outlineLevel="0" collapsed="false">
      <c r="A464" s="8"/>
      <c r="B464" s="10" t="str">
        <f aca="false">IF(A464="","",IFERROR(VLOOKUP(A464,DonHang!$A$2:$C$500,3,FALSE()),"mã đơn chưa có"))</f>
        <v/>
      </c>
      <c r="C464" s="8"/>
      <c r="D464" s="8"/>
      <c r="E464" s="8"/>
      <c r="F464" s="13"/>
      <c r="G464" s="14"/>
      <c r="H464" s="8"/>
      <c r="I464" s="11" t="str">
        <f aca="false">IF(OR(F464="",G464=""),"",ROUND(F464*G464,0))</f>
        <v/>
      </c>
    </row>
    <row r="465" customFormat="false" ht="15" hidden="false" customHeight="false" outlineLevel="0" collapsed="false">
      <c r="A465" s="8"/>
      <c r="B465" s="10" t="str">
        <f aca="false">IF(A465="","",IFERROR(VLOOKUP(A465,DonHang!$A$2:$C$500,3,FALSE()),"mã đơn chưa có"))</f>
        <v/>
      </c>
      <c r="C465" s="8"/>
      <c r="D465" s="8"/>
      <c r="E465" s="8"/>
      <c r="F465" s="13"/>
      <c r="G465" s="14"/>
      <c r="H465" s="8"/>
      <c r="I465" s="11" t="str">
        <f aca="false">IF(OR(F465="",G465=""),"",ROUND(F465*G465,0))</f>
        <v/>
      </c>
    </row>
    <row r="466" customFormat="false" ht="15" hidden="false" customHeight="false" outlineLevel="0" collapsed="false">
      <c r="A466" s="8"/>
      <c r="B466" s="10" t="str">
        <f aca="false">IF(A466="","",IFERROR(VLOOKUP(A466,DonHang!$A$2:$C$500,3,FALSE()),"mã đơn chưa có"))</f>
        <v/>
      </c>
      <c r="C466" s="8"/>
      <c r="D466" s="8"/>
      <c r="E466" s="8"/>
      <c r="F466" s="13"/>
      <c r="G466" s="14"/>
      <c r="H466" s="8"/>
      <c r="I466" s="11" t="str">
        <f aca="false">IF(OR(F466="",G466=""),"",ROUND(F466*G466,0))</f>
        <v/>
      </c>
    </row>
    <row r="467" customFormat="false" ht="15" hidden="false" customHeight="false" outlineLevel="0" collapsed="false">
      <c r="A467" s="8"/>
      <c r="B467" s="10" t="str">
        <f aca="false">IF(A467="","",IFERROR(VLOOKUP(A467,DonHang!$A$2:$C$500,3,FALSE()),"mã đơn chưa có"))</f>
        <v/>
      </c>
      <c r="C467" s="8"/>
      <c r="D467" s="8"/>
      <c r="E467" s="8"/>
      <c r="F467" s="13"/>
      <c r="G467" s="14"/>
      <c r="H467" s="8"/>
      <c r="I467" s="11" t="str">
        <f aca="false">IF(OR(F467="",G467=""),"",ROUND(F467*G467,0))</f>
        <v/>
      </c>
    </row>
    <row r="468" customFormat="false" ht="15" hidden="false" customHeight="false" outlineLevel="0" collapsed="false">
      <c r="A468" s="8"/>
      <c r="B468" s="10" t="str">
        <f aca="false">IF(A468="","",IFERROR(VLOOKUP(A468,DonHang!$A$2:$C$500,3,FALSE()),"mã đơn chưa có"))</f>
        <v/>
      </c>
      <c r="C468" s="8"/>
      <c r="D468" s="8"/>
      <c r="E468" s="8"/>
      <c r="F468" s="13"/>
      <c r="G468" s="14"/>
      <c r="H468" s="8"/>
      <c r="I468" s="11" t="str">
        <f aca="false">IF(OR(F468="",G468=""),"",ROUND(F468*G468,0))</f>
        <v/>
      </c>
    </row>
    <row r="469" customFormat="false" ht="15" hidden="false" customHeight="false" outlineLevel="0" collapsed="false">
      <c r="A469" s="8"/>
      <c r="B469" s="10" t="str">
        <f aca="false">IF(A469="","",IFERROR(VLOOKUP(A469,DonHang!$A$2:$C$500,3,FALSE()),"mã đơn chưa có"))</f>
        <v/>
      </c>
      <c r="C469" s="8"/>
      <c r="D469" s="8"/>
      <c r="E469" s="8"/>
      <c r="F469" s="13"/>
      <c r="G469" s="14"/>
      <c r="H469" s="8"/>
      <c r="I469" s="11" t="str">
        <f aca="false">IF(OR(F469="",G469=""),"",ROUND(F469*G469,0))</f>
        <v/>
      </c>
    </row>
    <row r="470" customFormat="false" ht="15" hidden="false" customHeight="false" outlineLevel="0" collapsed="false">
      <c r="A470" s="8"/>
      <c r="B470" s="10" t="str">
        <f aca="false">IF(A470="","",IFERROR(VLOOKUP(A470,DonHang!$A$2:$C$500,3,FALSE()),"mã đơn chưa có"))</f>
        <v/>
      </c>
      <c r="C470" s="8"/>
      <c r="D470" s="8"/>
      <c r="E470" s="8"/>
      <c r="F470" s="13"/>
      <c r="G470" s="14"/>
      <c r="H470" s="8"/>
      <c r="I470" s="11" t="str">
        <f aca="false">IF(OR(F470="",G470=""),"",ROUND(F470*G470,0))</f>
        <v/>
      </c>
    </row>
    <row r="471" customFormat="false" ht="15" hidden="false" customHeight="false" outlineLevel="0" collapsed="false">
      <c r="A471" s="8"/>
      <c r="B471" s="10" t="str">
        <f aca="false">IF(A471="","",IFERROR(VLOOKUP(A471,DonHang!$A$2:$C$500,3,FALSE()),"mã đơn chưa có"))</f>
        <v/>
      </c>
      <c r="C471" s="8"/>
      <c r="D471" s="8"/>
      <c r="E471" s="8"/>
      <c r="F471" s="13"/>
      <c r="G471" s="14"/>
      <c r="H471" s="8"/>
      <c r="I471" s="11" t="str">
        <f aca="false">IF(OR(F471="",G471=""),"",ROUND(F471*G471,0))</f>
        <v/>
      </c>
    </row>
    <row r="472" customFormat="false" ht="15" hidden="false" customHeight="false" outlineLevel="0" collapsed="false">
      <c r="A472" s="8"/>
      <c r="B472" s="10" t="str">
        <f aca="false">IF(A472="","",IFERROR(VLOOKUP(A472,DonHang!$A$2:$C$500,3,FALSE()),"mã đơn chưa có"))</f>
        <v/>
      </c>
      <c r="C472" s="8"/>
      <c r="D472" s="8"/>
      <c r="E472" s="8"/>
      <c r="F472" s="13"/>
      <c r="G472" s="14"/>
      <c r="H472" s="8"/>
      <c r="I472" s="11" t="str">
        <f aca="false">IF(OR(F472="",G472=""),"",ROUND(F472*G472,0))</f>
        <v/>
      </c>
    </row>
    <row r="473" customFormat="false" ht="15" hidden="false" customHeight="false" outlineLevel="0" collapsed="false">
      <c r="A473" s="8"/>
      <c r="B473" s="10" t="str">
        <f aca="false">IF(A473="","",IFERROR(VLOOKUP(A473,DonHang!$A$2:$C$500,3,FALSE()),"mã đơn chưa có"))</f>
        <v/>
      </c>
      <c r="C473" s="8"/>
      <c r="D473" s="8"/>
      <c r="E473" s="8"/>
      <c r="F473" s="13"/>
      <c r="G473" s="14"/>
      <c r="H473" s="8"/>
      <c r="I473" s="11" t="str">
        <f aca="false">IF(OR(F473="",G473=""),"",ROUND(F473*G473,0))</f>
        <v/>
      </c>
    </row>
    <row r="474" customFormat="false" ht="15" hidden="false" customHeight="false" outlineLevel="0" collapsed="false">
      <c r="A474" s="8"/>
      <c r="B474" s="10" t="str">
        <f aca="false">IF(A474="","",IFERROR(VLOOKUP(A474,DonHang!$A$2:$C$500,3,FALSE()),"mã đơn chưa có"))</f>
        <v/>
      </c>
      <c r="C474" s="8"/>
      <c r="D474" s="8"/>
      <c r="E474" s="8"/>
      <c r="F474" s="13"/>
      <c r="G474" s="14"/>
      <c r="H474" s="8"/>
      <c r="I474" s="11" t="str">
        <f aca="false">IF(OR(F474="",G474=""),"",ROUND(F474*G474,0))</f>
        <v/>
      </c>
    </row>
    <row r="475" customFormat="false" ht="15" hidden="false" customHeight="false" outlineLevel="0" collapsed="false">
      <c r="A475" s="8"/>
      <c r="B475" s="10" t="str">
        <f aca="false">IF(A475="","",IFERROR(VLOOKUP(A475,DonHang!$A$2:$C$500,3,FALSE()),"mã đơn chưa có"))</f>
        <v/>
      </c>
      <c r="C475" s="8"/>
      <c r="D475" s="8"/>
      <c r="E475" s="8"/>
      <c r="F475" s="13"/>
      <c r="G475" s="14"/>
      <c r="H475" s="8"/>
      <c r="I475" s="11" t="str">
        <f aca="false">IF(OR(F475="",G475=""),"",ROUND(F475*G475,0))</f>
        <v/>
      </c>
    </row>
    <row r="476" customFormat="false" ht="15" hidden="false" customHeight="false" outlineLevel="0" collapsed="false">
      <c r="A476" s="8"/>
      <c r="B476" s="10" t="str">
        <f aca="false">IF(A476="","",IFERROR(VLOOKUP(A476,DonHang!$A$2:$C$500,3,FALSE()),"mã đơn chưa có"))</f>
        <v/>
      </c>
      <c r="C476" s="8"/>
      <c r="D476" s="8"/>
      <c r="E476" s="8"/>
      <c r="F476" s="13"/>
      <c r="G476" s="14"/>
      <c r="H476" s="8"/>
      <c r="I476" s="11" t="str">
        <f aca="false">IF(OR(F476="",G476=""),"",ROUND(F476*G476,0))</f>
        <v/>
      </c>
    </row>
    <row r="477" customFormat="false" ht="15" hidden="false" customHeight="false" outlineLevel="0" collapsed="false">
      <c r="A477" s="8"/>
      <c r="B477" s="10" t="str">
        <f aca="false">IF(A477="","",IFERROR(VLOOKUP(A477,DonHang!$A$2:$C$500,3,FALSE()),"mã đơn chưa có"))</f>
        <v/>
      </c>
      <c r="C477" s="8"/>
      <c r="D477" s="8"/>
      <c r="E477" s="8"/>
      <c r="F477" s="13"/>
      <c r="G477" s="14"/>
      <c r="H477" s="8"/>
      <c r="I477" s="11" t="str">
        <f aca="false">IF(OR(F477="",G477=""),"",ROUND(F477*G477,0))</f>
        <v/>
      </c>
    </row>
    <row r="478" customFormat="false" ht="15" hidden="false" customHeight="false" outlineLevel="0" collapsed="false">
      <c r="A478" s="8"/>
      <c r="B478" s="10" t="str">
        <f aca="false">IF(A478="","",IFERROR(VLOOKUP(A478,DonHang!$A$2:$C$500,3,FALSE()),"mã đơn chưa có"))</f>
        <v/>
      </c>
      <c r="C478" s="8"/>
      <c r="D478" s="8"/>
      <c r="E478" s="8"/>
      <c r="F478" s="13"/>
      <c r="G478" s="14"/>
      <c r="H478" s="8"/>
      <c r="I478" s="11" t="str">
        <f aca="false">IF(OR(F478="",G478=""),"",ROUND(F478*G478,0))</f>
        <v/>
      </c>
    </row>
    <row r="479" customFormat="false" ht="15" hidden="false" customHeight="false" outlineLevel="0" collapsed="false">
      <c r="A479" s="8"/>
      <c r="B479" s="10" t="str">
        <f aca="false">IF(A479="","",IFERROR(VLOOKUP(A479,DonHang!$A$2:$C$500,3,FALSE()),"mã đơn chưa có"))</f>
        <v/>
      </c>
      <c r="C479" s="8"/>
      <c r="D479" s="8"/>
      <c r="E479" s="8"/>
      <c r="F479" s="13"/>
      <c r="G479" s="14"/>
      <c r="H479" s="8"/>
      <c r="I479" s="11" t="str">
        <f aca="false">IF(OR(F479="",G479=""),"",ROUND(F479*G479,0))</f>
        <v/>
      </c>
    </row>
    <row r="480" customFormat="false" ht="15" hidden="false" customHeight="false" outlineLevel="0" collapsed="false">
      <c r="A480" s="8"/>
      <c r="B480" s="10" t="str">
        <f aca="false">IF(A480="","",IFERROR(VLOOKUP(A480,DonHang!$A$2:$C$500,3,FALSE()),"mã đơn chưa có"))</f>
        <v/>
      </c>
      <c r="C480" s="8"/>
      <c r="D480" s="8"/>
      <c r="E480" s="8"/>
      <c r="F480" s="13"/>
      <c r="G480" s="14"/>
      <c r="H480" s="8"/>
      <c r="I480" s="11" t="str">
        <f aca="false">IF(OR(F480="",G480=""),"",ROUND(F480*G480,0))</f>
        <v/>
      </c>
    </row>
    <row r="481" customFormat="false" ht="15" hidden="false" customHeight="false" outlineLevel="0" collapsed="false">
      <c r="A481" s="8"/>
      <c r="B481" s="10" t="str">
        <f aca="false">IF(A481="","",IFERROR(VLOOKUP(A481,DonHang!$A$2:$C$500,3,FALSE()),"mã đơn chưa có"))</f>
        <v/>
      </c>
      <c r="C481" s="8"/>
      <c r="D481" s="8"/>
      <c r="E481" s="8"/>
      <c r="F481" s="13"/>
      <c r="G481" s="14"/>
      <c r="H481" s="8"/>
      <c r="I481" s="11" t="str">
        <f aca="false">IF(OR(F481="",G481=""),"",ROUND(F481*G481,0))</f>
        <v/>
      </c>
    </row>
    <row r="482" customFormat="false" ht="15" hidden="false" customHeight="false" outlineLevel="0" collapsed="false">
      <c r="A482" s="8"/>
      <c r="B482" s="10" t="str">
        <f aca="false">IF(A482="","",IFERROR(VLOOKUP(A482,DonHang!$A$2:$C$500,3,FALSE()),"mã đơn chưa có"))</f>
        <v/>
      </c>
      <c r="C482" s="8"/>
      <c r="D482" s="8"/>
      <c r="E482" s="8"/>
      <c r="F482" s="13"/>
      <c r="G482" s="14"/>
      <c r="H482" s="8"/>
      <c r="I482" s="11" t="str">
        <f aca="false">IF(OR(F482="",G482=""),"",ROUND(F482*G482,0))</f>
        <v/>
      </c>
    </row>
    <row r="483" customFormat="false" ht="15" hidden="false" customHeight="false" outlineLevel="0" collapsed="false">
      <c r="A483" s="8"/>
      <c r="B483" s="10" t="str">
        <f aca="false">IF(A483="","",IFERROR(VLOOKUP(A483,DonHang!$A$2:$C$500,3,FALSE()),"mã đơn chưa có"))</f>
        <v/>
      </c>
      <c r="C483" s="8"/>
      <c r="D483" s="8"/>
      <c r="E483" s="8"/>
      <c r="F483" s="13"/>
      <c r="G483" s="14"/>
      <c r="H483" s="8"/>
      <c r="I483" s="11" t="str">
        <f aca="false">IF(OR(F483="",G483=""),"",ROUND(F483*G483,0))</f>
        <v/>
      </c>
    </row>
    <row r="484" customFormat="false" ht="15" hidden="false" customHeight="false" outlineLevel="0" collapsed="false">
      <c r="A484" s="8"/>
      <c r="B484" s="10" t="str">
        <f aca="false">IF(A484="","",IFERROR(VLOOKUP(A484,DonHang!$A$2:$C$500,3,FALSE()),"mã đơn chưa có"))</f>
        <v/>
      </c>
      <c r="C484" s="8"/>
      <c r="D484" s="8"/>
      <c r="E484" s="8"/>
      <c r="F484" s="13"/>
      <c r="G484" s="14"/>
      <c r="H484" s="8"/>
      <c r="I484" s="11" t="str">
        <f aca="false">IF(OR(F484="",G484=""),"",ROUND(F484*G484,0))</f>
        <v/>
      </c>
    </row>
    <row r="485" customFormat="false" ht="15" hidden="false" customHeight="false" outlineLevel="0" collapsed="false">
      <c r="A485" s="8"/>
      <c r="B485" s="10" t="str">
        <f aca="false">IF(A485="","",IFERROR(VLOOKUP(A485,DonHang!$A$2:$C$500,3,FALSE()),"mã đơn chưa có"))</f>
        <v/>
      </c>
      <c r="C485" s="8"/>
      <c r="D485" s="8"/>
      <c r="E485" s="8"/>
      <c r="F485" s="13"/>
      <c r="G485" s="14"/>
      <c r="H485" s="8"/>
      <c r="I485" s="11" t="str">
        <f aca="false">IF(OR(F485="",G485=""),"",ROUND(F485*G485,0))</f>
        <v/>
      </c>
    </row>
    <row r="486" customFormat="false" ht="15" hidden="false" customHeight="false" outlineLevel="0" collapsed="false">
      <c r="A486" s="8"/>
      <c r="B486" s="10" t="str">
        <f aca="false">IF(A486="","",IFERROR(VLOOKUP(A486,DonHang!$A$2:$C$500,3,FALSE()),"mã đơn chưa có"))</f>
        <v/>
      </c>
      <c r="C486" s="8"/>
      <c r="D486" s="8"/>
      <c r="E486" s="8"/>
      <c r="F486" s="13"/>
      <c r="G486" s="14"/>
      <c r="H486" s="8"/>
      <c r="I486" s="11" t="str">
        <f aca="false">IF(OR(F486="",G486=""),"",ROUND(F486*G486,0))</f>
        <v/>
      </c>
    </row>
    <row r="487" customFormat="false" ht="15" hidden="false" customHeight="false" outlineLevel="0" collapsed="false">
      <c r="A487" s="8"/>
      <c r="B487" s="10" t="str">
        <f aca="false">IF(A487="","",IFERROR(VLOOKUP(A487,DonHang!$A$2:$C$500,3,FALSE()),"mã đơn chưa có"))</f>
        <v/>
      </c>
      <c r="C487" s="8"/>
      <c r="D487" s="8"/>
      <c r="E487" s="8"/>
      <c r="F487" s="13"/>
      <c r="G487" s="14"/>
      <c r="H487" s="8"/>
      <c r="I487" s="11" t="str">
        <f aca="false">IF(OR(F487="",G487=""),"",ROUND(F487*G487,0))</f>
        <v/>
      </c>
    </row>
    <row r="488" customFormat="false" ht="15" hidden="false" customHeight="false" outlineLevel="0" collapsed="false">
      <c r="A488" s="8"/>
      <c r="B488" s="10" t="str">
        <f aca="false">IF(A488="","",IFERROR(VLOOKUP(A488,DonHang!$A$2:$C$500,3,FALSE()),"mã đơn chưa có"))</f>
        <v/>
      </c>
      <c r="C488" s="8"/>
      <c r="D488" s="8"/>
      <c r="E488" s="8"/>
      <c r="F488" s="13"/>
      <c r="G488" s="14"/>
      <c r="H488" s="8"/>
      <c r="I488" s="11" t="str">
        <f aca="false">IF(OR(F488="",G488=""),"",ROUND(F488*G488,0))</f>
        <v/>
      </c>
    </row>
    <row r="489" customFormat="false" ht="15" hidden="false" customHeight="false" outlineLevel="0" collapsed="false">
      <c r="A489" s="8"/>
      <c r="B489" s="10" t="str">
        <f aca="false">IF(A489="","",IFERROR(VLOOKUP(A489,DonHang!$A$2:$C$500,3,FALSE()),"mã đơn chưa có"))</f>
        <v/>
      </c>
      <c r="C489" s="8"/>
      <c r="D489" s="8"/>
      <c r="E489" s="8"/>
      <c r="F489" s="13"/>
      <c r="G489" s="14"/>
      <c r="H489" s="8"/>
      <c r="I489" s="11" t="str">
        <f aca="false">IF(OR(F489="",G489=""),"",ROUND(F489*G489,0))</f>
        <v/>
      </c>
    </row>
    <row r="490" customFormat="false" ht="15" hidden="false" customHeight="false" outlineLevel="0" collapsed="false">
      <c r="A490" s="8"/>
      <c r="B490" s="10" t="str">
        <f aca="false">IF(A490="","",IFERROR(VLOOKUP(A490,DonHang!$A$2:$C$500,3,FALSE()),"mã đơn chưa có"))</f>
        <v/>
      </c>
      <c r="C490" s="8"/>
      <c r="D490" s="8"/>
      <c r="E490" s="8"/>
      <c r="F490" s="13"/>
      <c r="G490" s="14"/>
      <c r="H490" s="8"/>
      <c r="I490" s="11" t="str">
        <f aca="false">IF(OR(F490="",G490=""),"",ROUND(F490*G490,0))</f>
        <v/>
      </c>
    </row>
    <row r="491" customFormat="false" ht="15" hidden="false" customHeight="false" outlineLevel="0" collapsed="false">
      <c r="A491" s="8"/>
      <c r="B491" s="10" t="str">
        <f aca="false">IF(A491="","",IFERROR(VLOOKUP(A491,DonHang!$A$2:$C$500,3,FALSE()),"mã đơn chưa có"))</f>
        <v/>
      </c>
      <c r="C491" s="8"/>
      <c r="D491" s="8"/>
      <c r="E491" s="8"/>
      <c r="F491" s="13"/>
      <c r="G491" s="14"/>
      <c r="H491" s="8"/>
      <c r="I491" s="11" t="str">
        <f aca="false">IF(OR(F491="",G491=""),"",ROUND(F491*G491,0))</f>
        <v/>
      </c>
    </row>
    <row r="492" customFormat="false" ht="15" hidden="false" customHeight="false" outlineLevel="0" collapsed="false">
      <c r="A492" s="8"/>
      <c r="B492" s="10" t="str">
        <f aca="false">IF(A492="","",IFERROR(VLOOKUP(A492,DonHang!$A$2:$C$500,3,FALSE()),"mã đơn chưa có"))</f>
        <v/>
      </c>
      <c r="C492" s="8"/>
      <c r="D492" s="8"/>
      <c r="E492" s="8"/>
      <c r="F492" s="13"/>
      <c r="G492" s="14"/>
      <c r="H492" s="8"/>
      <c r="I492" s="11" t="str">
        <f aca="false">IF(OR(F492="",G492=""),"",ROUND(F492*G492,0))</f>
        <v/>
      </c>
    </row>
    <row r="493" customFormat="false" ht="15" hidden="false" customHeight="false" outlineLevel="0" collapsed="false">
      <c r="A493" s="8"/>
      <c r="B493" s="10" t="str">
        <f aca="false">IF(A493="","",IFERROR(VLOOKUP(A493,DonHang!$A$2:$C$500,3,FALSE()),"mã đơn chưa có"))</f>
        <v/>
      </c>
      <c r="C493" s="8"/>
      <c r="D493" s="8"/>
      <c r="E493" s="8"/>
      <c r="F493" s="13"/>
      <c r="G493" s="14"/>
      <c r="H493" s="8"/>
      <c r="I493" s="11" t="str">
        <f aca="false">IF(OR(F493="",G493=""),"",ROUND(F493*G493,0))</f>
        <v/>
      </c>
    </row>
    <row r="494" customFormat="false" ht="15" hidden="false" customHeight="false" outlineLevel="0" collapsed="false">
      <c r="A494" s="8"/>
      <c r="B494" s="10" t="str">
        <f aca="false">IF(A494="","",IFERROR(VLOOKUP(A494,DonHang!$A$2:$C$500,3,FALSE()),"mã đơn chưa có"))</f>
        <v/>
      </c>
      <c r="C494" s="8"/>
      <c r="D494" s="8"/>
      <c r="E494" s="8"/>
      <c r="F494" s="13"/>
      <c r="G494" s="14"/>
      <c r="H494" s="8"/>
      <c r="I494" s="11" t="str">
        <f aca="false">IF(OR(F494="",G494=""),"",ROUND(F494*G494,0))</f>
        <v/>
      </c>
    </row>
    <row r="495" customFormat="false" ht="15" hidden="false" customHeight="false" outlineLevel="0" collapsed="false">
      <c r="A495" s="8"/>
      <c r="B495" s="10" t="str">
        <f aca="false">IF(A495="","",IFERROR(VLOOKUP(A495,DonHang!$A$2:$C$500,3,FALSE()),"mã đơn chưa có"))</f>
        <v/>
      </c>
      <c r="C495" s="8"/>
      <c r="D495" s="8"/>
      <c r="E495" s="8"/>
      <c r="F495" s="13"/>
      <c r="G495" s="14"/>
      <c r="H495" s="8"/>
      <c r="I495" s="11" t="str">
        <f aca="false">IF(OR(F495="",G495=""),"",ROUND(F495*G495,0))</f>
        <v/>
      </c>
    </row>
    <row r="496" customFormat="false" ht="15" hidden="false" customHeight="false" outlineLevel="0" collapsed="false">
      <c r="A496" s="8"/>
      <c r="B496" s="10" t="str">
        <f aca="false">IF(A496="","",IFERROR(VLOOKUP(A496,DonHang!$A$2:$C$500,3,FALSE()),"mã đơn chưa có"))</f>
        <v/>
      </c>
      <c r="C496" s="8"/>
      <c r="D496" s="8"/>
      <c r="E496" s="8"/>
      <c r="F496" s="13"/>
      <c r="G496" s="14"/>
      <c r="H496" s="8"/>
      <c r="I496" s="11" t="str">
        <f aca="false">IF(OR(F496="",G496=""),"",ROUND(F496*G496,0))</f>
        <v/>
      </c>
    </row>
    <row r="497" customFormat="false" ht="15" hidden="false" customHeight="false" outlineLevel="0" collapsed="false">
      <c r="A497" s="8"/>
      <c r="B497" s="10" t="str">
        <f aca="false">IF(A497="","",IFERROR(VLOOKUP(A497,DonHang!$A$2:$C$500,3,FALSE()),"mã đơn chưa có"))</f>
        <v/>
      </c>
      <c r="C497" s="8"/>
      <c r="D497" s="8"/>
      <c r="E497" s="8"/>
      <c r="F497" s="13"/>
      <c r="G497" s="14"/>
      <c r="H497" s="8"/>
      <c r="I497" s="11" t="str">
        <f aca="false">IF(OR(F497="",G497=""),"",ROUND(F497*G497,0))</f>
        <v/>
      </c>
    </row>
    <row r="498" customFormat="false" ht="15" hidden="false" customHeight="false" outlineLevel="0" collapsed="false">
      <c r="A498" s="8"/>
      <c r="B498" s="10" t="str">
        <f aca="false">IF(A498="","",IFERROR(VLOOKUP(A498,DonHang!$A$2:$C$500,3,FALSE()),"mã đơn chưa có"))</f>
        <v/>
      </c>
      <c r="C498" s="8"/>
      <c r="D498" s="8"/>
      <c r="E498" s="8"/>
      <c r="F498" s="13"/>
      <c r="G498" s="14"/>
      <c r="H498" s="8"/>
      <c r="I498" s="11" t="str">
        <f aca="false">IF(OR(F498="",G498=""),"",ROUND(F498*G498,0))</f>
        <v/>
      </c>
    </row>
    <row r="499" customFormat="false" ht="15" hidden="false" customHeight="false" outlineLevel="0" collapsed="false">
      <c r="A499" s="8"/>
      <c r="B499" s="10" t="str">
        <f aca="false">IF(A499="","",IFERROR(VLOOKUP(A499,DonHang!$A$2:$C$500,3,FALSE()),"mã đơn chưa có"))</f>
        <v/>
      </c>
      <c r="C499" s="8"/>
      <c r="D499" s="8"/>
      <c r="E499" s="8"/>
      <c r="F499" s="13"/>
      <c r="G499" s="14"/>
      <c r="H499" s="8"/>
      <c r="I499" s="11" t="str">
        <f aca="false">IF(OR(F499="",G499=""),"",ROUND(F499*G499,0))</f>
        <v/>
      </c>
    </row>
    <row r="500" customFormat="false" ht="15" hidden="false" customHeight="false" outlineLevel="0" collapsed="false">
      <c r="A500" s="8"/>
      <c r="B500" s="10" t="str">
        <f aca="false">IF(A500="","",IFERROR(VLOOKUP(A500,DonHang!$A$2:$C$500,3,FALSE()),"mã đơn chưa có"))</f>
        <v/>
      </c>
      <c r="C500" s="8"/>
      <c r="D500" s="8"/>
      <c r="E500" s="8"/>
      <c r="F500" s="13"/>
      <c r="G500" s="14"/>
      <c r="H500" s="8"/>
      <c r="I500" s="11" t="str">
        <f aca="false">IF(OR(F500="",G500=""),"",ROUND(F500*G500,0))</f>
        <v/>
      </c>
    </row>
    <row r="501" customFormat="false" ht="15" hidden="false" customHeight="false" outlineLevel="0" collapsed="false">
      <c r="A501" s="8"/>
      <c r="B501" s="10" t="str">
        <f aca="false">IF(A501="","",IFERROR(VLOOKUP(A501,DonHang!$A$2:$C$500,3,FALSE()),"mã đơn chưa có"))</f>
        <v/>
      </c>
      <c r="C501" s="8"/>
      <c r="D501" s="8"/>
      <c r="E501" s="8"/>
      <c r="F501" s="13"/>
      <c r="G501" s="14"/>
      <c r="H501" s="8"/>
      <c r="I501" s="11" t="str">
        <f aca="false">IF(OR(F501="",G501=""),"",ROUND(F501*G501,0))</f>
        <v/>
      </c>
    </row>
    <row r="502" customFormat="false" ht="15" hidden="false" customHeight="false" outlineLevel="0" collapsed="false">
      <c r="A502" s="8"/>
      <c r="B502" s="10" t="str">
        <f aca="false">IF(A502="","",IFERROR(VLOOKUP(A502,DonHang!$A$2:$C$500,3,FALSE()),"mã đơn chưa có"))</f>
        <v/>
      </c>
      <c r="C502" s="8"/>
      <c r="D502" s="8"/>
      <c r="E502" s="8"/>
      <c r="F502" s="13"/>
      <c r="G502" s="14"/>
      <c r="H502" s="8"/>
      <c r="I502" s="11" t="str">
        <f aca="false">IF(OR(F502="",G502=""),"",ROUND(F502*G502,0))</f>
        <v/>
      </c>
    </row>
    <row r="503" customFormat="false" ht="15" hidden="false" customHeight="false" outlineLevel="0" collapsed="false">
      <c r="A503" s="8"/>
      <c r="B503" s="10" t="str">
        <f aca="false">IF(A503="","",IFERROR(VLOOKUP(A503,DonHang!$A$2:$C$500,3,FALSE()),"mã đơn chưa có"))</f>
        <v/>
      </c>
      <c r="C503" s="8"/>
      <c r="D503" s="8"/>
      <c r="E503" s="8"/>
      <c r="F503" s="13"/>
      <c r="G503" s="14"/>
      <c r="H503" s="8"/>
      <c r="I503" s="11" t="str">
        <f aca="false">IF(OR(F503="",G503=""),"",ROUND(F503*G503,0))</f>
        <v/>
      </c>
    </row>
    <row r="504" customFormat="false" ht="15" hidden="false" customHeight="false" outlineLevel="0" collapsed="false">
      <c r="A504" s="8"/>
      <c r="B504" s="10" t="str">
        <f aca="false">IF(A504="","",IFERROR(VLOOKUP(A504,DonHang!$A$2:$C$500,3,FALSE()),"mã đơn chưa có"))</f>
        <v/>
      </c>
      <c r="C504" s="8"/>
      <c r="D504" s="8"/>
      <c r="E504" s="8"/>
      <c r="F504" s="13"/>
      <c r="G504" s="14"/>
      <c r="H504" s="8"/>
      <c r="I504" s="11" t="str">
        <f aca="false">IF(OR(F504="",G504=""),"",ROUND(F504*G504,0))</f>
        <v/>
      </c>
    </row>
    <row r="505" customFormat="false" ht="15" hidden="false" customHeight="false" outlineLevel="0" collapsed="false">
      <c r="A505" s="8"/>
      <c r="B505" s="10" t="str">
        <f aca="false">IF(A505="","",IFERROR(VLOOKUP(A505,DonHang!$A$2:$C$500,3,FALSE()),"mã đơn chưa có"))</f>
        <v/>
      </c>
      <c r="C505" s="8"/>
      <c r="D505" s="8"/>
      <c r="E505" s="8"/>
      <c r="F505" s="13"/>
      <c r="G505" s="14"/>
      <c r="H505" s="8"/>
      <c r="I505" s="11" t="str">
        <f aca="false">IF(OR(F505="",G505=""),"",ROUND(F505*G505,0))</f>
        <v/>
      </c>
    </row>
    <row r="506" customFormat="false" ht="15" hidden="false" customHeight="false" outlineLevel="0" collapsed="false">
      <c r="A506" s="8"/>
      <c r="B506" s="10" t="str">
        <f aca="false">IF(A506="","",IFERROR(VLOOKUP(A506,DonHang!$A$2:$C$500,3,FALSE()),"mã đơn chưa có"))</f>
        <v/>
      </c>
      <c r="C506" s="8"/>
      <c r="D506" s="8"/>
      <c r="E506" s="8"/>
      <c r="F506" s="13"/>
      <c r="G506" s="14"/>
      <c r="H506" s="8"/>
      <c r="I506" s="11" t="str">
        <f aca="false">IF(OR(F506="",G506=""),"",ROUND(F506*G506,0))</f>
        <v/>
      </c>
    </row>
    <row r="507" customFormat="false" ht="15" hidden="false" customHeight="false" outlineLevel="0" collapsed="false">
      <c r="A507" s="8"/>
      <c r="B507" s="10" t="str">
        <f aca="false">IF(A507="","",IFERROR(VLOOKUP(A507,DonHang!$A$2:$C$500,3,FALSE()),"mã đơn chưa có"))</f>
        <v/>
      </c>
      <c r="C507" s="8"/>
      <c r="D507" s="8"/>
      <c r="E507" s="8"/>
      <c r="F507" s="13"/>
      <c r="G507" s="14"/>
      <c r="H507" s="8"/>
      <c r="I507" s="11" t="str">
        <f aca="false">IF(OR(F507="",G507=""),"",ROUND(F507*G507,0))</f>
        <v/>
      </c>
    </row>
    <row r="508" customFormat="false" ht="15" hidden="false" customHeight="false" outlineLevel="0" collapsed="false">
      <c r="A508" s="8"/>
      <c r="B508" s="10" t="str">
        <f aca="false">IF(A508="","",IFERROR(VLOOKUP(A508,DonHang!$A$2:$C$500,3,FALSE()),"mã đơn chưa có"))</f>
        <v/>
      </c>
      <c r="C508" s="8"/>
      <c r="D508" s="8"/>
      <c r="E508" s="8"/>
      <c r="F508" s="13"/>
      <c r="G508" s="14"/>
      <c r="H508" s="8"/>
      <c r="I508" s="11" t="str">
        <f aca="false">IF(OR(F508="",G508=""),"",ROUND(F508*G508,0))</f>
        <v/>
      </c>
    </row>
    <row r="509" customFormat="false" ht="15" hidden="false" customHeight="false" outlineLevel="0" collapsed="false">
      <c r="A509" s="8"/>
      <c r="B509" s="10" t="str">
        <f aca="false">IF(A509="","",IFERROR(VLOOKUP(A509,DonHang!$A$2:$C$500,3,FALSE()),"mã đơn chưa có"))</f>
        <v/>
      </c>
      <c r="C509" s="8"/>
      <c r="D509" s="8"/>
      <c r="E509" s="8"/>
      <c r="F509" s="13"/>
      <c r="G509" s="14"/>
      <c r="H509" s="8"/>
      <c r="I509" s="11" t="str">
        <f aca="false">IF(OR(F509="",G509=""),"",ROUND(F509*G509,0))</f>
        <v/>
      </c>
    </row>
    <row r="510" customFormat="false" ht="15" hidden="false" customHeight="false" outlineLevel="0" collapsed="false">
      <c r="A510" s="8"/>
      <c r="B510" s="10" t="str">
        <f aca="false">IF(A510="","",IFERROR(VLOOKUP(A510,DonHang!$A$2:$C$500,3,FALSE()),"mã đơn chưa có"))</f>
        <v/>
      </c>
      <c r="C510" s="8"/>
      <c r="D510" s="8"/>
      <c r="E510" s="8"/>
      <c r="F510" s="13"/>
      <c r="G510" s="14"/>
      <c r="H510" s="8"/>
      <c r="I510" s="11" t="str">
        <f aca="false">IF(OR(F510="",G510=""),"",ROUND(F510*G510,0))</f>
        <v/>
      </c>
    </row>
    <row r="511" customFormat="false" ht="15" hidden="false" customHeight="false" outlineLevel="0" collapsed="false">
      <c r="A511" s="8"/>
      <c r="B511" s="10" t="str">
        <f aca="false">IF(A511="","",IFERROR(VLOOKUP(A511,DonHang!$A$2:$C$500,3,FALSE()),"mã đơn chưa có"))</f>
        <v/>
      </c>
      <c r="C511" s="8"/>
      <c r="D511" s="8"/>
      <c r="E511" s="8"/>
      <c r="F511" s="13"/>
      <c r="G511" s="14"/>
      <c r="H511" s="8"/>
      <c r="I511" s="11" t="str">
        <f aca="false">IF(OR(F511="",G511=""),"",ROUND(F511*G511,0))</f>
        <v/>
      </c>
    </row>
    <row r="512" customFormat="false" ht="15" hidden="false" customHeight="false" outlineLevel="0" collapsed="false">
      <c r="A512" s="8"/>
      <c r="B512" s="10" t="str">
        <f aca="false">IF(A512="","",IFERROR(VLOOKUP(A512,DonHang!$A$2:$C$500,3,FALSE()),"mã đơn chưa có"))</f>
        <v/>
      </c>
      <c r="C512" s="8"/>
      <c r="D512" s="8"/>
      <c r="E512" s="8"/>
      <c r="F512" s="13"/>
      <c r="G512" s="14"/>
      <c r="H512" s="8"/>
      <c r="I512" s="11" t="str">
        <f aca="false">IF(OR(F512="",G512=""),"",ROUND(F512*G512,0))</f>
        <v/>
      </c>
    </row>
    <row r="513" customFormat="false" ht="15" hidden="false" customHeight="false" outlineLevel="0" collapsed="false">
      <c r="A513" s="8"/>
      <c r="B513" s="10" t="str">
        <f aca="false">IF(A513="","",IFERROR(VLOOKUP(A513,DonHang!$A$2:$C$500,3,FALSE()),"mã đơn chưa có"))</f>
        <v/>
      </c>
      <c r="C513" s="8"/>
      <c r="D513" s="8"/>
      <c r="E513" s="8"/>
      <c r="F513" s="13"/>
      <c r="G513" s="14"/>
      <c r="H513" s="8"/>
      <c r="I513" s="11" t="str">
        <f aca="false">IF(OR(F513="",G513=""),"",ROUND(F513*G513,0))</f>
        <v/>
      </c>
    </row>
    <row r="514" customFormat="false" ht="15" hidden="false" customHeight="false" outlineLevel="0" collapsed="false">
      <c r="A514" s="8"/>
      <c r="B514" s="10" t="str">
        <f aca="false">IF(A514="","",IFERROR(VLOOKUP(A514,DonHang!$A$2:$C$500,3,FALSE()),"mã đơn chưa có"))</f>
        <v/>
      </c>
      <c r="C514" s="8"/>
      <c r="D514" s="8"/>
      <c r="E514" s="8"/>
      <c r="F514" s="13"/>
      <c r="G514" s="14"/>
      <c r="H514" s="8"/>
      <c r="I514" s="11" t="str">
        <f aca="false">IF(OR(F514="",G514=""),"",ROUND(F514*G514,0))</f>
        <v/>
      </c>
    </row>
    <row r="515" customFormat="false" ht="15" hidden="false" customHeight="false" outlineLevel="0" collapsed="false">
      <c r="A515" s="8"/>
      <c r="B515" s="10" t="str">
        <f aca="false">IF(A515="","",IFERROR(VLOOKUP(A515,DonHang!$A$2:$C$500,3,FALSE()),"mã đơn chưa có"))</f>
        <v/>
      </c>
      <c r="C515" s="8"/>
      <c r="D515" s="8"/>
      <c r="E515" s="8"/>
      <c r="F515" s="13"/>
      <c r="G515" s="14"/>
      <c r="H515" s="8"/>
      <c r="I515" s="11" t="str">
        <f aca="false">IF(OR(F515="",G515=""),"",ROUND(F515*G515,0))</f>
        <v/>
      </c>
    </row>
    <row r="516" customFormat="false" ht="15" hidden="false" customHeight="false" outlineLevel="0" collapsed="false">
      <c r="A516" s="8"/>
      <c r="B516" s="10" t="str">
        <f aca="false">IF(A516="","",IFERROR(VLOOKUP(A516,DonHang!$A$2:$C$500,3,FALSE()),"mã đơn chưa có"))</f>
        <v/>
      </c>
      <c r="C516" s="8"/>
      <c r="D516" s="8"/>
      <c r="E516" s="8"/>
      <c r="F516" s="13"/>
      <c r="G516" s="14"/>
      <c r="H516" s="8"/>
      <c r="I516" s="11" t="str">
        <f aca="false">IF(OR(F516="",G516=""),"",ROUND(F516*G516,0))</f>
        <v/>
      </c>
    </row>
    <row r="517" customFormat="false" ht="15" hidden="false" customHeight="false" outlineLevel="0" collapsed="false">
      <c r="A517" s="8"/>
      <c r="B517" s="10" t="str">
        <f aca="false">IF(A517="","",IFERROR(VLOOKUP(A517,DonHang!$A$2:$C$500,3,FALSE()),"mã đơn chưa có"))</f>
        <v/>
      </c>
      <c r="C517" s="8"/>
      <c r="D517" s="8"/>
      <c r="E517" s="8"/>
      <c r="F517" s="13"/>
      <c r="G517" s="14"/>
      <c r="H517" s="8"/>
      <c r="I517" s="11" t="str">
        <f aca="false">IF(OR(F517="",G517=""),"",ROUND(F517*G517,0))</f>
        <v/>
      </c>
    </row>
    <row r="518" customFormat="false" ht="15" hidden="false" customHeight="false" outlineLevel="0" collapsed="false">
      <c r="A518" s="8"/>
      <c r="B518" s="10" t="str">
        <f aca="false">IF(A518="","",IFERROR(VLOOKUP(A518,DonHang!$A$2:$C$500,3,FALSE()),"mã đơn chưa có"))</f>
        <v/>
      </c>
      <c r="C518" s="8"/>
      <c r="D518" s="8"/>
      <c r="E518" s="8"/>
      <c r="F518" s="13"/>
      <c r="G518" s="14"/>
      <c r="H518" s="8"/>
      <c r="I518" s="11" t="str">
        <f aca="false">IF(OR(F518="",G518=""),"",ROUND(F518*G518,0))</f>
        <v/>
      </c>
    </row>
    <row r="519" customFormat="false" ht="15" hidden="false" customHeight="false" outlineLevel="0" collapsed="false">
      <c r="A519" s="8"/>
      <c r="B519" s="10" t="str">
        <f aca="false">IF(A519="","",IFERROR(VLOOKUP(A519,DonHang!$A$2:$C$500,3,FALSE()),"mã đơn chưa có"))</f>
        <v/>
      </c>
      <c r="C519" s="8"/>
      <c r="D519" s="8"/>
      <c r="E519" s="8"/>
      <c r="F519" s="13"/>
      <c r="G519" s="14"/>
      <c r="H519" s="8"/>
      <c r="I519" s="11" t="str">
        <f aca="false">IF(OR(F519="",G519=""),"",ROUND(F519*G519,0))</f>
        <v/>
      </c>
    </row>
    <row r="520" customFormat="false" ht="15" hidden="false" customHeight="false" outlineLevel="0" collapsed="false">
      <c r="A520" s="8"/>
      <c r="B520" s="10" t="str">
        <f aca="false">IF(A520="","",IFERROR(VLOOKUP(A520,DonHang!$A$2:$C$500,3,FALSE()),"mã đơn chưa có"))</f>
        <v/>
      </c>
      <c r="C520" s="8"/>
      <c r="D520" s="8"/>
      <c r="E520" s="8"/>
      <c r="F520" s="13"/>
      <c r="G520" s="14"/>
      <c r="H520" s="8"/>
      <c r="I520" s="11" t="str">
        <f aca="false">IF(OR(F520="",G520=""),"",ROUND(F520*G520,0))</f>
        <v/>
      </c>
    </row>
    <row r="521" customFormat="false" ht="15" hidden="false" customHeight="false" outlineLevel="0" collapsed="false">
      <c r="A521" s="8"/>
      <c r="B521" s="10" t="str">
        <f aca="false">IF(A521="","",IFERROR(VLOOKUP(A521,DonHang!$A$2:$C$500,3,FALSE()),"mã đơn chưa có"))</f>
        <v/>
      </c>
      <c r="C521" s="8"/>
      <c r="D521" s="8"/>
      <c r="E521" s="8"/>
      <c r="F521" s="13"/>
      <c r="G521" s="14"/>
      <c r="H521" s="8"/>
      <c r="I521" s="11" t="str">
        <f aca="false">IF(OR(F521="",G521=""),"",ROUND(F521*G521,0))</f>
        <v/>
      </c>
    </row>
    <row r="522" customFormat="false" ht="15" hidden="false" customHeight="false" outlineLevel="0" collapsed="false">
      <c r="A522" s="8"/>
      <c r="B522" s="10" t="str">
        <f aca="false">IF(A522="","",IFERROR(VLOOKUP(A522,DonHang!$A$2:$C$500,3,FALSE()),"mã đơn chưa có"))</f>
        <v/>
      </c>
      <c r="C522" s="8"/>
      <c r="D522" s="8"/>
      <c r="E522" s="8"/>
      <c r="F522" s="13"/>
      <c r="G522" s="14"/>
      <c r="H522" s="8"/>
      <c r="I522" s="11" t="str">
        <f aca="false">IF(OR(F522="",G522=""),"",ROUND(F522*G522,0))</f>
        <v/>
      </c>
    </row>
    <row r="523" customFormat="false" ht="15" hidden="false" customHeight="false" outlineLevel="0" collapsed="false">
      <c r="A523" s="8"/>
      <c r="B523" s="10" t="str">
        <f aca="false">IF(A523="","",IFERROR(VLOOKUP(A523,DonHang!$A$2:$C$500,3,FALSE()),"mã đơn chưa có"))</f>
        <v/>
      </c>
      <c r="C523" s="8"/>
      <c r="D523" s="8"/>
      <c r="E523" s="8"/>
      <c r="F523" s="13"/>
      <c r="G523" s="14"/>
      <c r="H523" s="8"/>
      <c r="I523" s="11" t="str">
        <f aca="false">IF(OR(F523="",G523=""),"",ROUND(F523*G523,0))</f>
        <v/>
      </c>
    </row>
    <row r="524" customFormat="false" ht="15" hidden="false" customHeight="false" outlineLevel="0" collapsed="false">
      <c r="A524" s="8"/>
      <c r="B524" s="10" t="str">
        <f aca="false">IF(A524="","",IFERROR(VLOOKUP(A524,DonHang!$A$2:$C$500,3,FALSE()),"mã đơn chưa có"))</f>
        <v/>
      </c>
      <c r="C524" s="8"/>
      <c r="D524" s="8"/>
      <c r="E524" s="8"/>
      <c r="F524" s="13"/>
      <c r="G524" s="14"/>
      <c r="H524" s="8"/>
      <c r="I524" s="11" t="str">
        <f aca="false">IF(OR(F524="",G524=""),"",ROUND(F524*G524,0))</f>
        <v/>
      </c>
    </row>
    <row r="525" customFormat="false" ht="15" hidden="false" customHeight="false" outlineLevel="0" collapsed="false">
      <c r="A525" s="8"/>
      <c r="B525" s="10" t="str">
        <f aca="false">IF(A525="","",IFERROR(VLOOKUP(A525,DonHang!$A$2:$C$500,3,FALSE()),"mã đơn chưa có"))</f>
        <v/>
      </c>
      <c r="C525" s="8"/>
      <c r="D525" s="8"/>
      <c r="E525" s="8"/>
      <c r="F525" s="13"/>
      <c r="G525" s="14"/>
      <c r="H525" s="8"/>
      <c r="I525" s="11" t="str">
        <f aca="false">IF(OR(F525="",G525=""),"",ROUND(F525*G525,0))</f>
        <v/>
      </c>
    </row>
    <row r="526" customFormat="false" ht="15" hidden="false" customHeight="false" outlineLevel="0" collapsed="false">
      <c r="A526" s="8"/>
      <c r="B526" s="10" t="str">
        <f aca="false">IF(A526="","",IFERROR(VLOOKUP(A526,DonHang!$A$2:$C$500,3,FALSE()),"mã đơn chưa có"))</f>
        <v/>
      </c>
      <c r="C526" s="8"/>
      <c r="D526" s="8"/>
      <c r="E526" s="8"/>
      <c r="F526" s="13"/>
      <c r="G526" s="14"/>
      <c r="H526" s="8"/>
      <c r="I526" s="11" t="str">
        <f aca="false">IF(OR(F526="",G526=""),"",ROUND(F526*G526,0))</f>
        <v/>
      </c>
    </row>
    <row r="527" customFormat="false" ht="15" hidden="false" customHeight="false" outlineLevel="0" collapsed="false">
      <c r="A527" s="8"/>
      <c r="B527" s="10" t="str">
        <f aca="false">IF(A527="","",IFERROR(VLOOKUP(A527,DonHang!$A$2:$C$500,3,FALSE()),"mã đơn chưa có"))</f>
        <v/>
      </c>
      <c r="C527" s="8"/>
      <c r="D527" s="8"/>
      <c r="E527" s="8"/>
      <c r="F527" s="13"/>
      <c r="G527" s="14"/>
      <c r="H527" s="8"/>
      <c r="I527" s="11" t="str">
        <f aca="false">IF(OR(F527="",G527=""),"",ROUND(F527*G527,0))</f>
        <v/>
      </c>
    </row>
    <row r="528" customFormat="false" ht="15" hidden="false" customHeight="false" outlineLevel="0" collapsed="false">
      <c r="A528" s="8"/>
      <c r="B528" s="10" t="str">
        <f aca="false">IF(A528="","",IFERROR(VLOOKUP(A528,DonHang!$A$2:$C$500,3,FALSE()),"mã đơn chưa có"))</f>
        <v/>
      </c>
      <c r="C528" s="8"/>
      <c r="D528" s="8"/>
      <c r="E528" s="8"/>
      <c r="F528" s="13"/>
      <c r="G528" s="14"/>
      <c r="H528" s="8"/>
      <c r="I528" s="11" t="str">
        <f aca="false">IF(OR(F528="",G528=""),"",ROUND(F528*G528,0))</f>
        <v/>
      </c>
    </row>
    <row r="529" customFormat="false" ht="15" hidden="false" customHeight="false" outlineLevel="0" collapsed="false">
      <c r="A529" s="8"/>
      <c r="B529" s="10" t="str">
        <f aca="false">IF(A529="","",IFERROR(VLOOKUP(A529,DonHang!$A$2:$C$500,3,FALSE()),"mã đơn chưa có"))</f>
        <v/>
      </c>
      <c r="C529" s="8"/>
      <c r="D529" s="8"/>
      <c r="E529" s="8"/>
      <c r="F529" s="13"/>
      <c r="G529" s="14"/>
      <c r="H529" s="8"/>
      <c r="I529" s="11" t="str">
        <f aca="false">IF(OR(F529="",G529=""),"",ROUND(F529*G529,0))</f>
        <v/>
      </c>
    </row>
    <row r="530" customFormat="false" ht="15" hidden="false" customHeight="false" outlineLevel="0" collapsed="false">
      <c r="A530" s="8"/>
      <c r="B530" s="10" t="str">
        <f aca="false">IF(A530="","",IFERROR(VLOOKUP(A530,DonHang!$A$2:$C$500,3,FALSE()),"mã đơn chưa có"))</f>
        <v/>
      </c>
      <c r="C530" s="8"/>
      <c r="D530" s="8"/>
      <c r="E530" s="8"/>
      <c r="F530" s="13"/>
      <c r="G530" s="14"/>
      <c r="H530" s="8"/>
      <c r="I530" s="11" t="str">
        <f aca="false">IF(OR(F530="",G530=""),"",ROUND(F530*G530,0))</f>
        <v/>
      </c>
    </row>
    <row r="531" customFormat="false" ht="15" hidden="false" customHeight="false" outlineLevel="0" collapsed="false">
      <c r="A531" s="8"/>
      <c r="B531" s="10" t="str">
        <f aca="false">IF(A531="","",IFERROR(VLOOKUP(A531,DonHang!$A$2:$C$500,3,FALSE()),"mã đơn chưa có"))</f>
        <v/>
      </c>
      <c r="C531" s="8"/>
      <c r="D531" s="8"/>
      <c r="E531" s="8"/>
      <c r="F531" s="13"/>
      <c r="G531" s="14"/>
      <c r="H531" s="8"/>
      <c r="I531" s="11" t="str">
        <f aca="false">IF(OR(F531="",G531=""),"",ROUND(F531*G531,0))</f>
        <v/>
      </c>
    </row>
    <row r="532" customFormat="false" ht="15" hidden="false" customHeight="false" outlineLevel="0" collapsed="false">
      <c r="A532" s="8"/>
      <c r="B532" s="10" t="str">
        <f aca="false">IF(A532="","",IFERROR(VLOOKUP(A532,DonHang!$A$2:$C$500,3,FALSE()),"mã đơn chưa có"))</f>
        <v/>
      </c>
      <c r="C532" s="8"/>
      <c r="D532" s="8"/>
      <c r="E532" s="8"/>
      <c r="F532" s="13"/>
      <c r="G532" s="14"/>
      <c r="H532" s="8"/>
      <c r="I532" s="11" t="str">
        <f aca="false">IF(OR(F532="",G532=""),"",ROUND(F532*G532,0))</f>
        <v/>
      </c>
    </row>
    <row r="533" customFormat="false" ht="15" hidden="false" customHeight="false" outlineLevel="0" collapsed="false">
      <c r="A533" s="8"/>
      <c r="B533" s="10" t="str">
        <f aca="false">IF(A533="","",IFERROR(VLOOKUP(A533,DonHang!$A$2:$C$500,3,FALSE()),"mã đơn chưa có"))</f>
        <v/>
      </c>
      <c r="C533" s="8"/>
      <c r="D533" s="8"/>
      <c r="E533" s="8"/>
      <c r="F533" s="13"/>
      <c r="G533" s="14"/>
      <c r="H533" s="8"/>
      <c r="I533" s="11" t="str">
        <f aca="false">IF(OR(F533="",G533=""),"",ROUND(F533*G533,0))</f>
        <v/>
      </c>
    </row>
    <row r="534" customFormat="false" ht="15" hidden="false" customHeight="false" outlineLevel="0" collapsed="false">
      <c r="A534" s="8"/>
      <c r="B534" s="10" t="str">
        <f aca="false">IF(A534="","",IFERROR(VLOOKUP(A534,DonHang!$A$2:$C$500,3,FALSE()),"mã đơn chưa có"))</f>
        <v/>
      </c>
      <c r="C534" s="8"/>
      <c r="D534" s="8"/>
      <c r="E534" s="8"/>
      <c r="F534" s="13"/>
      <c r="G534" s="14"/>
      <c r="H534" s="8"/>
      <c r="I534" s="11" t="str">
        <f aca="false">IF(OR(F534="",G534=""),"",ROUND(F534*G534,0))</f>
        <v/>
      </c>
    </row>
    <row r="535" customFormat="false" ht="15" hidden="false" customHeight="false" outlineLevel="0" collapsed="false">
      <c r="A535" s="8"/>
      <c r="B535" s="10" t="str">
        <f aca="false">IF(A535="","",IFERROR(VLOOKUP(A535,DonHang!$A$2:$C$500,3,FALSE()),"mã đơn chưa có"))</f>
        <v/>
      </c>
      <c r="C535" s="8"/>
      <c r="D535" s="8"/>
      <c r="E535" s="8"/>
      <c r="F535" s="13"/>
      <c r="G535" s="14"/>
      <c r="H535" s="8"/>
      <c r="I535" s="11" t="str">
        <f aca="false">IF(OR(F535="",G535=""),"",ROUND(F535*G535,0))</f>
        <v/>
      </c>
    </row>
    <row r="536" customFormat="false" ht="15" hidden="false" customHeight="false" outlineLevel="0" collapsed="false">
      <c r="A536" s="8"/>
      <c r="B536" s="10" t="str">
        <f aca="false">IF(A536="","",IFERROR(VLOOKUP(A536,DonHang!$A$2:$C$500,3,FALSE()),"mã đơn chưa có"))</f>
        <v/>
      </c>
      <c r="C536" s="8"/>
      <c r="D536" s="8"/>
      <c r="E536" s="8"/>
      <c r="F536" s="13"/>
      <c r="G536" s="14"/>
      <c r="H536" s="8"/>
      <c r="I536" s="11" t="str">
        <f aca="false">IF(OR(F536="",G536=""),"",ROUND(F536*G536,0))</f>
        <v/>
      </c>
    </row>
    <row r="537" customFormat="false" ht="15" hidden="false" customHeight="false" outlineLevel="0" collapsed="false">
      <c r="A537" s="8"/>
      <c r="B537" s="10" t="str">
        <f aca="false">IF(A537="","",IFERROR(VLOOKUP(A537,DonHang!$A$2:$C$500,3,FALSE()),"mã đơn chưa có"))</f>
        <v/>
      </c>
      <c r="C537" s="8"/>
      <c r="D537" s="8"/>
      <c r="E537" s="8"/>
      <c r="F537" s="13"/>
      <c r="G537" s="14"/>
      <c r="H537" s="8"/>
      <c r="I537" s="11" t="str">
        <f aca="false">IF(OR(F537="",G537=""),"",ROUND(F537*G537,0))</f>
        <v/>
      </c>
    </row>
    <row r="538" customFormat="false" ht="15" hidden="false" customHeight="false" outlineLevel="0" collapsed="false">
      <c r="A538" s="8"/>
      <c r="B538" s="10" t="str">
        <f aca="false">IF(A538="","",IFERROR(VLOOKUP(A538,DonHang!$A$2:$C$500,3,FALSE()),"mã đơn chưa có"))</f>
        <v/>
      </c>
      <c r="C538" s="8"/>
      <c r="D538" s="8"/>
      <c r="E538" s="8"/>
      <c r="F538" s="13"/>
      <c r="G538" s="14"/>
      <c r="H538" s="8"/>
      <c r="I538" s="11" t="str">
        <f aca="false">IF(OR(F538="",G538=""),"",ROUND(F538*G538,0))</f>
        <v/>
      </c>
    </row>
    <row r="539" customFormat="false" ht="15" hidden="false" customHeight="false" outlineLevel="0" collapsed="false">
      <c r="A539" s="8"/>
      <c r="B539" s="10" t="str">
        <f aca="false">IF(A539="","",IFERROR(VLOOKUP(A539,DonHang!$A$2:$C$500,3,FALSE()),"mã đơn chưa có"))</f>
        <v/>
      </c>
      <c r="C539" s="8"/>
      <c r="D539" s="8"/>
      <c r="E539" s="8"/>
      <c r="F539" s="13"/>
      <c r="G539" s="14"/>
      <c r="H539" s="8"/>
      <c r="I539" s="11" t="str">
        <f aca="false">IF(OR(F539="",G539=""),"",ROUND(F539*G539,0))</f>
        <v/>
      </c>
    </row>
    <row r="540" customFormat="false" ht="15" hidden="false" customHeight="false" outlineLevel="0" collapsed="false">
      <c r="A540" s="8"/>
      <c r="B540" s="10" t="str">
        <f aca="false">IF(A540="","",IFERROR(VLOOKUP(A540,DonHang!$A$2:$C$500,3,FALSE()),"mã đơn chưa có"))</f>
        <v/>
      </c>
      <c r="C540" s="8"/>
      <c r="D540" s="8"/>
      <c r="E540" s="8"/>
      <c r="F540" s="13"/>
      <c r="G540" s="14"/>
      <c r="H540" s="8"/>
      <c r="I540" s="11" t="str">
        <f aca="false">IF(OR(F540="",G540=""),"",ROUND(F540*G540,0))</f>
        <v/>
      </c>
    </row>
    <row r="541" customFormat="false" ht="15" hidden="false" customHeight="false" outlineLevel="0" collapsed="false">
      <c r="A541" s="8"/>
      <c r="B541" s="10" t="str">
        <f aca="false">IF(A541="","",IFERROR(VLOOKUP(A541,DonHang!$A$2:$C$500,3,FALSE()),"mã đơn chưa có"))</f>
        <v/>
      </c>
      <c r="C541" s="8"/>
      <c r="D541" s="8"/>
      <c r="E541" s="8"/>
      <c r="F541" s="13"/>
      <c r="G541" s="14"/>
      <c r="H541" s="8"/>
      <c r="I541" s="11" t="str">
        <f aca="false">IF(OR(F541="",G541=""),"",ROUND(F541*G541,0))</f>
        <v/>
      </c>
    </row>
    <row r="542" customFormat="false" ht="15" hidden="false" customHeight="false" outlineLevel="0" collapsed="false">
      <c r="A542" s="8"/>
      <c r="B542" s="10" t="str">
        <f aca="false">IF(A542="","",IFERROR(VLOOKUP(A542,DonHang!$A$2:$C$500,3,FALSE()),"mã đơn chưa có"))</f>
        <v/>
      </c>
      <c r="C542" s="8"/>
      <c r="D542" s="8"/>
      <c r="E542" s="8"/>
      <c r="F542" s="13"/>
      <c r="G542" s="14"/>
      <c r="H542" s="8"/>
      <c r="I542" s="11" t="str">
        <f aca="false">IF(OR(F542="",G542=""),"",ROUND(F542*G542,0))</f>
        <v/>
      </c>
    </row>
    <row r="543" customFormat="false" ht="15" hidden="false" customHeight="false" outlineLevel="0" collapsed="false">
      <c r="A543" s="8"/>
      <c r="B543" s="10" t="str">
        <f aca="false">IF(A543="","",IFERROR(VLOOKUP(A543,DonHang!$A$2:$C$500,3,FALSE()),"mã đơn chưa có"))</f>
        <v/>
      </c>
      <c r="C543" s="8"/>
      <c r="D543" s="8"/>
      <c r="E543" s="8"/>
      <c r="F543" s="13"/>
      <c r="G543" s="14"/>
      <c r="H543" s="8"/>
      <c r="I543" s="11" t="str">
        <f aca="false">IF(OR(F543="",G543=""),"",ROUND(F543*G543,0))</f>
        <v/>
      </c>
    </row>
    <row r="544" customFormat="false" ht="15" hidden="false" customHeight="false" outlineLevel="0" collapsed="false">
      <c r="A544" s="8"/>
      <c r="B544" s="10" t="str">
        <f aca="false">IF(A544="","",IFERROR(VLOOKUP(A544,DonHang!$A$2:$C$500,3,FALSE()),"mã đơn chưa có"))</f>
        <v/>
      </c>
      <c r="C544" s="8"/>
      <c r="D544" s="8"/>
      <c r="E544" s="8"/>
      <c r="F544" s="13"/>
      <c r="G544" s="14"/>
      <c r="H544" s="8"/>
      <c r="I544" s="11" t="str">
        <f aca="false">IF(OR(F544="",G544=""),"",ROUND(F544*G544,0))</f>
        <v/>
      </c>
    </row>
    <row r="545" customFormat="false" ht="15" hidden="false" customHeight="false" outlineLevel="0" collapsed="false">
      <c r="A545" s="8"/>
      <c r="B545" s="10" t="str">
        <f aca="false">IF(A545="","",IFERROR(VLOOKUP(A545,DonHang!$A$2:$C$500,3,FALSE()),"mã đơn chưa có"))</f>
        <v/>
      </c>
      <c r="C545" s="8"/>
      <c r="D545" s="8"/>
      <c r="E545" s="8"/>
      <c r="F545" s="13"/>
      <c r="G545" s="14"/>
      <c r="H545" s="8"/>
      <c r="I545" s="11" t="str">
        <f aca="false">IF(OR(F545="",G545=""),"",ROUND(F545*G545,0))</f>
        <v/>
      </c>
    </row>
    <row r="546" customFormat="false" ht="15" hidden="false" customHeight="false" outlineLevel="0" collapsed="false">
      <c r="A546" s="8"/>
      <c r="B546" s="10" t="str">
        <f aca="false">IF(A546="","",IFERROR(VLOOKUP(A546,DonHang!$A$2:$C$500,3,FALSE()),"mã đơn chưa có"))</f>
        <v/>
      </c>
      <c r="C546" s="8"/>
      <c r="D546" s="8"/>
      <c r="E546" s="8"/>
      <c r="F546" s="13"/>
      <c r="G546" s="14"/>
      <c r="H546" s="8"/>
      <c r="I546" s="11" t="str">
        <f aca="false">IF(OR(F546="",G546=""),"",ROUND(F546*G546,0))</f>
        <v/>
      </c>
    </row>
    <row r="547" customFormat="false" ht="15" hidden="false" customHeight="false" outlineLevel="0" collapsed="false">
      <c r="A547" s="8"/>
      <c r="B547" s="10" t="str">
        <f aca="false">IF(A547="","",IFERROR(VLOOKUP(A547,DonHang!$A$2:$C$500,3,FALSE()),"mã đơn chưa có"))</f>
        <v/>
      </c>
      <c r="C547" s="8"/>
      <c r="D547" s="8"/>
      <c r="E547" s="8"/>
      <c r="F547" s="13"/>
      <c r="G547" s="14"/>
      <c r="H547" s="8"/>
      <c r="I547" s="11" t="str">
        <f aca="false">IF(OR(F547="",G547=""),"",ROUND(F547*G547,0))</f>
        <v/>
      </c>
    </row>
    <row r="548" customFormat="false" ht="15" hidden="false" customHeight="false" outlineLevel="0" collapsed="false">
      <c r="A548" s="8"/>
      <c r="B548" s="10" t="str">
        <f aca="false">IF(A548="","",IFERROR(VLOOKUP(A548,DonHang!$A$2:$C$500,3,FALSE()),"mã đơn chưa có"))</f>
        <v/>
      </c>
      <c r="C548" s="8"/>
      <c r="D548" s="8"/>
      <c r="E548" s="8"/>
      <c r="F548" s="13"/>
      <c r="G548" s="14"/>
      <c r="H548" s="8"/>
      <c r="I548" s="11" t="str">
        <f aca="false">IF(OR(F548="",G548=""),"",ROUND(F548*G548,0))</f>
        <v/>
      </c>
    </row>
    <row r="549" customFormat="false" ht="15" hidden="false" customHeight="false" outlineLevel="0" collapsed="false">
      <c r="A549" s="8"/>
      <c r="B549" s="10" t="str">
        <f aca="false">IF(A549="","",IFERROR(VLOOKUP(A549,DonHang!$A$2:$C$500,3,FALSE()),"mã đơn chưa có"))</f>
        <v/>
      </c>
      <c r="C549" s="8"/>
      <c r="D549" s="8"/>
      <c r="E549" s="8"/>
      <c r="F549" s="13"/>
      <c r="G549" s="14"/>
      <c r="H549" s="8"/>
      <c r="I549" s="11" t="str">
        <f aca="false">IF(OR(F549="",G549=""),"",ROUND(F549*G549,0))</f>
        <v/>
      </c>
    </row>
    <row r="550" customFormat="false" ht="15" hidden="false" customHeight="false" outlineLevel="0" collapsed="false">
      <c r="A550" s="8"/>
      <c r="B550" s="10" t="str">
        <f aca="false">IF(A550="","",IFERROR(VLOOKUP(A550,DonHang!$A$2:$C$500,3,FALSE()),"mã đơn chưa có"))</f>
        <v/>
      </c>
      <c r="C550" s="8"/>
      <c r="D550" s="8"/>
      <c r="E550" s="8"/>
      <c r="F550" s="13"/>
      <c r="G550" s="14"/>
      <c r="H550" s="8"/>
      <c r="I550" s="11" t="str">
        <f aca="false">IF(OR(F550="",G550=""),"",ROUND(F550*G550,0))</f>
        <v/>
      </c>
    </row>
    <row r="551" customFormat="false" ht="15" hidden="false" customHeight="false" outlineLevel="0" collapsed="false">
      <c r="A551" s="8"/>
      <c r="B551" s="10" t="str">
        <f aca="false">IF(A551="","",IFERROR(VLOOKUP(A551,DonHang!$A$2:$C$500,3,FALSE()),"mã đơn chưa có"))</f>
        <v/>
      </c>
      <c r="C551" s="8"/>
      <c r="D551" s="8"/>
      <c r="E551" s="8"/>
      <c r="F551" s="13"/>
      <c r="G551" s="14"/>
      <c r="H551" s="8"/>
      <c r="I551" s="11" t="str">
        <f aca="false">IF(OR(F551="",G551=""),"",ROUND(F551*G551,0))</f>
        <v/>
      </c>
    </row>
    <row r="552" customFormat="false" ht="15" hidden="false" customHeight="false" outlineLevel="0" collapsed="false">
      <c r="A552" s="8"/>
      <c r="B552" s="10" t="str">
        <f aca="false">IF(A552="","",IFERROR(VLOOKUP(A552,DonHang!$A$2:$C$500,3,FALSE()),"mã đơn chưa có"))</f>
        <v/>
      </c>
      <c r="C552" s="8"/>
      <c r="D552" s="8"/>
      <c r="E552" s="8"/>
      <c r="F552" s="13"/>
      <c r="G552" s="14"/>
      <c r="H552" s="8"/>
      <c r="I552" s="11" t="str">
        <f aca="false">IF(OR(F552="",G552=""),"",ROUND(F552*G552,0))</f>
        <v/>
      </c>
    </row>
    <row r="553" customFormat="false" ht="15" hidden="false" customHeight="false" outlineLevel="0" collapsed="false">
      <c r="A553" s="8"/>
      <c r="B553" s="10" t="str">
        <f aca="false">IF(A553="","",IFERROR(VLOOKUP(A553,DonHang!$A$2:$C$500,3,FALSE()),"mã đơn chưa có"))</f>
        <v/>
      </c>
      <c r="C553" s="8"/>
      <c r="D553" s="8"/>
      <c r="E553" s="8"/>
      <c r="F553" s="13"/>
      <c r="G553" s="14"/>
      <c r="H553" s="8"/>
      <c r="I553" s="11" t="str">
        <f aca="false">IF(OR(F553="",G553=""),"",ROUND(F553*G553,0))</f>
        <v/>
      </c>
    </row>
    <row r="554" customFormat="false" ht="15" hidden="false" customHeight="false" outlineLevel="0" collapsed="false">
      <c r="A554" s="8"/>
      <c r="B554" s="10" t="str">
        <f aca="false">IF(A554="","",IFERROR(VLOOKUP(A554,DonHang!$A$2:$C$500,3,FALSE()),"mã đơn chưa có"))</f>
        <v/>
      </c>
      <c r="C554" s="8"/>
      <c r="D554" s="8"/>
      <c r="E554" s="8"/>
      <c r="F554" s="13"/>
      <c r="G554" s="14"/>
      <c r="H554" s="8"/>
      <c r="I554" s="11" t="str">
        <f aca="false">IF(OR(F554="",G554=""),"",ROUND(F554*G554,0))</f>
        <v/>
      </c>
    </row>
    <row r="555" customFormat="false" ht="15" hidden="false" customHeight="false" outlineLevel="0" collapsed="false">
      <c r="A555" s="8"/>
      <c r="B555" s="10" t="str">
        <f aca="false">IF(A555="","",IFERROR(VLOOKUP(A555,DonHang!$A$2:$C$500,3,FALSE()),"mã đơn chưa có"))</f>
        <v/>
      </c>
      <c r="C555" s="8"/>
      <c r="D555" s="8"/>
      <c r="E555" s="8"/>
      <c r="F555" s="13"/>
      <c r="G555" s="14"/>
      <c r="H555" s="8"/>
      <c r="I555" s="11" t="str">
        <f aca="false">IF(OR(F555="",G555=""),"",ROUND(F555*G555,0))</f>
        <v/>
      </c>
    </row>
    <row r="556" customFormat="false" ht="15" hidden="false" customHeight="false" outlineLevel="0" collapsed="false">
      <c r="A556" s="8"/>
      <c r="B556" s="10" t="str">
        <f aca="false">IF(A556="","",IFERROR(VLOOKUP(A556,DonHang!$A$2:$C$500,3,FALSE()),"mã đơn chưa có"))</f>
        <v/>
      </c>
      <c r="C556" s="8"/>
      <c r="D556" s="8"/>
      <c r="E556" s="8"/>
      <c r="F556" s="13"/>
      <c r="G556" s="14"/>
      <c r="H556" s="8"/>
      <c r="I556" s="11" t="str">
        <f aca="false">IF(OR(F556="",G556=""),"",ROUND(F556*G556,0))</f>
        <v/>
      </c>
    </row>
    <row r="557" customFormat="false" ht="15" hidden="false" customHeight="false" outlineLevel="0" collapsed="false">
      <c r="A557" s="8"/>
      <c r="B557" s="10" t="str">
        <f aca="false">IF(A557="","",IFERROR(VLOOKUP(A557,DonHang!$A$2:$C$500,3,FALSE()),"mã đơn chưa có"))</f>
        <v/>
      </c>
      <c r="C557" s="8"/>
      <c r="D557" s="8"/>
      <c r="E557" s="8"/>
      <c r="F557" s="13"/>
      <c r="G557" s="14"/>
      <c r="H557" s="8"/>
      <c r="I557" s="11" t="str">
        <f aca="false">IF(OR(F557="",G557=""),"",ROUND(F557*G557,0))</f>
        <v/>
      </c>
    </row>
    <row r="558" customFormat="false" ht="15" hidden="false" customHeight="false" outlineLevel="0" collapsed="false">
      <c r="A558" s="8"/>
      <c r="B558" s="10" t="str">
        <f aca="false">IF(A558="","",IFERROR(VLOOKUP(A558,DonHang!$A$2:$C$500,3,FALSE()),"mã đơn chưa có"))</f>
        <v/>
      </c>
      <c r="C558" s="8"/>
      <c r="D558" s="8"/>
      <c r="E558" s="8"/>
      <c r="F558" s="13"/>
      <c r="G558" s="14"/>
      <c r="H558" s="8"/>
      <c r="I558" s="11" t="str">
        <f aca="false">IF(OR(F558="",G558=""),"",ROUND(F558*G558,0))</f>
        <v/>
      </c>
    </row>
    <row r="559" customFormat="false" ht="15" hidden="false" customHeight="false" outlineLevel="0" collapsed="false">
      <c r="A559" s="8"/>
      <c r="B559" s="10" t="str">
        <f aca="false">IF(A559="","",IFERROR(VLOOKUP(A559,DonHang!$A$2:$C$500,3,FALSE()),"mã đơn chưa có"))</f>
        <v/>
      </c>
      <c r="C559" s="8"/>
      <c r="D559" s="8"/>
      <c r="E559" s="8"/>
      <c r="F559" s="13"/>
      <c r="G559" s="14"/>
      <c r="H559" s="8"/>
      <c r="I559" s="11" t="str">
        <f aca="false">IF(OR(F559="",G559=""),"",ROUND(F559*G559,0))</f>
        <v/>
      </c>
    </row>
    <row r="560" customFormat="false" ht="15" hidden="false" customHeight="false" outlineLevel="0" collapsed="false">
      <c r="A560" s="8"/>
      <c r="B560" s="10" t="str">
        <f aca="false">IF(A560="","",IFERROR(VLOOKUP(A560,DonHang!$A$2:$C$500,3,FALSE()),"mã đơn chưa có"))</f>
        <v/>
      </c>
      <c r="C560" s="8"/>
      <c r="D560" s="8"/>
      <c r="E560" s="8"/>
      <c r="F560" s="13"/>
      <c r="G560" s="14"/>
      <c r="H560" s="8"/>
      <c r="I560" s="11" t="str">
        <f aca="false">IF(OR(F560="",G560=""),"",ROUND(F560*G560,0))</f>
        <v/>
      </c>
    </row>
    <row r="561" customFormat="false" ht="15" hidden="false" customHeight="false" outlineLevel="0" collapsed="false">
      <c r="A561" s="8"/>
      <c r="B561" s="10" t="str">
        <f aca="false">IF(A561="","",IFERROR(VLOOKUP(A561,DonHang!$A$2:$C$500,3,FALSE()),"mã đơn chưa có"))</f>
        <v/>
      </c>
      <c r="C561" s="8"/>
      <c r="D561" s="8"/>
      <c r="E561" s="8"/>
      <c r="F561" s="13"/>
      <c r="G561" s="14"/>
      <c r="H561" s="8"/>
      <c r="I561" s="11" t="str">
        <f aca="false">IF(OR(F561="",G561=""),"",ROUND(F561*G561,0))</f>
        <v/>
      </c>
    </row>
    <row r="562" customFormat="false" ht="15" hidden="false" customHeight="false" outlineLevel="0" collapsed="false">
      <c r="A562" s="8"/>
      <c r="B562" s="10" t="str">
        <f aca="false">IF(A562="","",IFERROR(VLOOKUP(A562,DonHang!$A$2:$C$500,3,FALSE()),"mã đơn chưa có"))</f>
        <v/>
      </c>
      <c r="C562" s="8"/>
      <c r="D562" s="8"/>
      <c r="E562" s="8"/>
      <c r="F562" s="13"/>
      <c r="G562" s="14"/>
      <c r="H562" s="8"/>
      <c r="I562" s="11" t="str">
        <f aca="false">IF(OR(F562="",G562=""),"",ROUND(F562*G562,0))</f>
        <v/>
      </c>
    </row>
    <row r="563" customFormat="false" ht="15" hidden="false" customHeight="false" outlineLevel="0" collapsed="false">
      <c r="A563" s="8"/>
      <c r="B563" s="10" t="str">
        <f aca="false">IF(A563="","",IFERROR(VLOOKUP(A563,DonHang!$A$2:$C$500,3,FALSE()),"mã đơn chưa có"))</f>
        <v/>
      </c>
      <c r="C563" s="8"/>
      <c r="D563" s="8"/>
      <c r="E563" s="8"/>
      <c r="F563" s="13"/>
      <c r="G563" s="14"/>
      <c r="H563" s="8"/>
      <c r="I563" s="11" t="str">
        <f aca="false">IF(OR(F563="",G563=""),"",ROUND(F563*G563,0))</f>
        <v/>
      </c>
    </row>
    <row r="564" customFormat="false" ht="15" hidden="false" customHeight="false" outlineLevel="0" collapsed="false">
      <c r="A564" s="8"/>
      <c r="B564" s="10" t="str">
        <f aca="false">IF(A564="","",IFERROR(VLOOKUP(A564,DonHang!$A$2:$C$500,3,FALSE()),"mã đơn chưa có"))</f>
        <v/>
      </c>
      <c r="C564" s="8"/>
      <c r="D564" s="8"/>
      <c r="E564" s="8"/>
      <c r="F564" s="13"/>
      <c r="G564" s="14"/>
      <c r="H564" s="8"/>
      <c r="I564" s="11" t="str">
        <f aca="false">IF(OR(F564="",G564=""),"",ROUND(F564*G564,0))</f>
        <v/>
      </c>
    </row>
    <row r="565" customFormat="false" ht="15" hidden="false" customHeight="false" outlineLevel="0" collapsed="false">
      <c r="A565" s="8"/>
      <c r="B565" s="10" t="str">
        <f aca="false">IF(A565="","",IFERROR(VLOOKUP(A565,DonHang!$A$2:$C$500,3,FALSE()),"mã đơn chưa có"))</f>
        <v/>
      </c>
      <c r="C565" s="8"/>
      <c r="D565" s="8"/>
      <c r="E565" s="8"/>
      <c r="F565" s="13"/>
      <c r="G565" s="14"/>
      <c r="H565" s="8"/>
      <c r="I565" s="11" t="str">
        <f aca="false">IF(OR(F565="",G565=""),"",ROUND(F565*G565,0))</f>
        <v/>
      </c>
    </row>
    <row r="566" customFormat="false" ht="15" hidden="false" customHeight="false" outlineLevel="0" collapsed="false">
      <c r="A566" s="8"/>
      <c r="B566" s="10" t="str">
        <f aca="false">IF(A566="","",IFERROR(VLOOKUP(A566,DonHang!$A$2:$C$500,3,FALSE()),"mã đơn chưa có"))</f>
        <v/>
      </c>
      <c r="C566" s="8"/>
      <c r="D566" s="8"/>
      <c r="E566" s="8"/>
      <c r="F566" s="13"/>
      <c r="G566" s="14"/>
      <c r="H566" s="8"/>
      <c r="I566" s="11" t="str">
        <f aca="false">IF(OR(F566="",G566=""),"",ROUND(F566*G566,0))</f>
        <v/>
      </c>
    </row>
    <row r="567" customFormat="false" ht="15" hidden="false" customHeight="false" outlineLevel="0" collapsed="false">
      <c r="A567" s="8"/>
      <c r="B567" s="10" t="str">
        <f aca="false">IF(A567="","",IFERROR(VLOOKUP(A567,DonHang!$A$2:$C$500,3,FALSE()),"mã đơn chưa có"))</f>
        <v/>
      </c>
      <c r="C567" s="8"/>
      <c r="D567" s="8"/>
      <c r="E567" s="8"/>
      <c r="F567" s="13"/>
      <c r="G567" s="14"/>
      <c r="H567" s="8"/>
      <c r="I567" s="11" t="str">
        <f aca="false">IF(OR(F567="",G567=""),"",ROUND(F567*G567,0))</f>
        <v/>
      </c>
    </row>
    <row r="568" customFormat="false" ht="15" hidden="false" customHeight="false" outlineLevel="0" collapsed="false">
      <c r="A568" s="8"/>
      <c r="B568" s="10" t="str">
        <f aca="false">IF(A568="","",IFERROR(VLOOKUP(A568,DonHang!$A$2:$C$500,3,FALSE()),"mã đơn chưa có"))</f>
        <v/>
      </c>
      <c r="C568" s="8"/>
      <c r="D568" s="8"/>
      <c r="E568" s="8"/>
      <c r="F568" s="13"/>
      <c r="G568" s="14"/>
      <c r="H568" s="8"/>
      <c r="I568" s="11" t="str">
        <f aca="false">IF(OR(F568="",G568=""),"",ROUND(F568*G568,0))</f>
        <v/>
      </c>
    </row>
    <row r="569" customFormat="false" ht="15" hidden="false" customHeight="false" outlineLevel="0" collapsed="false">
      <c r="A569" s="8"/>
      <c r="B569" s="10" t="str">
        <f aca="false">IF(A569="","",IFERROR(VLOOKUP(A569,DonHang!$A$2:$C$500,3,FALSE()),"mã đơn chưa có"))</f>
        <v/>
      </c>
      <c r="C569" s="8"/>
      <c r="D569" s="8"/>
      <c r="E569" s="8"/>
      <c r="F569" s="13"/>
      <c r="G569" s="14"/>
      <c r="H569" s="8"/>
      <c r="I569" s="11" t="str">
        <f aca="false">IF(OR(F569="",G569=""),"",ROUND(F569*G569,0))</f>
        <v/>
      </c>
    </row>
    <row r="570" customFormat="false" ht="15" hidden="false" customHeight="false" outlineLevel="0" collapsed="false">
      <c r="A570" s="8"/>
      <c r="B570" s="10" t="str">
        <f aca="false">IF(A570="","",IFERROR(VLOOKUP(A570,DonHang!$A$2:$C$500,3,FALSE()),"mã đơn chưa có"))</f>
        <v/>
      </c>
      <c r="C570" s="8"/>
      <c r="D570" s="8"/>
      <c r="E570" s="8"/>
      <c r="F570" s="13"/>
      <c r="G570" s="14"/>
      <c r="H570" s="8"/>
      <c r="I570" s="11" t="str">
        <f aca="false">IF(OR(F570="",G570=""),"",ROUND(F570*G570,0))</f>
        <v/>
      </c>
    </row>
    <row r="571" customFormat="false" ht="15" hidden="false" customHeight="false" outlineLevel="0" collapsed="false">
      <c r="A571" s="8"/>
      <c r="B571" s="10" t="str">
        <f aca="false">IF(A571="","",IFERROR(VLOOKUP(A571,DonHang!$A$2:$C$500,3,FALSE()),"mã đơn chưa có"))</f>
        <v/>
      </c>
      <c r="C571" s="8"/>
      <c r="D571" s="8"/>
      <c r="E571" s="8"/>
      <c r="F571" s="13"/>
      <c r="G571" s="14"/>
      <c r="H571" s="8"/>
      <c r="I571" s="11" t="str">
        <f aca="false">IF(OR(F571="",G571=""),"",ROUND(F571*G571,0))</f>
        <v/>
      </c>
    </row>
    <row r="572" customFormat="false" ht="15" hidden="false" customHeight="false" outlineLevel="0" collapsed="false">
      <c r="A572" s="8"/>
      <c r="B572" s="10" t="str">
        <f aca="false">IF(A572="","",IFERROR(VLOOKUP(A572,DonHang!$A$2:$C$500,3,FALSE()),"mã đơn chưa có"))</f>
        <v/>
      </c>
      <c r="C572" s="8"/>
      <c r="D572" s="8"/>
      <c r="E572" s="8"/>
      <c r="F572" s="13"/>
      <c r="G572" s="14"/>
      <c r="H572" s="8"/>
      <c r="I572" s="11" t="str">
        <f aca="false">IF(OR(F572="",G572=""),"",ROUND(F572*G572,0))</f>
        <v/>
      </c>
    </row>
    <row r="573" customFormat="false" ht="15" hidden="false" customHeight="false" outlineLevel="0" collapsed="false">
      <c r="A573" s="8"/>
      <c r="B573" s="10" t="str">
        <f aca="false">IF(A573="","",IFERROR(VLOOKUP(A573,DonHang!$A$2:$C$500,3,FALSE()),"mã đơn chưa có"))</f>
        <v/>
      </c>
      <c r="C573" s="8"/>
      <c r="D573" s="8"/>
      <c r="E573" s="8"/>
      <c r="F573" s="13"/>
      <c r="G573" s="14"/>
      <c r="H573" s="8"/>
      <c r="I573" s="11" t="str">
        <f aca="false">IF(OR(F573="",G573=""),"",ROUND(F573*G573,0))</f>
        <v/>
      </c>
    </row>
    <row r="574" customFormat="false" ht="15" hidden="false" customHeight="false" outlineLevel="0" collapsed="false">
      <c r="A574" s="8"/>
      <c r="B574" s="10" t="str">
        <f aca="false">IF(A574="","",IFERROR(VLOOKUP(A574,DonHang!$A$2:$C$500,3,FALSE()),"mã đơn chưa có"))</f>
        <v/>
      </c>
      <c r="C574" s="8"/>
      <c r="D574" s="8"/>
      <c r="E574" s="8"/>
      <c r="F574" s="13"/>
      <c r="G574" s="14"/>
      <c r="H574" s="8"/>
      <c r="I574" s="11" t="str">
        <f aca="false">IF(OR(F574="",G574=""),"",ROUND(F574*G574,0))</f>
        <v/>
      </c>
    </row>
    <row r="575" customFormat="false" ht="15" hidden="false" customHeight="false" outlineLevel="0" collapsed="false">
      <c r="A575" s="8"/>
      <c r="B575" s="10" t="str">
        <f aca="false">IF(A575="","",IFERROR(VLOOKUP(A575,DonHang!$A$2:$C$500,3,FALSE()),"mã đơn chưa có"))</f>
        <v/>
      </c>
      <c r="C575" s="8"/>
      <c r="D575" s="8"/>
      <c r="E575" s="8"/>
      <c r="F575" s="13"/>
      <c r="G575" s="14"/>
      <c r="H575" s="8"/>
      <c r="I575" s="11" t="str">
        <f aca="false">IF(OR(F575="",G575=""),"",ROUND(F575*G575,0))</f>
        <v/>
      </c>
    </row>
    <row r="576" customFormat="false" ht="15" hidden="false" customHeight="false" outlineLevel="0" collapsed="false">
      <c r="A576" s="8"/>
      <c r="B576" s="10" t="str">
        <f aca="false">IF(A576="","",IFERROR(VLOOKUP(A576,DonHang!$A$2:$C$500,3,FALSE()),"mã đơn chưa có"))</f>
        <v/>
      </c>
      <c r="C576" s="8"/>
      <c r="D576" s="8"/>
      <c r="E576" s="8"/>
      <c r="F576" s="13"/>
      <c r="G576" s="14"/>
      <c r="H576" s="8"/>
      <c r="I576" s="11" t="str">
        <f aca="false">IF(OR(F576="",G576=""),"",ROUND(F576*G576,0))</f>
        <v/>
      </c>
    </row>
    <row r="577" customFormat="false" ht="15" hidden="false" customHeight="false" outlineLevel="0" collapsed="false">
      <c r="A577" s="8"/>
      <c r="B577" s="10" t="str">
        <f aca="false">IF(A577="","",IFERROR(VLOOKUP(A577,DonHang!$A$2:$C$500,3,FALSE()),"mã đơn chưa có"))</f>
        <v/>
      </c>
      <c r="C577" s="8"/>
      <c r="D577" s="8"/>
      <c r="E577" s="8"/>
      <c r="F577" s="13"/>
      <c r="G577" s="14"/>
      <c r="H577" s="8"/>
      <c r="I577" s="11" t="str">
        <f aca="false">IF(OR(F577="",G577=""),"",ROUND(F577*G577,0))</f>
        <v/>
      </c>
    </row>
    <row r="578" customFormat="false" ht="15" hidden="false" customHeight="false" outlineLevel="0" collapsed="false">
      <c r="A578" s="8"/>
      <c r="B578" s="10" t="str">
        <f aca="false">IF(A578="","",IFERROR(VLOOKUP(A578,DonHang!$A$2:$C$500,3,FALSE()),"mã đơn chưa có"))</f>
        <v/>
      </c>
      <c r="C578" s="8"/>
      <c r="D578" s="8"/>
      <c r="E578" s="8"/>
      <c r="F578" s="13"/>
      <c r="G578" s="14"/>
      <c r="H578" s="8"/>
      <c r="I578" s="11" t="str">
        <f aca="false">IF(OR(F578="",G578=""),"",ROUND(F578*G578,0))</f>
        <v/>
      </c>
    </row>
    <row r="579" customFormat="false" ht="15" hidden="false" customHeight="false" outlineLevel="0" collapsed="false">
      <c r="A579" s="8"/>
      <c r="B579" s="10" t="str">
        <f aca="false">IF(A579="","",IFERROR(VLOOKUP(A579,DonHang!$A$2:$C$500,3,FALSE()),"mã đơn chưa có"))</f>
        <v/>
      </c>
      <c r="C579" s="8"/>
      <c r="D579" s="8"/>
      <c r="E579" s="8"/>
      <c r="F579" s="13"/>
      <c r="G579" s="14"/>
      <c r="H579" s="8"/>
      <c r="I579" s="11" t="str">
        <f aca="false">IF(OR(F579="",G579=""),"",ROUND(F579*G579,0))</f>
        <v/>
      </c>
    </row>
    <row r="580" customFormat="false" ht="15" hidden="false" customHeight="false" outlineLevel="0" collapsed="false">
      <c r="A580" s="8"/>
      <c r="B580" s="10" t="str">
        <f aca="false">IF(A580="","",IFERROR(VLOOKUP(A580,DonHang!$A$2:$C$500,3,FALSE()),"mã đơn chưa có"))</f>
        <v/>
      </c>
      <c r="C580" s="8"/>
      <c r="D580" s="8"/>
      <c r="E580" s="8"/>
      <c r="F580" s="13"/>
      <c r="G580" s="14"/>
      <c r="H580" s="8"/>
      <c r="I580" s="11" t="str">
        <f aca="false">IF(OR(F580="",G580=""),"",ROUND(F580*G580,0))</f>
        <v/>
      </c>
    </row>
    <row r="581" customFormat="false" ht="15" hidden="false" customHeight="false" outlineLevel="0" collapsed="false">
      <c r="A581" s="8"/>
      <c r="B581" s="10" t="str">
        <f aca="false">IF(A581="","",IFERROR(VLOOKUP(A581,DonHang!$A$2:$C$500,3,FALSE()),"mã đơn chưa có"))</f>
        <v/>
      </c>
      <c r="C581" s="8"/>
      <c r="D581" s="8"/>
      <c r="E581" s="8"/>
      <c r="F581" s="13"/>
      <c r="G581" s="14"/>
      <c r="H581" s="8"/>
      <c r="I581" s="11" t="str">
        <f aca="false">IF(OR(F581="",G581=""),"",ROUND(F581*G581,0))</f>
        <v/>
      </c>
    </row>
    <row r="582" customFormat="false" ht="15" hidden="false" customHeight="false" outlineLevel="0" collapsed="false">
      <c r="A582" s="8"/>
      <c r="B582" s="10" t="str">
        <f aca="false">IF(A582="","",IFERROR(VLOOKUP(A582,DonHang!$A$2:$C$500,3,FALSE()),"mã đơn chưa có"))</f>
        <v/>
      </c>
      <c r="C582" s="8"/>
      <c r="D582" s="8"/>
      <c r="E582" s="8"/>
      <c r="F582" s="13"/>
      <c r="G582" s="14"/>
      <c r="H582" s="8"/>
      <c r="I582" s="11" t="str">
        <f aca="false">IF(OR(F582="",G582=""),"",ROUND(F582*G582,0))</f>
        <v/>
      </c>
    </row>
    <row r="583" customFormat="false" ht="15" hidden="false" customHeight="false" outlineLevel="0" collapsed="false">
      <c r="A583" s="8"/>
      <c r="B583" s="10" t="str">
        <f aca="false">IF(A583="","",IFERROR(VLOOKUP(A583,DonHang!$A$2:$C$500,3,FALSE()),"mã đơn chưa có"))</f>
        <v/>
      </c>
      <c r="C583" s="8"/>
      <c r="D583" s="8"/>
      <c r="E583" s="8"/>
      <c r="F583" s="13"/>
      <c r="G583" s="14"/>
      <c r="H583" s="8"/>
      <c r="I583" s="11" t="str">
        <f aca="false">IF(OR(F583="",G583=""),"",ROUND(F583*G583,0))</f>
        <v/>
      </c>
    </row>
    <row r="584" customFormat="false" ht="15" hidden="false" customHeight="false" outlineLevel="0" collapsed="false">
      <c r="A584" s="8"/>
      <c r="B584" s="10" t="str">
        <f aca="false">IF(A584="","",IFERROR(VLOOKUP(A584,DonHang!$A$2:$C$500,3,FALSE()),"mã đơn chưa có"))</f>
        <v/>
      </c>
      <c r="C584" s="8"/>
      <c r="D584" s="8"/>
      <c r="E584" s="8"/>
      <c r="F584" s="13"/>
      <c r="G584" s="14"/>
      <c r="H584" s="8"/>
      <c r="I584" s="11" t="str">
        <f aca="false">IF(OR(F584="",G584=""),"",ROUND(F584*G584,0))</f>
        <v/>
      </c>
    </row>
    <row r="585" customFormat="false" ht="15" hidden="false" customHeight="false" outlineLevel="0" collapsed="false">
      <c r="A585" s="8"/>
      <c r="B585" s="10" t="str">
        <f aca="false">IF(A585="","",IFERROR(VLOOKUP(A585,DonHang!$A$2:$C$500,3,FALSE()),"mã đơn chưa có"))</f>
        <v/>
      </c>
      <c r="C585" s="8"/>
      <c r="D585" s="8"/>
      <c r="E585" s="8"/>
      <c r="F585" s="13"/>
      <c r="G585" s="14"/>
      <c r="H585" s="8"/>
      <c r="I585" s="11" t="str">
        <f aca="false">IF(OR(F585="",G585=""),"",ROUND(F585*G585,0))</f>
        <v/>
      </c>
    </row>
    <row r="586" customFormat="false" ht="15" hidden="false" customHeight="false" outlineLevel="0" collapsed="false">
      <c r="A586" s="8"/>
      <c r="B586" s="10" t="str">
        <f aca="false">IF(A586="","",IFERROR(VLOOKUP(A586,DonHang!$A$2:$C$500,3,FALSE()),"mã đơn chưa có"))</f>
        <v/>
      </c>
      <c r="C586" s="8"/>
      <c r="D586" s="8"/>
      <c r="E586" s="8"/>
      <c r="F586" s="13"/>
      <c r="G586" s="14"/>
      <c r="H586" s="8"/>
      <c r="I586" s="11" t="str">
        <f aca="false">IF(OR(F586="",G586=""),"",ROUND(F586*G586,0))</f>
        <v/>
      </c>
    </row>
    <row r="587" customFormat="false" ht="15" hidden="false" customHeight="false" outlineLevel="0" collapsed="false">
      <c r="A587" s="8"/>
      <c r="B587" s="10" t="str">
        <f aca="false">IF(A587="","",IFERROR(VLOOKUP(A587,DonHang!$A$2:$C$500,3,FALSE()),"mã đơn chưa có"))</f>
        <v/>
      </c>
      <c r="C587" s="8"/>
      <c r="D587" s="8"/>
      <c r="E587" s="8"/>
      <c r="F587" s="13"/>
      <c r="G587" s="14"/>
      <c r="H587" s="8"/>
      <c r="I587" s="11" t="str">
        <f aca="false">IF(OR(F587="",G587=""),"",ROUND(F587*G587,0))</f>
        <v/>
      </c>
    </row>
    <row r="588" customFormat="false" ht="15" hidden="false" customHeight="false" outlineLevel="0" collapsed="false">
      <c r="A588" s="8"/>
      <c r="B588" s="10" t="str">
        <f aca="false">IF(A588="","",IFERROR(VLOOKUP(A588,DonHang!$A$2:$C$500,3,FALSE()),"mã đơn chưa có"))</f>
        <v/>
      </c>
      <c r="C588" s="8"/>
      <c r="D588" s="8"/>
      <c r="E588" s="8"/>
      <c r="F588" s="13"/>
      <c r="G588" s="14"/>
      <c r="H588" s="8"/>
      <c r="I588" s="11" t="str">
        <f aca="false">IF(OR(F588="",G588=""),"",ROUND(F588*G588,0))</f>
        <v/>
      </c>
    </row>
    <row r="589" customFormat="false" ht="15" hidden="false" customHeight="false" outlineLevel="0" collapsed="false">
      <c r="A589" s="8"/>
      <c r="B589" s="10" t="str">
        <f aca="false">IF(A589="","",IFERROR(VLOOKUP(A589,DonHang!$A$2:$C$500,3,FALSE()),"mã đơn chưa có"))</f>
        <v/>
      </c>
      <c r="C589" s="8"/>
      <c r="D589" s="8"/>
      <c r="E589" s="8"/>
      <c r="F589" s="13"/>
      <c r="G589" s="14"/>
      <c r="H589" s="8"/>
      <c r="I589" s="11" t="str">
        <f aca="false">IF(OR(F589="",G589=""),"",ROUND(F589*G589,0))</f>
        <v/>
      </c>
    </row>
    <row r="590" customFormat="false" ht="15" hidden="false" customHeight="false" outlineLevel="0" collapsed="false">
      <c r="A590" s="8"/>
      <c r="B590" s="10" t="str">
        <f aca="false">IF(A590="","",IFERROR(VLOOKUP(A590,DonHang!$A$2:$C$500,3,FALSE()),"mã đơn chưa có"))</f>
        <v/>
      </c>
      <c r="C590" s="8"/>
      <c r="D590" s="8"/>
      <c r="E590" s="8"/>
      <c r="F590" s="13"/>
      <c r="G590" s="14"/>
      <c r="H590" s="8"/>
      <c r="I590" s="11" t="str">
        <f aca="false">IF(OR(F590="",G590=""),"",ROUND(F590*G590,0))</f>
        <v/>
      </c>
    </row>
    <row r="591" customFormat="false" ht="15" hidden="false" customHeight="false" outlineLevel="0" collapsed="false">
      <c r="A591" s="8"/>
      <c r="B591" s="10" t="str">
        <f aca="false">IF(A591="","",IFERROR(VLOOKUP(A591,DonHang!$A$2:$C$500,3,FALSE()),"mã đơn chưa có"))</f>
        <v/>
      </c>
      <c r="C591" s="8"/>
      <c r="D591" s="8"/>
      <c r="E591" s="8"/>
      <c r="F591" s="13"/>
      <c r="G591" s="14"/>
      <c r="H591" s="8"/>
      <c r="I591" s="11" t="str">
        <f aca="false">IF(OR(F591="",G591=""),"",ROUND(F591*G591,0))</f>
        <v/>
      </c>
    </row>
    <row r="592" customFormat="false" ht="15" hidden="false" customHeight="false" outlineLevel="0" collapsed="false">
      <c r="A592" s="8"/>
      <c r="B592" s="10" t="str">
        <f aca="false">IF(A592="","",IFERROR(VLOOKUP(A592,DonHang!$A$2:$C$500,3,FALSE()),"mã đơn chưa có"))</f>
        <v/>
      </c>
      <c r="C592" s="8"/>
      <c r="D592" s="8"/>
      <c r="E592" s="8"/>
      <c r="F592" s="13"/>
      <c r="G592" s="14"/>
      <c r="H592" s="8"/>
      <c r="I592" s="11" t="str">
        <f aca="false">IF(OR(F592="",G592=""),"",ROUND(F592*G592,0))</f>
        <v/>
      </c>
    </row>
    <row r="593" customFormat="false" ht="15" hidden="false" customHeight="false" outlineLevel="0" collapsed="false">
      <c r="A593" s="8"/>
      <c r="B593" s="10" t="str">
        <f aca="false">IF(A593="","",IFERROR(VLOOKUP(A593,DonHang!$A$2:$C$500,3,FALSE()),"mã đơn chưa có"))</f>
        <v/>
      </c>
      <c r="C593" s="8"/>
      <c r="D593" s="8"/>
      <c r="E593" s="8"/>
      <c r="F593" s="13"/>
      <c r="G593" s="14"/>
      <c r="H593" s="8"/>
      <c r="I593" s="11" t="str">
        <f aca="false">IF(OR(F593="",G593=""),"",ROUND(F593*G593,0))</f>
        <v/>
      </c>
    </row>
    <row r="594" customFormat="false" ht="15" hidden="false" customHeight="false" outlineLevel="0" collapsed="false">
      <c r="A594" s="8"/>
      <c r="B594" s="10" t="str">
        <f aca="false">IF(A594="","",IFERROR(VLOOKUP(A594,DonHang!$A$2:$C$500,3,FALSE()),"mã đơn chưa có"))</f>
        <v/>
      </c>
      <c r="C594" s="8"/>
      <c r="D594" s="8"/>
      <c r="E594" s="8"/>
      <c r="F594" s="13"/>
      <c r="G594" s="14"/>
      <c r="H594" s="8"/>
      <c r="I594" s="11" t="str">
        <f aca="false">IF(OR(F594="",G594=""),"",ROUND(F594*G594,0))</f>
        <v/>
      </c>
    </row>
    <row r="595" customFormat="false" ht="15" hidden="false" customHeight="false" outlineLevel="0" collapsed="false">
      <c r="A595" s="8"/>
      <c r="B595" s="10" t="str">
        <f aca="false">IF(A595="","",IFERROR(VLOOKUP(A595,DonHang!$A$2:$C$500,3,FALSE()),"mã đơn chưa có"))</f>
        <v/>
      </c>
      <c r="C595" s="8"/>
      <c r="D595" s="8"/>
      <c r="E595" s="8"/>
      <c r="F595" s="13"/>
      <c r="G595" s="14"/>
      <c r="H595" s="8"/>
      <c r="I595" s="11" t="str">
        <f aca="false">IF(OR(F595="",G595=""),"",ROUND(F595*G595,0))</f>
        <v/>
      </c>
    </row>
    <row r="596" customFormat="false" ht="15" hidden="false" customHeight="false" outlineLevel="0" collapsed="false">
      <c r="A596" s="8"/>
      <c r="B596" s="10" t="str">
        <f aca="false">IF(A596="","",IFERROR(VLOOKUP(A596,DonHang!$A$2:$C$500,3,FALSE()),"mã đơn chưa có"))</f>
        <v/>
      </c>
      <c r="C596" s="8"/>
      <c r="D596" s="8"/>
      <c r="E596" s="8"/>
      <c r="F596" s="13"/>
      <c r="G596" s="14"/>
      <c r="H596" s="8"/>
      <c r="I596" s="11" t="str">
        <f aca="false">IF(OR(F596="",G596=""),"",ROUND(F596*G596,0))</f>
        <v/>
      </c>
    </row>
    <row r="597" customFormat="false" ht="15" hidden="false" customHeight="false" outlineLevel="0" collapsed="false">
      <c r="A597" s="8"/>
      <c r="B597" s="10" t="str">
        <f aca="false">IF(A597="","",IFERROR(VLOOKUP(A597,DonHang!$A$2:$C$500,3,FALSE()),"mã đơn chưa có"))</f>
        <v/>
      </c>
      <c r="C597" s="8"/>
      <c r="D597" s="8"/>
      <c r="E597" s="8"/>
      <c r="F597" s="13"/>
      <c r="G597" s="14"/>
      <c r="H597" s="8"/>
      <c r="I597" s="11" t="str">
        <f aca="false">IF(OR(F597="",G597=""),"",ROUND(F597*G597,0))</f>
        <v/>
      </c>
    </row>
    <row r="598" customFormat="false" ht="15" hidden="false" customHeight="false" outlineLevel="0" collapsed="false">
      <c r="A598" s="8"/>
      <c r="B598" s="10" t="str">
        <f aca="false">IF(A598="","",IFERROR(VLOOKUP(A598,DonHang!$A$2:$C$500,3,FALSE()),"mã đơn chưa có"))</f>
        <v/>
      </c>
      <c r="C598" s="8"/>
      <c r="D598" s="8"/>
      <c r="E598" s="8"/>
      <c r="F598" s="13"/>
      <c r="G598" s="14"/>
      <c r="H598" s="8"/>
      <c r="I598" s="11" t="str">
        <f aca="false">IF(OR(F598="",G598=""),"",ROUND(F598*G598,0))</f>
        <v/>
      </c>
    </row>
    <row r="599" customFormat="false" ht="15" hidden="false" customHeight="false" outlineLevel="0" collapsed="false">
      <c r="A599" s="8"/>
      <c r="B599" s="10" t="str">
        <f aca="false">IF(A599="","",IFERROR(VLOOKUP(A599,DonHang!$A$2:$C$500,3,FALSE()),"mã đơn chưa có"))</f>
        <v/>
      </c>
      <c r="C599" s="8"/>
      <c r="D599" s="8"/>
      <c r="E599" s="8"/>
      <c r="F599" s="13"/>
      <c r="G599" s="14"/>
      <c r="H599" s="8"/>
      <c r="I599" s="11" t="str">
        <f aca="false">IF(OR(F599="",G599=""),"",ROUND(F599*G599,0))</f>
        <v/>
      </c>
    </row>
    <row r="600" customFormat="false" ht="15" hidden="false" customHeight="false" outlineLevel="0" collapsed="false">
      <c r="A600" s="8"/>
      <c r="B600" s="10" t="str">
        <f aca="false">IF(A600="","",IFERROR(VLOOKUP(A600,DonHang!$A$2:$C$500,3,FALSE()),"mã đơn chưa có"))</f>
        <v/>
      </c>
      <c r="C600" s="8"/>
      <c r="D600" s="8"/>
      <c r="E600" s="8"/>
      <c r="F600" s="13"/>
      <c r="G600" s="14"/>
      <c r="H600" s="8"/>
      <c r="I600" s="11" t="str">
        <f aca="false">IF(OR(F600="",G600=""),"",ROUND(F600*G600,0))</f>
        <v/>
      </c>
    </row>
    <row r="601" customFormat="false" ht="15" hidden="false" customHeight="false" outlineLevel="0" collapsed="false">
      <c r="A601" s="8"/>
      <c r="B601" s="10" t="str">
        <f aca="false">IF(A601="","",IFERROR(VLOOKUP(A601,DonHang!$A$2:$C$500,3,FALSE()),"mã đơn chưa có"))</f>
        <v/>
      </c>
      <c r="C601" s="8"/>
      <c r="D601" s="8"/>
      <c r="E601" s="8"/>
      <c r="F601" s="13"/>
      <c r="G601" s="14"/>
      <c r="H601" s="8"/>
      <c r="I601" s="11" t="str">
        <f aca="false">IF(OR(F601="",G601=""),"",ROUND(F601*G601,0))</f>
        <v/>
      </c>
    </row>
    <row r="602" customFormat="false" ht="15" hidden="false" customHeight="false" outlineLevel="0" collapsed="false">
      <c r="A602" s="8"/>
      <c r="B602" s="10" t="str">
        <f aca="false">IF(A602="","",IFERROR(VLOOKUP(A602,DonHang!$A$2:$C$500,3,FALSE()),"mã đơn chưa có"))</f>
        <v/>
      </c>
      <c r="C602" s="8"/>
      <c r="D602" s="8"/>
      <c r="E602" s="8"/>
      <c r="F602" s="13"/>
      <c r="G602" s="14"/>
      <c r="H602" s="8"/>
      <c r="I602" s="11" t="str">
        <f aca="false">IF(OR(F602="",G602=""),"",ROUND(F602*G602,0))</f>
        <v/>
      </c>
    </row>
    <row r="603" customFormat="false" ht="15" hidden="false" customHeight="false" outlineLevel="0" collapsed="false">
      <c r="A603" s="8"/>
      <c r="B603" s="10" t="str">
        <f aca="false">IF(A603="","",IFERROR(VLOOKUP(A603,DonHang!$A$2:$C$500,3,FALSE()),"mã đơn chưa có"))</f>
        <v/>
      </c>
      <c r="C603" s="8"/>
      <c r="D603" s="8"/>
      <c r="E603" s="8"/>
      <c r="F603" s="13"/>
      <c r="G603" s="14"/>
      <c r="H603" s="8"/>
      <c r="I603" s="11" t="str">
        <f aca="false">IF(OR(F603="",G603=""),"",ROUND(F603*G603,0))</f>
        <v/>
      </c>
    </row>
    <row r="604" customFormat="false" ht="15" hidden="false" customHeight="false" outlineLevel="0" collapsed="false">
      <c r="A604" s="8"/>
      <c r="B604" s="10" t="str">
        <f aca="false">IF(A604="","",IFERROR(VLOOKUP(A604,DonHang!$A$2:$C$500,3,FALSE()),"mã đơn chưa có"))</f>
        <v/>
      </c>
      <c r="C604" s="8"/>
      <c r="D604" s="8"/>
      <c r="E604" s="8"/>
      <c r="F604" s="13"/>
      <c r="G604" s="14"/>
      <c r="H604" s="8"/>
      <c r="I604" s="11" t="str">
        <f aca="false">IF(OR(F604="",G604=""),"",ROUND(F604*G604,0))</f>
        <v/>
      </c>
    </row>
    <row r="605" customFormat="false" ht="15" hidden="false" customHeight="false" outlineLevel="0" collapsed="false">
      <c r="A605" s="8"/>
      <c r="B605" s="10" t="str">
        <f aca="false">IF(A605="","",IFERROR(VLOOKUP(A605,DonHang!$A$2:$C$500,3,FALSE()),"mã đơn chưa có"))</f>
        <v/>
      </c>
      <c r="C605" s="8"/>
      <c r="D605" s="8"/>
      <c r="E605" s="8"/>
      <c r="F605" s="13"/>
      <c r="G605" s="14"/>
      <c r="H605" s="8"/>
      <c r="I605" s="11" t="str">
        <f aca="false">IF(OR(F605="",G605=""),"",ROUND(F605*G605,0))</f>
        <v/>
      </c>
    </row>
    <row r="606" customFormat="false" ht="15" hidden="false" customHeight="false" outlineLevel="0" collapsed="false">
      <c r="A606" s="8"/>
      <c r="B606" s="10" t="str">
        <f aca="false">IF(A606="","",IFERROR(VLOOKUP(A606,DonHang!$A$2:$C$500,3,FALSE()),"mã đơn chưa có"))</f>
        <v/>
      </c>
      <c r="C606" s="8"/>
      <c r="D606" s="8"/>
      <c r="E606" s="8"/>
      <c r="F606" s="13"/>
      <c r="G606" s="14"/>
      <c r="H606" s="8"/>
      <c r="I606" s="11" t="str">
        <f aca="false">IF(OR(F606="",G606=""),"",ROUND(F606*G606,0))</f>
        <v/>
      </c>
    </row>
    <row r="607" customFormat="false" ht="15" hidden="false" customHeight="false" outlineLevel="0" collapsed="false">
      <c r="A607" s="8"/>
      <c r="B607" s="10" t="str">
        <f aca="false">IF(A607="","",IFERROR(VLOOKUP(A607,DonHang!$A$2:$C$500,3,FALSE()),"mã đơn chưa có"))</f>
        <v/>
      </c>
      <c r="C607" s="8"/>
      <c r="D607" s="8"/>
      <c r="E607" s="8"/>
      <c r="F607" s="13"/>
      <c r="G607" s="14"/>
      <c r="H607" s="8"/>
      <c r="I607" s="11" t="str">
        <f aca="false">IF(OR(F607="",G607=""),"",ROUND(F607*G607,0))</f>
        <v/>
      </c>
    </row>
    <row r="608" customFormat="false" ht="15" hidden="false" customHeight="false" outlineLevel="0" collapsed="false">
      <c r="A608" s="8"/>
      <c r="B608" s="10" t="str">
        <f aca="false">IF(A608="","",IFERROR(VLOOKUP(A608,DonHang!$A$2:$C$500,3,FALSE()),"mã đơn chưa có"))</f>
        <v/>
      </c>
      <c r="C608" s="8"/>
      <c r="D608" s="8"/>
      <c r="E608" s="8"/>
      <c r="F608" s="13"/>
      <c r="G608" s="14"/>
      <c r="H608" s="8"/>
      <c r="I608" s="11" t="str">
        <f aca="false">IF(OR(F608="",G608=""),"",ROUND(F608*G608,0))</f>
        <v/>
      </c>
    </row>
    <row r="609" customFormat="false" ht="15" hidden="false" customHeight="false" outlineLevel="0" collapsed="false">
      <c r="A609" s="8"/>
      <c r="B609" s="10" t="str">
        <f aca="false">IF(A609="","",IFERROR(VLOOKUP(A609,DonHang!$A$2:$C$500,3,FALSE()),"mã đơn chưa có"))</f>
        <v/>
      </c>
      <c r="C609" s="8"/>
      <c r="D609" s="8"/>
      <c r="E609" s="8"/>
      <c r="F609" s="13"/>
      <c r="G609" s="14"/>
      <c r="H609" s="8"/>
      <c r="I609" s="11" t="str">
        <f aca="false">IF(OR(F609="",G609=""),"",ROUND(F609*G609,0))</f>
        <v/>
      </c>
    </row>
    <row r="610" customFormat="false" ht="15" hidden="false" customHeight="false" outlineLevel="0" collapsed="false">
      <c r="A610" s="8"/>
      <c r="B610" s="10" t="str">
        <f aca="false">IF(A610="","",IFERROR(VLOOKUP(A610,DonHang!$A$2:$C$500,3,FALSE()),"mã đơn chưa có"))</f>
        <v/>
      </c>
      <c r="C610" s="8"/>
      <c r="D610" s="8"/>
      <c r="E610" s="8"/>
      <c r="F610" s="13"/>
      <c r="G610" s="14"/>
      <c r="H610" s="8"/>
      <c r="I610" s="11" t="str">
        <f aca="false">IF(OR(F610="",G610=""),"",ROUND(F610*G610,0))</f>
        <v/>
      </c>
    </row>
    <row r="611" customFormat="false" ht="15" hidden="false" customHeight="false" outlineLevel="0" collapsed="false">
      <c r="A611" s="8"/>
      <c r="B611" s="10" t="str">
        <f aca="false">IF(A611="","",IFERROR(VLOOKUP(A611,DonHang!$A$2:$C$500,3,FALSE()),"mã đơn chưa có"))</f>
        <v/>
      </c>
      <c r="C611" s="8"/>
      <c r="D611" s="8"/>
      <c r="E611" s="8"/>
      <c r="F611" s="13"/>
      <c r="G611" s="14"/>
      <c r="H611" s="8"/>
      <c r="I611" s="11" t="str">
        <f aca="false">IF(OR(F611="",G611=""),"",ROUND(F611*G611,0))</f>
        <v/>
      </c>
    </row>
    <row r="612" customFormat="false" ht="15" hidden="false" customHeight="false" outlineLevel="0" collapsed="false">
      <c r="A612" s="8"/>
      <c r="B612" s="10" t="str">
        <f aca="false">IF(A612="","",IFERROR(VLOOKUP(A612,DonHang!$A$2:$C$500,3,FALSE()),"mã đơn chưa có"))</f>
        <v/>
      </c>
      <c r="C612" s="8"/>
      <c r="D612" s="8"/>
      <c r="E612" s="8"/>
      <c r="F612" s="13"/>
      <c r="G612" s="14"/>
      <c r="H612" s="8"/>
      <c r="I612" s="11" t="str">
        <f aca="false">IF(OR(F612="",G612=""),"",ROUND(F612*G612,0))</f>
        <v/>
      </c>
    </row>
    <row r="613" customFormat="false" ht="15" hidden="false" customHeight="false" outlineLevel="0" collapsed="false">
      <c r="A613" s="8"/>
      <c r="B613" s="10" t="str">
        <f aca="false">IF(A613="","",IFERROR(VLOOKUP(A613,DonHang!$A$2:$C$500,3,FALSE()),"mã đơn chưa có"))</f>
        <v/>
      </c>
      <c r="C613" s="8"/>
      <c r="D613" s="8"/>
      <c r="E613" s="8"/>
      <c r="F613" s="13"/>
      <c r="G613" s="14"/>
      <c r="H613" s="8"/>
      <c r="I613" s="11" t="str">
        <f aca="false">IF(OR(F613="",G613=""),"",ROUND(F613*G613,0))</f>
        <v/>
      </c>
    </row>
    <row r="614" customFormat="false" ht="15" hidden="false" customHeight="false" outlineLevel="0" collapsed="false">
      <c r="A614" s="8"/>
      <c r="B614" s="10" t="str">
        <f aca="false">IF(A614="","",IFERROR(VLOOKUP(A614,DonHang!$A$2:$C$500,3,FALSE()),"mã đơn chưa có"))</f>
        <v/>
      </c>
      <c r="C614" s="8"/>
      <c r="D614" s="8"/>
      <c r="E614" s="8"/>
      <c r="F614" s="13"/>
      <c r="G614" s="14"/>
      <c r="H614" s="8"/>
      <c r="I614" s="11" t="str">
        <f aca="false">IF(OR(F614="",G614=""),"",ROUND(F614*G614,0))</f>
        <v/>
      </c>
    </row>
    <row r="615" customFormat="false" ht="15" hidden="false" customHeight="false" outlineLevel="0" collapsed="false">
      <c r="A615" s="8"/>
      <c r="B615" s="10" t="str">
        <f aca="false">IF(A615="","",IFERROR(VLOOKUP(A615,DonHang!$A$2:$C$500,3,FALSE()),"mã đơn chưa có"))</f>
        <v/>
      </c>
      <c r="C615" s="8"/>
      <c r="D615" s="8"/>
      <c r="E615" s="8"/>
      <c r="F615" s="13"/>
      <c r="G615" s="14"/>
      <c r="H615" s="8"/>
      <c r="I615" s="11" t="str">
        <f aca="false">IF(OR(F615="",G615=""),"",ROUND(F615*G615,0))</f>
        <v/>
      </c>
    </row>
    <row r="616" customFormat="false" ht="15" hidden="false" customHeight="false" outlineLevel="0" collapsed="false">
      <c r="A616" s="8"/>
      <c r="B616" s="10" t="str">
        <f aca="false">IF(A616="","",IFERROR(VLOOKUP(A616,DonHang!$A$2:$C$500,3,FALSE()),"mã đơn chưa có"))</f>
        <v/>
      </c>
      <c r="C616" s="8"/>
      <c r="D616" s="8"/>
      <c r="E616" s="8"/>
      <c r="F616" s="13"/>
      <c r="G616" s="14"/>
      <c r="H616" s="8"/>
      <c r="I616" s="11" t="str">
        <f aca="false">IF(OR(F616="",G616=""),"",ROUND(F616*G616,0))</f>
        <v/>
      </c>
    </row>
    <row r="617" customFormat="false" ht="15" hidden="false" customHeight="false" outlineLevel="0" collapsed="false">
      <c r="A617" s="8"/>
      <c r="B617" s="10" t="str">
        <f aca="false">IF(A617="","",IFERROR(VLOOKUP(A617,DonHang!$A$2:$C$500,3,FALSE()),"mã đơn chưa có"))</f>
        <v/>
      </c>
      <c r="C617" s="8"/>
      <c r="D617" s="8"/>
      <c r="E617" s="8"/>
      <c r="F617" s="13"/>
      <c r="G617" s="14"/>
      <c r="H617" s="8"/>
      <c r="I617" s="11" t="str">
        <f aca="false">IF(OR(F617="",G617=""),"",ROUND(F617*G617,0))</f>
        <v/>
      </c>
    </row>
    <row r="618" customFormat="false" ht="15" hidden="false" customHeight="false" outlineLevel="0" collapsed="false">
      <c r="A618" s="8"/>
      <c r="B618" s="10" t="str">
        <f aca="false">IF(A618="","",IFERROR(VLOOKUP(A618,DonHang!$A$2:$C$500,3,FALSE()),"mã đơn chưa có"))</f>
        <v/>
      </c>
      <c r="C618" s="8"/>
      <c r="D618" s="8"/>
      <c r="E618" s="8"/>
      <c r="F618" s="13"/>
      <c r="G618" s="14"/>
      <c r="H618" s="8"/>
      <c r="I618" s="11" t="str">
        <f aca="false">IF(OR(F618="",G618=""),"",ROUND(F618*G618,0))</f>
        <v/>
      </c>
    </row>
    <row r="619" customFormat="false" ht="15" hidden="false" customHeight="false" outlineLevel="0" collapsed="false">
      <c r="A619" s="8"/>
      <c r="B619" s="10" t="str">
        <f aca="false">IF(A619="","",IFERROR(VLOOKUP(A619,DonHang!$A$2:$C$500,3,FALSE()),"mã đơn chưa có"))</f>
        <v/>
      </c>
      <c r="C619" s="8"/>
      <c r="D619" s="8"/>
      <c r="E619" s="8"/>
      <c r="F619" s="13"/>
      <c r="G619" s="14"/>
      <c r="H619" s="8"/>
      <c r="I619" s="11" t="str">
        <f aca="false">IF(OR(F619="",G619=""),"",ROUND(F619*G619,0))</f>
        <v/>
      </c>
    </row>
    <row r="620" customFormat="false" ht="15" hidden="false" customHeight="false" outlineLevel="0" collapsed="false">
      <c r="A620" s="8"/>
      <c r="B620" s="10" t="str">
        <f aca="false">IF(A620="","",IFERROR(VLOOKUP(A620,DonHang!$A$2:$C$500,3,FALSE()),"mã đơn chưa có"))</f>
        <v/>
      </c>
      <c r="C620" s="8"/>
      <c r="D620" s="8"/>
      <c r="E620" s="8"/>
      <c r="F620" s="13"/>
      <c r="G620" s="14"/>
      <c r="H620" s="8"/>
      <c r="I620" s="11" t="str">
        <f aca="false">IF(OR(F620="",G620=""),"",ROUND(F620*G620,0))</f>
        <v/>
      </c>
    </row>
    <row r="621" customFormat="false" ht="15" hidden="false" customHeight="false" outlineLevel="0" collapsed="false">
      <c r="A621" s="8"/>
      <c r="B621" s="10" t="str">
        <f aca="false">IF(A621="","",IFERROR(VLOOKUP(A621,DonHang!$A$2:$C$500,3,FALSE()),"mã đơn chưa có"))</f>
        <v/>
      </c>
      <c r="C621" s="8"/>
      <c r="D621" s="8"/>
      <c r="E621" s="8"/>
      <c r="F621" s="13"/>
      <c r="G621" s="14"/>
      <c r="H621" s="8"/>
      <c r="I621" s="11" t="str">
        <f aca="false">IF(OR(F621="",G621=""),"",ROUND(F621*G621,0))</f>
        <v/>
      </c>
    </row>
    <row r="622" customFormat="false" ht="15" hidden="false" customHeight="false" outlineLevel="0" collapsed="false">
      <c r="A622" s="8"/>
      <c r="B622" s="10" t="str">
        <f aca="false">IF(A622="","",IFERROR(VLOOKUP(A622,DonHang!$A$2:$C$500,3,FALSE()),"mã đơn chưa có"))</f>
        <v/>
      </c>
      <c r="C622" s="8"/>
      <c r="D622" s="8"/>
      <c r="E622" s="8"/>
      <c r="F622" s="13"/>
      <c r="G622" s="14"/>
      <c r="H622" s="8"/>
      <c r="I622" s="11" t="str">
        <f aca="false">IF(OR(F622="",G622=""),"",ROUND(F622*G622,0))</f>
        <v/>
      </c>
    </row>
    <row r="623" customFormat="false" ht="15" hidden="false" customHeight="false" outlineLevel="0" collapsed="false">
      <c r="A623" s="8"/>
      <c r="B623" s="10" t="str">
        <f aca="false">IF(A623="","",IFERROR(VLOOKUP(A623,DonHang!$A$2:$C$500,3,FALSE()),"mã đơn chưa có"))</f>
        <v/>
      </c>
      <c r="C623" s="8"/>
      <c r="D623" s="8"/>
      <c r="E623" s="8"/>
      <c r="F623" s="13"/>
      <c r="G623" s="14"/>
      <c r="H623" s="8"/>
      <c r="I623" s="11" t="str">
        <f aca="false">IF(OR(F623="",G623=""),"",ROUND(F623*G623,0))</f>
        <v/>
      </c>
    </row>
    <row r="624" customFormat="false" ht="15" hidden="false" customHeight="false" outlineLevel="0" collapsed="false">
      <c r="A624" s="8"/>
      <c r="B624" s="10" t="str">
        <f aca="false">IF(A624="","",IFERROR(VLOOKUP(A624,DonHang!$A$2:$C$500,3,FALSE()),"mã đơn chưa có"))</f>
        <v/>
      </c>
      <c r="C624" s="8"/>
      <c r="D624" s="8"/>
      <c r="E624" s="8"/>
      <c r="F624" s="13"/>
      <c r="G624" s="14"/>
      <c r="H624" s="8"/>
      <c r="I624" s="11" t="str">
        <f aca="false">IF(OR(F624="",G624=""),"",ROUND(F624*G624,0))</f>
        <v/>
      </c>
    </row>
    <row r="625" customFormat="false" ht="15" hidden="false" customHeight="false" outlineLevel="0" collapsed="false">
      <c r="A625" s="8"/>
      <c r="B625" s="10" t="str">
        <f aca="false">IF(A625="","",IFERROR(VLOOKUP(A625,DonHang!$A$2:$C$500,3,FALSE()),"mã đơn chưa có"))</f>
        <v/>
      </c>
      <c r="C625" s="8"/>
      <c r="D625" s="8"/>
      <c r="E625" s="8"/>
      <c r="F625" s="13"/>
      <c r="G625" s="14"/>
      <c r="H625" s="8"/>
      <c r="I625" s="11" t="str">
        <f aca="false">IF(OR(F625="",G625=""),"",ROUND(F625*G625,0))</f>
        <v/>
      </c>
    </row>
    <row r="626" customFormat="false" ht="15" hidden="false" customHeight="false" outlineLevel="0" collapsed="false">
      <c r="A626" s="8"/>
      <c r="B626" s="10" t="str">
        <f aca="false">IF(A626="","",IFERROR(VLOOKUP(A626,DonHang!$A$2:$C$500,3,FALSE()),"mã đơn chưa có"))</f>
        <v/>
      </c>
      <c r="C626" s="8"/>
      <c r="D626" s="8"/>
      <c r="E626" s="8"/>
      <c r="F626" s="13"/>
      <c r="G626" s="14"/>
      <c r="H626" s="8"/>
      <c r="I626" s="11" t="str">
        <f aca="false">IF(OR(F626="",G626=""),"",ROUND(F626*G626,0))</f>
        <v/>
      </c>
    </row>
    <row r="627" customFormat="false" ht="15" hidden="false" customHeight="false" outlineLevel="0" collapsed="false">
      <c r="A627" s="8"/>
      <c r="B627" s="10" t="str">
        <f aca="false">IF(A627="","",IFERROR(VLOOKUP(A627,DonHang!$A$2:$C$500,3,FALSE()),"mã đơn chưa có"))</f>
        <v/>
      </c>
      <c r="C627" s="8"/>
      <c r="D627" s="8"/>
      <c r="E627" s="8"/>
      <c r="F627" s="13"/>
      <c r="G627" s="14"/>
      <c r="H627" s="8"/>
      <c r="I627" s="11" t="str">
        <f aca="false">IF(OR(F627="",G627=""),"",ROUND(F627*G627,0))</f>
        <v/>
      </c>
    </row>
    <row r="628" customFormat="false" ht="15" hidden="false" customHeight="false" outlineLevel="0" collapsed="false">
      <c r="A628" s="8"/>
      <c r="B628" s="10" t="str">
        <f aca="false">IF(A628="","",IFERROR(VLOOKUP(A628,DonHang!$A$2:$C$500,3,FALSE()),"mã đơn chưa có"))</f>
        <v/>
      </c>
      <c r="C628" s="8"/>
      <c r="D628" s="8"/>
      <c r="E628" s="8"/>
      <c r="F628" s="13"/>
      <c r="G628" s="14"/>
      <c r="H628" s="8"/>
      <c r="I628" s="11" t="str">
        <f aca="false">IF(OR(F628="",G628=""),"",ROUND(F628*G628,0))</f>
        <v/>
      </c>
    </row>
    <row r="629" customFormat="false" ht="15" hidden="false" customHeight="false" outlineLevel="0" collapsed="false">
      <c r="A629" s="8"/>
      <c r="B629" s="10" t="str">
        <f aca="false">IF(A629="","",IFERROR(VLOOKUP(A629,DonHang!$A$2:$C$500,3,FALSE()),"mã đơn chưa có"))</f>
        <v/>
      </c>
      <c r="C629" s="8"/>
      <c r="D629" s="8"/>
      <c r="E629" s="8"/>
      <c r="F629" s="13"/>
      <c r="G629" s="14"/>
      <c r="H629" s="8"/>
      <c r="I629" s="11" t="str">
        <f aca="false">IF(OR(F629="",G629=""),"",ROUND(F629*G629,0))</f>
        <v/>
      </c>
    </row>
    <row r="630" customFormat="false" ht="15" hidden="false" customHeight="false" outlineLevel="0" collapsed="false">
      <c r="A630" s="8"/>
      <c r="B630" s="10" t="str">
        <f aca="false">IF(A630="","",IFERROR(VLOOKUP(A630,DonHang!$A$2:$C$500,3,FALSE()),"mã đơn chưa có"))</f>
        <v/>
      </c>
      <c r="C630" s="8"/>
      <c r="D630" s="8"/>
      <c r="E630" s="8"/>
      <c r="F630" s="13"/>
      <c r="G630" s="14"/>
      <c r="H630" s="8"/>
      <c r="I630" s="11" t="str">
        <f aca="false">IF(OR(F630="",G630=""),"",ROUND(F630*G630,0))</f>
        <v/>
      </c>
    </row>
    <row r="631" customFormat="false" ht="15" hidden="false" customHeight="false" outlineLevel="0" collapsed="false">
      <c r="A631" s="8"/>
      <c r="B631" s="10" t="str">
        <f aca="false">IF(A631="","",IFERROR(VLOOKUP(A631,DonHang!$A$2:$C$500,3,FALSE()),"mã đơn chưa có"))</f>
        <v/>
      </c>
      <c r="C631" s="8"/>
      <c r="D631" s="8"/>
      <c r="E631" s="8"/>
      <c r="F631" s="13"/>
      <c r="G631" s="14"/>
      <c r="H631" s="8"/>
      <c r="I631" s="11" t="str">
        <f aca="false">IF(OR(F631="",G631=""),"",ROUND(F631*G631,0))</f>
        <v/>
      </c>
    </row>
    <row r="632" customFormat="false" ht="15" hidden="false" customHeight="false" outlineLevel="0" collapsed="false">
      <c r="A632" s="8"/>
      <c r="B632" s="10" t="str">
        <f aca="false">IF(A632="","",IFERROR(VLOOKUP(A632,DonHang!$A$2:$C$500,3,FALSE()),"mã đơn chưa có"))</f>
        <v/>
      </c>
      <c r="C632" s="8"/>
      <c r="D632" s="8"/>
      <c r="E632" s="8"/>
      <c r="F632" s="13"/>
      <c r="G632" s="14"/>
      <c r="H632" s="8"/>
      <c r="I632" s="11" t="str">
        <f aca="false">IF(OR(F632="",G632=""),"",ROUND(F632*G632,0))</f>
        <v/>
      </c>
    </row>
    <row r="633" customFormat="false" ht="15" hidden="false" customHeight="false" outlineLevel="0" collapsed="false">
      <c r="A633" s="8"/>
      <c r="B633" s="10" t="str">
        <f aca="false">IF(A633="","",IFERROR(VLOOKUP(A633,DonHang!$A$2:$C$500,3,FALSE()),"mã đơn chưa có"))</f>
        <v/>
      </c>
      <c r="C633" s="8"/>
      <c r="D633" s="8"/>
      <c r="E633" s="8"/>
      <c r="F633" s="13"/>
      <c r="G633" s="14"/>
      <c r="H633" s="8"/>
      <c r="I633" s="11" t="str">
        <f aca="false">IF(OR(F633="",G633=""),"",ROUND(F633*G633,0))</f>
        <v/>
      </c>
    </row>
    <row r="634" customFormat="false" ht="15" hidden="false" customHeight="false" outlineLevel="0" collapsed="false">
      <c r="A634" s="8"/>
      <c r="B634" s="10" t="str">
        <f aca="false">IF(A634="","",IFERROR(VLOOKUP(A634,DonHang!$A$2:$C$500,3,FALSE()),"mã đơn chưa có"))</f>
        <v/>
      </c>
      <c r="C634" s="8"/>
      <c r="D634" s="8"/>
      <c r="E634" s="8"/>
      <c r="F634" s="13"/>
      <c r="G634" s="14"/>
      <c r="H634" s="8"/>
      <c r="I634" s="11" t="str">
        <f aca="false">IF(OR(F634="",G634=""),"",ROUND(F634*G634,0))</f>
        <v/>
      </c>
    </row>
    <row r="635" customFormat="false" ht="15" hidden="false" customHeight="false" outlineLevel="0" collapsed="false">
      <c r="A635" s="8"/>
      <c r="B635" s="10" t="str">
        <f aca="false">IF(A635="","",IFERROR(VLOOKUP(A635,DonHang!$A$2:$C$500,3,FALSE()),"mã đơn chưa có"))</f>
        <v/>
      </c>
      <c r="C635" s="8"/>
      <c r="D635" s="8"/>
      <c r="E635" s="8"/>
      <c r="F635" s="13"/>
      <c r="G635" s="14"/>
      <c r="H635" s="8"/>
      <c r="I635" s="11" t="str">
        <f aca="false">IF(OR(F635="",G635=""),"",ROUND(F635*G635,0))</f>
        <v/>
      </c>
    </row>
    <row r="636" customFormat="false" ht="15" hidden="false" customHeight="false" outlineLevel="0" collapsed="false">
      <c r="A636" s="8"/>
      <c r="B636" s="10" t="str">
        <f aca="false">IF(A636="","",IFERROR(VLOOKUP(A636,DonHang!$A$2:$C$500,3,FALSE()),"mã đơn chưa có"))</f>
        <v/>
      </c>
      <c r="C636" s="8"/>
      <c r="D636" s="8"/>
      <c r="E636" s="8"/>
      <c r="F636" s="13"/>
      <c r="G636" s="14"/>
      <c r="H636" s="8"/>
      <c r="I636" s="11" t="str">
        <f aca="false">IF(OR(F636="",G636=""),"",ROUND(F636*G636,0))</f>
        <v/>
      </c>
    </row>
    <row r="637" customFormat="false" ht="15" hidden="false" customHeight="false" outlineLevel="0" collapsed="false">
      <c r="A637" s="8"/>
      <c r="B637" s="10" t="str">
        <f aca="false">IF(A637="","",IFERROR(VLOOKUP(A637,DonHang!$A$2:$C$500,3,FALSE()),"mã đơn chưa có"))</f>
        <v/>
      </c>
      <c r="C637" s="8"/>
      <c r="D637" s="8"/>
      <c r="E637" s="8"/>
      <c r="F637" s="13"/>
      <c r="G637" s="14"/>
      <c r="H637" s="8"/>
      <c r="I637" s="11" t="str">
        <f aca="false">IF(OR(F637="",G637=""),"",ROUND(F637*G637,0))</f>
        <v/>
      </c>
    </row>
    <row r="638" customFormat="false" ht="15" hidden="false" customHeight="false" outlineLevel="0" collapsed="false">
      <c r="A638" s="8"/>
      <c r="B638" s="10" t="str">
        <f aca="false">IF(A638="","",IFERROR(VLOOKUP(A638,DonHang!$A$2:$C$500,3,FALSE()),"mã đơn chưa có"))</f>
        <v/>
      </c>
      <c r="C638" s="8"/>
      <c r="D638" s="8"/>
      <c r="E638" s="8"/>
      <c r="F638" s="13"/>
      <c r="G638" s="14"/>
      <c r="H638" s="8"/>
      <c r="I638" s="11" t="str">
        <f aca="false">IF(OR(F638="",G638=""),"",ROUND(F638*G638,0))</f>
        <v/>
      </c>
    </row>
    <row r="639" customFormat="false" ht="15" hidden="false" customHeight="false" outlineLevel="0" collapsed="false">
      <c r="A639" s="8"/>
      <c r="B639" s="10" t="str">
        <f aca="false">IF(A639="","",IFERROR(VLOOKUP(A639,DonHang!$A$2:$C$500,3,FALSE()),"mã đơn chưa có"))</f>
        <v/>
      </c>
      <c r="C639" s="8"/>
      <c r="D639" s="8"/>
      <c r="E639" s="8"/>
      <c r="F639" s="13"/>
      <c r="G639" s="14"/>
      <c r="H639" s="8"/>
      <c r="I639" s="11" t="str">
        <f aca="false">IF(OR(F639="",G639=""),"",ROUND(F639*G639,0))</f>
        <v/>
      </c>
    </row>
    <row r="640" customFormat="false" ht="15" hidden="false" customHeight="false" outlineLevel="0" collapsed="false">
      <c r="A640" s="8"/>
      <c r="B640" s="10" t="str">
        <f aca="false">IF(A640="","",IFERROR(VLOOKUP(A640,DonHang!$A$2:$C$500,3,FALSE()),"mã đơn chưa có"))</f>
        <v/>
      </c>
      <c r="C640" s="8"/>
      <c r="D640" s="8"/>
      <c r="E640" s="8"/>
      <c r="F640" s="13"/>
      <c r="G640" s="14"/>
      <c r="H640" s="8"/>
      <c r="I640" s="11" t="str">
        <f aca="false">IF(OR(F640="",G640=""),"",ROUND(F640*G640,0))</f>
        <v/>
      </c>
    </row>
    <row r="641" customFormat="false" ht="15" hidden="false" customHeight="false" outlineLevel="0" collapsed="false">
      <c r="A641" s="8"/>
      <c r="B641" s="10" t="str">
        <f aca="false">IF(A641="","",IFERROR(VLOOKUP(A641,DonHang!$A$2:$C$500,3,FALSE()),"mã đơn chưa có"))</f>
        <v/>
      </c>
      <c r="C641" s="8"/>
      <c r="D641" s="8"/>
      <c r="E641" s="8"/>
      <c r="F641" s="13"/>
      <c r="G641" s="14"/>
      <c r="H641" s="8"/>
      <c r="I641" s="11" t="str">
        <f aca="false">IF(OR(F641="",G641=""),"",ROUND(F641*G641,0))</f>
        <v/>
      </c>
    </row>
    <row r="642" customFormat="false" ht="15" hidden="false" customHeight="false" outlineLevel="0" collapsed="false">
      <c r="A642" s="8"/>
      <c r="B642" s="10" t="str">
        <f aca="false">IF(A642="","",IFERROR(VLOOKUP(A642,DonHang!$A$2:$C$500,3,FALSE()),"mã đơn chưa có"))</f>
        <v/>
      </c>
      <c r="C642" s="8"/>
      <c r="D642" s="8"/>
      <c r="E642" s="8"/>
      <c r="F642" s="13"/>
      <c r="G642" s="14"/>
      <c r="H642" s="8"/>
      <c r="I642" s="11" t="str">
        <f aca="false">IF(OR(F642="",G642=""),"",ROUND(F642*G642,0))</f>
        <v/>
      </c>
    </row>
    <row r="643" customFormat="false" ht="15" hidden="false" customHeight="false" outlineLevel="0" collapsed="false">
      <c r="A643" s="8"/>
      <c r="B643" s="10" t="str">
        <f aca="false">IF(A643="","",IFERROR(VLOOKUP(A643,DonHang!$A$2:$C$500,3,FALSE()),"mã đơn chưa có"))</f>
        <v/>
      </c>
      <c r="C643" s="8"/>
      <c r="D643" s="8"/>
      <c r="E643" s="8"/>
      <c r="F643" s="13"/>
      <c r="G643" s="14"/>
      <c r="H643" s="8"/>
      <c r="I643" s="11" t="str">
        <f aca="false">IF(OR(F643="",G643=""),"",ROUND(F643*G643,0))</f>
        <v/>
      </c>
    </row>
    <row r="644" customFormat="false" ht="15" hidden="false" customHeight="false" outlineLevel="0" collapsed="false">
      <c r="A644" s="8"/>
      <c r="B644" s="10" t="str">
        <f aca="false">IF(A644="","",IFERROR(VLOOKUP(A644,DonHang!$A$2:$C$500,3,FALSE()),"mã đơn chưa có"))</f>
        <v/>
      </c>
      <c r="C644" s="8"/>
      <c r="D644" s="8"/>
      <c r="E644" s="8"/>
      <c r="F644" s="13"/>
      <c r="G644" s="14"/>
      <c r="H644" s="8"/>
      <c r="I644" s="11" t="str">
        <f aca="false">IF(OR(F644="",G644=""),"",ROUND(F644*G644,0))</f>
        <v/>
      </c>
    </row>
    <row r="645" customFormat="false" ht="15" hidden="false" customHeight="false" outlineLevel="0" collapsed="false">
      <c r="A645" s="8"/>
      <c r="B645" s="10" t="str">
        <f aca="false">IF(A645="","",IFERROR(VLOOKUP(A645,DonHang!$A$2:$C$500,3,FALSE()),"mã đơn chưa có"))</f>
        <v/>
      </c>
      <c r="C645" s="8"/>
      <c r="D645" s="8"/>
      <c r="E645" s="8"/>
      <c r="F645" s="13"/>
      <c r="G645" s="14"/>
      <c r="H645" s="8"/>
      <c r="I645" s="11" t="str">
        <f aca="false">IF(OR(F645="",G645=""),"",ROUND(F645*G645,0))</f>
        <v/>
      </c>
    </row>
    <row r="646" customFormat="false" ht="15" hidden="false" customHeight="false" outlineLevel="0" collapsed="false">
      <c r="A646" s="8"/>
      <c r="B646" s="10" t="str">
        <f aca="false">IF(A646="","",IFERROR(VLOOKUP(A646,DonHang!$A$2:$C$500,3,FALSE()),"mã đơn chưa có"))</f>
        <v/>
      </c>
      <c r="C646" s="8"/>
      <c r="D646" s="8"/>
      <c r="E646" s="8"/>
      <c r="F646" s="13"/>
      <c r="G646" s="14"/>
      <c r="H646" s="8"/>
      <c r="I646" s="11" t="str">
        <f aca="false">IF(OR(F646="",G646=""),"",ROUND(F646*G646,0))</f>
        <v/>
      </c>
    </row>
    <row r="647" customFormat="false" ht="15" hidden="false" customHeight="false" outlineLevel="0" collapsed="false">
      <c r="A647" s="8"/>
      <c r="B647" s="10" t="str">
        <f aca="false">IF(A647="","",IFERROR(VLOOKUP(A647,DonHang!$A$2:$C$500,3,FALSE()),"mã đơn chưa có"))</f>
        <v/>
      </c>
      <c r="C647" s="8"/>
      <c r="D647" s="8"/>
      <c r="E647" s="8"/>
      <c r="F647" s="13"/>
      <c r="G647" s="14"/>
      <c r="H647" s="8"/>
      <c r="I647" s="11" t="str">
        <f aca="false">IF(OR(F647="",G647=""),"",ROUND(F647*G647,0))</f>
        <v/>
      </c>
    </row>
    <row r="648" customFormat="false" ht="15" hidden="false" customHeight="false" outlineLevel="0" collapsed="false">
      <c r="A648" s="8"/>
      <c r="B648" s="10" t="str">
        <f aca="false">IF(A648="","",IFERROR(VLOOKUP(A648,DonHang!$A$2:$C$500,3,FALSE()),"mã đơn chưa có"))</f>
        <v/>
      </c>
      <c r="C648" s="8"/>
      <c r="D648" s="8"/>
      <c r="E648" s="8"/>
      <c r="F648" s="13"/>
      <c r="G648" s="14"/>
      <c r="H648" s="8"/>
      <c r="I648" s="11" t="str">
        <f aca="false">IF(OR(F648="",G648=""),"",ROUND(F648*G648,0))</f>
        <v/>
      </c>
    </row>
    <row r="649" customFormat="false" ht="15" hidden="false" customHeight="false" outlineLevel="0" collapsed="false">
      <c r="A649" s="8"/>
      <c r="B649" s="10" t="str">
        <f aca="false">IF(A649="","",IFERROR(VLOOKUP(A649,DonHang!$A$2:$C$500,3,FALSE()),"mã đơn chưa có"))</f>
        <v/>
      </c>
      <c r="C649" s="8"/>
      <c r="D649" s="8"/>
      <c r="E649" s="8"/>
      <c r="F649" s="13"/>
      <c r="G649" s="14"/>
      <c r="H649" s="8"/>
      <c r="I649" s="11" t="str">
        <f aca="false">IF(OR(F649="",G649=""),"",ROUND(F649*G649,0))</f>
        <v/>
      </c>
    </row>
    <row r="650" customFormat="false" ht="15" hidden="false" customHeight="false" outlineLevel="0" collapsed="false">
      <c r="A650" s="8"/>
      <c r="B650" s="10" t="str">
        <f aca="false">IF(A650="","",IFERROR(VLOOKUP(A650,DonHang!$A$2:$C$500,3,FALSE()),"mã đơn chưa có"))</f>
        <v/>
      </c>
      <c r="C650" s="8"/>
      <c r="D650" s="8"/>
      <c r="E650" s="8"/>
      <c r="F650" s="13"/>
      <c r="G650" s="14"/>
      <c r="H650" s="8"/>
      <c r="I650" s="11" t="str">
        <f aca="false">IF(OR(F650="",G650=""),"",ROUND(F650*G650,0))</f>
        <v/>
      </c>
    </row>
    <row r="651" customFormat="false" ht="15" hidden="false" customHeight="false" outlineLevel="0" collapsed="false">
      <c r="A651" s="8"/>
      <c r="B651" s="10" t="str">
        <f aca="false">IF(A651="","",IFERROR(VLOOKUP(A651,DonHang!$A$2:$C$500,3,FALSE()),"mã đơn chưa có"))</f>
        <v/>
      </c>
      <c r="C651" s="8"/>
      <c r="D651" s="8"/>
      <c r="E651" s="8"/>
      <c r="F651" s="13"/>
      <c r="G651" s="14"/>
      <c r="H651" s="8"/>
      <c r="I651" s="11" t="str">
        <f aca="false">IF(OR(F651="",G651=""),"",ROUND(F651*G651,0))</f>
        <v/>
      </c>
    </row>
    <row r="652" customFormat="false" ht="15" hidden="false" customHeight="false" outlineLevel="0" collapsed="false">
      <c r="A652" s="8"/>
      <c r="B652" s="10" t="str">
        <f aca="false">IF(A652="","",IFERROR(VLOOKUP(A652,DonHang!$A$2:$C$500,3,FALSE()),"mã đơn chưa có"))</f>
        <v/>
      </c>
      <c r="C652" s="8"/>
      <c r="D652" s="8"/>
      <c r="E652" s="8"/>
      <c r="F652" s="13"/>
      <c r="G652" s="14"/>
      <c r="H652" s="8"/>
      <c r="I652" s="11" t="str">
        <f aca="false">IF(OR(F652="",G652=""),"",ROUND(F652*G652,0))</f>
        <v/>
      </c>
    </row>
    <row r="653" customFormat="false" ht="15" hidden="false" customHeight="false" outlineLevel="0" collapsed="false">
      <c r="A653" s="8"/>
      <c r="B653" s="10" t="str">
        <f aca="false">IF(A653="","",IFERROR(VLOOKUP(A653,DonHang!$A$2:$C$500,3,FALSE()),"mã đơn chưa có"))</f>
        <v/>
      </c>
      <c r="C653" s="8"/>
      <c r="D653" s="8"/>
      <c r="E653" s="8"/>
      <c r="F653" s="13"/>
      <c r="G653" s="14"/>
      <c r="H653" s="8"/>
      <c r="I653" s="11" t="str">
        <f aca="false">IF(OR(F653="",G653=""),"",ROUND(F653*G653,0))</f>
        <v/>
      </c>
    </row>
    <row r="654" customFormat="false" ht="15" hidden="false" customHeight="false" outlineLevel="0" collapsed="false">
      <c r="A654" s="8"/>
      <c r="B654" s="10" t="str">
        <f aca="false">IF(A654="","",IFERROR(VLOOKUP(A654,DonHang!$A$2:$C$500,3,FALSE()),"mã đơn chưa có"))</f>
        <v/>
      </c>
      <c r="C654" s="8"/>
      <c r="D654" s="8"/>
      <c r="E654" s="8"/>
      <c r="F654" s="13"/>
      <c r="G654" s="14"/>
      <c r="H654" s="8"/>
      <c r="I654" s="11" t="str">
        <f aca="false">IF(OR(F654="",G654=""),"",ROUND(F654*G654,0))</f>
        <v/>
      </c>
    </row>
    <row r="655" customFormat="false" ht="15" hidden="false" customHeight="false" outlineLevel="0" collapsed="false">
      <c r="A655" s="8"/>
      <c r="B655" s="10" t="str">
        <f aca="false">IF(A655="","",IFERROR(VLOOKUP(A655,DonHang!$A$2:$C$500,3,FALSE()),"mã đơn chưa có"))</f>
        <v/>
      </c>
      <c r="C655" s="8"/>
      <c r="D655" s="8"/>
      <c r="E655" s="8"/>
      <c r="F655" s="13"/>
      <c r="G655" s="14"/>
      <c r="H655" s="8"/>
      <c r="I655" s="11" t="str">
        <f aca="false">IF(OR(F655="",G655=""),"",ROUND(F655*G655,0))</f>
        <v/>
      </c>
    </row>
    <row r="656" customFormat="false" ht="15" hidden="false" customHeight="false" outlineLevel="0" collapsed="false">
      <c r="A656" s="8"/>
      <c r="B656" s="10" t="str">
        <f aca="false">IF(A656="","",IFERROR(VLOOKUP(A656,DonHang!$A$2:$C$500,3,FALSE()),"mã đơn chưa có"))</f>
        <v/>
      </c>
      <c r="C656" s="8"/>
      <c r="D656" s="8"/>
      <c r="E656" s="8"/>
      <c r="F656" s="13"/>
      <c r="G656" s="14"/>
      <c r="H656" s="8"/>
      <c r="I656" s="11" t="str">
        <f aca="false">IF(OR(F656="",G656=""),"",ROUND(F656*G656,0))</f>
        <v/>
      </c>
    </row>
    <row r="657" customFormat="false" ht="15" hidden="false" customHeight="false" outlineLevel="0" collapsed="false">
      <c r="A657" s="8"/>
      <c r="B657" s="10" t="str">
        <f aca="false">IF(A657="","",IFERROR(VLOOKUP(A657,DonHang!$A$2:$C$500,3,FALSE()),"mã đơn chưa có"))</f>
        <v/>
      </c>
      <c r="C657" s="8"/>
      <c r="D657" s="8"/>
      <c r="E657" s="8"/>
      <c r="F657" s="13"/>
      <c r="G657" s="14"/>
      <c r="H657" s="8"/>
      <c r="I657" s="11" t="str">
        <f aca="false">IF(OR(F657="",G657=""),"",ROUND(F657*G657,0))</f>
        <v/>
      </c>
    </row>
    <row r="658" customFormat="false" ht="15" hidden="false" customHeight="false" outlineLevel="0" collapsed="false">
      <c r="A658" s="8"/>
      <c r="B658" s="10" t="str">
        <f aca="false">IF(A658="","",IFERROR(VLOOKUP(A658,DonHang!$A$2:$C$500,3,FALSE()),"mã đơn chưa có"))</f>
        <v/>
      </c>
      <c r="C658" s="8"/>
      <c r="D658" s="8"/>
      <c r="E658" s="8"/>
      <c r="F658" s="13"/>
      <c r="G658" s="14"/>
      <c r="H658" s="8"/>
      <c r="I658" s="11" t="str">
        <f aca="false">IF(OR(F658="",G658=""),"",ROUND(F658*G658,0))</f>
        <v/>
      </c>
    </row>
    <row r="659" customFormat="false" ht="15" hidden="false" customHeight="false" outlineLevel="0" collapsed="false">
      <c r="A659" s="8"/>
      <c r="B659" s="10" t="str">
        <f aca="false">IF(A659="","",IFERROR(VLOOKUP(A659,DonHang!$A$2:$C$500,3,FALSE()),"mã đơn chưa có"))</f>
        <v/>
      </c>
      <c r="C659" s="8"/>
      <c r="D659" s="8"/>
      <c r="E659" s="8"/>
      <c r="F659" s="13"/>
      <c r="G659" s="14"/>
      <c r="H659" s="8"/>
      <c r="I659" s="11" t="str">
        <f aca="false">IF(OR(F659="",G659=""),"",ROUND(F659*G659,0))</f>
        <v/>
      </c>
    </row>
    <row r="660" customFormat="false" ht="15" hidden="false" customHeight="false" outlineLevel="0" collapsed="false">
      <c r="A660" s="8"/>
      <c r="B660" s="10" t="str">
        <f aca="false">IF(A660="","",IFERROR(VLOOKUP(A660,DonHang!$A$2:$C$500,3,FALSE()),"mã đơn chưa có"))</f>
        <v/>
      </c>
      <c r="C660" s="8"/>
      <c r="D660" s="8"/>
      <c r="E660" s="8"/>
      <c r="F660" s="13"/>
      <c r="G660" s="14"/>
      <c r="H660" s="8"/>
      <c r="I660" s="11" t="str">
        <f aca="false">IF(OR(F660="",G660=""),"",ROUND(F660*G660,0))</f>
        <v/>
      </c>
    </row>
    <row r="661" customFormat="false" ht="15" hidden="false" customHeight="false" outlineLevel="0" collapsed="false">
      <c r="A661" s="8"/>
      <c r="B661" s="10" t="str">
        <f aca="false">IF(A661="","",IFERROR(VLOOKUP(A661,DonHang!$A$2:$C$500,3,FALSE()),"mã đơn chưa có"))</f>
        <v/>
      </c>
      <c r="C661" s="8"/>
      <c r="D661" s="8"/>
      <c r="E661" s="8"/>
      <c r="F661" s="13"/>
      <c r="G661" s="14"/>
      <c r="H661" s="8"/>
      <c r="I661" s="11" t="str">
        <f aca="false">IF(OR(F661="",G661=""),"",ROUND(F661*G661,0))</f>
        <v/>
      </c>
    </row>
    <row r="662" customFormat="false" ht="15" hidden="false" customHeight="false" outlineLevel="0" collapsed="false">
      <c r="A662" s="8"/>
      <c r="B662" s="10" t="str">
        <f aca="false">IF(A662="","",IFERROR(VLOOKUP(A662,DonHang!$A$2:$C$500,3,FALSE()),"mã đơn chưa có"))</f>
        <v/>
      </c>
      <c r="C662" s="8"/>
      <c r="D662" s="8"/>
      <c r="E662" s="8"/>
      <c r="F662" s="13"/>
      <c r="G662" s="14"/>
      <c r="H662" s="8"/>
      <c r="I662" s="11" t="str">
        <f aca="false">IF(OR(F662="",G662=""),"",ROUND(F662*G662,0))</f>
        <v/>
      </c>
    </row>
    <row r="663" customFormat="false" ht="15" hidden="false" customHeight="false" outlineLevel="0" collapsed="false">
      <c r="A663" s="8"/>
      <c r="B663" s="10" t="str">
        <f aca="false">IF(A663="","",IFERROR(VLOOKUP(A663,DonHang!$A$2:$C$500,3,FALSE()),"mã đơn chưa có"))</f>
        <v/>
      </c>
      <c r="C663" s="8"/>
      <c r="D663" s="8"/>
      <c r="E663" s="8"/>
      <c r="F663" s="13"/>
      <c r="G663" s="14"/>
      <c r="H663" s="8"/>
      <c r="I663" s="11" t="str">
        <f aca="false">IF(OR(F663="",G663=""),"",ROUND(F663*G663,0))</f>
        <v/>
      </c>
    </row>
    <row r="664" customFormat="false" ht="15" hidden="false" customHeight="false" outlineLevel="0" collapsed="false">
      <c r="A664" s="8"/>
      <c r="B664" s="10" t="str">
        <f aca="false">IF(A664="","",IFERROR(VLOOKUP(A664,DonHang!$A$2:$C$500,3,FALSE()),"mã đơn chưa có"))</f>
        <v/>
      </c>
      <c r="C664" s="8"/>
      <c r="D664" s="8"/>
      <c r="E664" s="8"/>
      <c r="F664" s="13"/>
      <c r="G664" s="14"/>
      <c r="H664" s="8"/>
      <c r="I664" s="11" t="str">
        <f aca="false">IF(OR(F664="",G664=""),"",ROUND(F664*G664,0))</f>
        <v/>
      </c>
    </row>
    <row r="665" customFormat="false" ht="15" hidden="false" customHeight="false" outlineLevel="0" collapsed="false">
      <c r="A665" s="8"/>
      <c r="B665" s="10" t="str">
        <f aca="false">IF(A665="","",IFERROR(VLOOKUP(A665,DonHang!$A$2:$C$500,3,FALSE()),"mã đơn chưa có"))</f>
        <v/>
      </c>
      <c r="C665" s="8"/>
      <c r="D665" s="8"/>
      <c r="E665" s="8"/>
      <c r="F665" s="13"/>
      <c r="G665" s="14"/>
      <c r="H665" s="8"/>
      <c r="I665" s="11" t="str">
        <f aca="false">IF(OR(F665="",G665=""),"",ROUND(F665*G665,0))</f>
        <v/>
      </c>
    </row>
    <row r="666" customFormat="false" ht="15" hidden="false" customHeight="false" outlineLevel="0" collapsed="false">
      <c r="A666" s="8"/>
      <c r="B666" s="10" t="str">
        <f aca="false">IF(A666="","",IFERROR(VLOOKUP(A666,DonHang!$A$2:$C$500,3,FALSE()),"mã đơn chưa có"))</f>
        <v/>
      </c>
      <c r="C666" s="8"/>
      <c r="D666" s="8"/>
      <c r="E666" s="8"/>
      <c r="F666" s="13"/>
      <c r="G666" s="14"/>
      <c r="H666" s="8"/>
      <c r="I666" s="11" t="str">
        <f aca="false">IF(OR(F666="",G666=""),"",ROUND(F666*G666,0))</f>
        <v/>
      </c>
    </row>
    <row r="667" customFormat="false" ht="15" hidden="false" customHeight="false" outlineLevel="0" collapsed="false">
      <c r="A667" s="8"/>
      <c r="B667" s="10" t="str">
        <f aca="false">IF(A667="","",IFERROR(VLOOKUP(A667,DonHang!$A$2:$C$500,3,FALSE()),"mã đơn chưa có"))</f>
        <v/>
      </c>
      <c r="C667" s="8"/>
      <c r="D667" s="8"/>
      <c r="E667" s="8"/>
      <c r="F667" s="13"/>
      <c r="G667" s="14"/>
      <c r="H667" s="8"/>
      <c r="I667" s="11" t="str">
        <f aca="false">IF(OR(F667="",G667=""),"",ROUND(F667*G667,0))</f>
        <v/>
      </c>
    </row>
    <row r="668" customFormat="false" ht="15" hidden="false" customHeight="false" outlineLevel="0" collapsed="false">
      <c r="A668" s="8"/>
      <c r="B668" s="10" t="str">
        <f aca="false">IF(A668="","",IFERROR(VLOOKUP(A668,DonHang!$A$2:$C$500,3,FALSE()),"mã đơn chưa có"))</f>
        <v/>
      </c>
      <c r="C668" s="8"/>
      <c r="D668" s="8"/>
      <c r="E668" s="8"/>
      <c r="F668" s="13"/>
      <c r="G668" s="14"/>
      <c r="H668" s="8"/>
      <c r="I668" s="11" t="str">
        <f aca="false">IF(OR(F668="",G668=""),"",ROUND(F668*G668,0))</f>
        <v/>
      </c>
    </row>
    <row r="669" customFormat="false" ht="15" hidden="false" customHeight="false" outlineLevel="0" collapsed="false">
      <c r="A669" s="8"/>
      <c r="B669" s="10" t="str">
        <f aca="false">IF(A669="","",IFERROR(VLOOKUP(A669,DonHang!$A$2:$C$500,3,FALSE()),"mã đơn chưa có"))</f>
        <v/>
      </c>
      <c r="C669" s="8"/>
      <c r="D669" s="8"/>
      <c r="E669" s="8"/>
      <c r="F669" s="13"/>
      <c r="G669" s="14"/>
      <c r="H669" s="8"/>
      <c r="I669" s="11" t="str">
        <f aca="false">IF(OR(F669="",G669=""),"",ROUND(F669*G669,0))</f>
        <v/>
      </c>
    </row>
    <row r="670" customFormat="false" ht="15" hidden="false" customHeight="false" outlineLevel="0" collapsed="false">
      <c r="A670" s="8"/>
      <c r="B670" s="10" t="str">
        <f aca="false">IF(A670="","",IFERROR(VLOOKUP(A670,DonHang!$A$2:$C$500,3,FALSE()),"mã đơn chưa có"))</f>
        <v/>
      </c>
      <c r="C670" s="8"/>
      <c r="D670" s="8"/>
      <c r="E670" s="8"/>
      <c r="F670" s="13"/>
      <c r="G670" s="14"/>
      <c r="H670" s="8"/>
      <c r="I670" s="11" t="str">
        <f aca="false">IF(OR(F670="",G670=""),"",ROUND(F670*G670,0))</f>
        <v/>
      </c>
    </row>
    <row r="671" customFormat="false" ht="15" hidden="false" customHeight="false" outlineLevel="0" collapsed="false">
      <c r="A671" s="8"/>
      <c r="B671" s="10" t="str">
        <f aca="false">IF(A671="","",IFERROR(VLOOKUP(A671,DonHang!$A$2:$C$500,3,FALSE()),"mã đơn chưa có"))</f>
        <v/>
      </c>
      <c r="C671" s="8"/>
      <c r="D671" s="8"/>
      <c r="E671" s="8"/>
      <c r="F671" s="13"/>
      <c r="G671" s="14"/>
      <c r="H671" s="8"/>
      <c r="I671" s="11" t="str">
        <f aca="false">IF(OR(F671="",G671=""),"",ROUND(F671*G671,0))</f>
        <v/>
      </c>
    </row>
    <row r="672" customFormat="false" ht="15" hidden="false" customHeight="false" outlineLevel="0" collapsed="false">
      <c r="A672" s="8"/>
      <c r="B672" s="10" t="str">
        <f aca="false">IF(A672="","",IFERROR(VLOOKUP(A672,DonHang!$A$2:$C$500,3,FALSE()),"mã đơn chưa có"))</f>
        <v/>
      </c>
      <c r="C672" s="8"/>
      <c r="D672" s="8"/>
      <c r="E672" s="8"/>
      <c r="F672" s="13"/>
      <c r="G672" s="14"/>
      <c r="H672" s="8"/>
      <c r="I672" s="11" t="str">
        <f aca="false">IF(OR(F672="",G672=""),"",ROUND(F672*G672,0))</f>
        <v/>
      </c>
    </row>
    <row r="673" customFormat="false" ht="15" hidden="false" customHeight="false" outlineLevel="0" collapsed="false">
      <c r="A673" s="8"/>
      <c r="B673" s="10" t="str">
        <f aca="false">IF(A673="","",IFERROR(VLOOKUP(A673,DonHang!$A$2:$C$500,3,FALSE()),"mã đơn chưa có"))</f>
        <v/>
      </c>
      <c r="C673" s="8"/>
      <c r="D673" s="8"/>
      <c r="E673" s="8"/>
      <c r="F673" s="13"/>
      <c r="G673" s="14"/>
      <c r="H673" s="8"/>
      <c r="I673" s="11" t="str">
        <f aca="false">IF(OR(F673="",G673=""),"",ROUND(F673*G673,0))</f>
        <v/>
      </c>
    </row>
    <row r="674" customFormat="false" ht="15" hidden="false" customHeight="false" outlineLevel="0" collapsed="false">
      <c r="A674" s="8"/>
      <c r="B674" s="10" t="str">
        <f aca="false">IF(A674="","",IFERROR(VLOOKUP(A674,DonHang!$A$2:$C$500,3,FALSE()),"mã đơn chưa có"))</f>
        <v/>
      </c>
      <c r="C674" s="8"/>
      <c r="D674" s="8"/>
      <c r="E674" s="8"/>
      <c r="F674" s="13"/>
      <c r="G674" s="14"/>
      <c r="H674" s="8"/>
      <c r="I674" s="11" t="str">
        <f aca="false">IF(OR(F674="",G674=""),"",ROUND(F674*G674,0))</f>
        <v/>
      </c>
    </row>
    <row r="675" customFormat="false" ht="15" hidden="false" customHeight="false" outlineLevel="0" collapsed="false">
      <c r="A675" s="8"/>
      <c r="B675" s="10" t="str">
        <f aca="false">IF(A675="","",IFERROR(VLOOKUP(A675,DonHang!$A$2:$C$500,3,FALSE()),"mã đơn chưa có"))</f>
        <v/>
      </c>
      <c r="C675" s="8"/>
      <c r="D675" s="8"/>
      <c r="E675" s="8"/>
      <c r="F675" s="13"/>
      <c r="G675" s="14"/>
      <c r="H675" s="8"/>
      <c r="I675" s="11" t="str">
        <f aca="false">IF(OR(F675="",G675=""),"",ROUND(F675*G675,0))</f>
        <v/>
      </c>
    </row>
    <row r="676" customFormat="false" ht="15" hidden="false" customHeight="false" outlineLevel="0" collapsed="false">
      <c r="A676" s="8"/>
      <c r="B676" s="10" t="str">
        <f aca="false">IF(A676="","",IFERROR(VLOOKUP(A676,DonHang!$A$2:$C$500,3,FALSE()),"mã đơn chưa có"))</f>
        <v/>
      </c>
      <c r="C676" s="8"/>
      <c r="D676" s="8"/>
      <c r="E676" s="8"/>
      <c r="F676" s="13"/>
      <c r="G676" s="14"/>
      <c r="H676" s="8"/>
      <c r="I676" s="11" t="str">
        <f aca="false">IF(OR(F676="",G676=""),"",ROUND(F676*G676,0))</f>
        <v/>
      </c>
    </row>
    <row r="677" customFormat="false" ht="15" hidden="false" customHeight="false" outlineLevel="0" collapsed="false">
      <c r="A677" s="8"/>
      <c r="B677" s="10" t="str">
        <f aca="false">IF(A677="","",IFERROR(VLOOKUP(A677,DonHang!$A$2:$C$500,3,FALSE()),"mã đơn chưa có"))</f>
        <v/>
      </c>
      <c r="C677" s="8"/>
      <c r="D677" s="8"/>
      <c r="E677" s="8"/>
      <c r="F677" s="13"/>
      <c r="G677" s="14"/>
      <c r="H677" s="8"/>
      <c r="I677" s="11" t="str">
        <f aca="false">IF(OR(F677="",G677=""),"",ROUND(F677*G677,0))</f>
        <v/>
      </c>
    </row>
    <row r="678" customFormat="false" ht="15" hidden="false" customHeight="false" outlineLevel="0" collapsed="false">
      <c r="A678" s="8"/>
      <c r="B678" s="10" t="str">
        <f aca="false">IF(A678="","",IFERROR(VLOOKUP(A678,DonHang!$A$2:$C$500,3,FALSE()),"mã đơn chưa có"))</f>
        <v/>
      </c>
      <c r="C678" s="8"/>
      <c r="D678" s="8"/>
      <c r="E678" s="8"/>
      <c r="F678" s="13"/>
      <c r="G678" s="14"/>
      <c r="H678" s="8"/>
      <c r="I678" s="11" t="str">
        <f aca="false">IF(OR(F678="",G678=""),"",ROUND(F678*G678,0))</f>
        <v/>
      </c>
    </row>
    <row r="679" customFormat="false" ht="15" hidden="false" customHeight="false" outlineLevel="0" collapsed="false">
      <c r="A679" s="8"/>
      <c r="B679" s="10" t="str">
        <f aca="false">IF(A679="","",IFERROR(VLOOKUP(A679,DonHang!$A$2:$C$500,3,FALSE()),"mã đơn chưa có"))</f>
        <v/>
      </c>
      <c r="C679" s="8"/>
      <c r="D679" s="8"/>
      <c r="E679" s="8"/>
      <c r="F679" s="13"/>
      <c r="G679" s="14"/>
      <c r="H679" s="8"/>
      <c r="I679" s="11" t="str">
        <f aca="false">IF(OR(F679="",G679=""),"",ROUND(F679*G679,0))</f>
        <v/>
      </c>
    </row>
    <row r="680" customFormat="false" ht="15" hidden="false" customHeight="false" outlineLevel="0" collapsed="false">
      <c r="A680" s="8"/>
      <c r="B680" s="10" t="str">
        <f aca="false">IF(A680="","",IFERROR(VLOOKUP(A680,DonHang!$A$2:$C$500,3,FALSE()),"mã đơn chưa có"))</f>
        <v/>
      </c>
      <c r="C680" s="8"/>
      <c r="D680" s="8"/>
      <c r="E680" s="8"/>
      <c r="F680" s="13"/>
      <c r="G680" s="14"/>
      <c r="H680" s="8"/>
      <c r="I680" s="11" t="str">
        <f aca="false">IF(OR(F680="",G680=""),"",ROUND(F680*G680,0))</f>
        <v/>
      </c>
    </row>
    <row r="681" customFormat="false" ht="15" hidden="false" customHeight="false" outlineLevel="0" collapsed="false">
      <c r="A681" s="8"/>
      <c r="B681" s="10" t="str">
        <f aca="false">IF(A681="","",IFERROR(VLOOKUP(A681,DonHang!$A$2:$C$500,3,FALSE()),"mã đơn chưa có"))</f>
        <v/>
      </c>
      <c r="C681" s="8"/>
      <c r="D681" s="8"/>
      <c r="E681" s="8"/>
      <c r="F681" s="13"/>
      <c r="G681" s="14"/>
      <c r="H681" s="8"/>
      <c r="I681" s="11" t="str">
        <f aca="false">IF(OR(F681="",G681=""),"",ROUND(F681*G681,0))</f>
        <v/>
      </c>
    </row>
    <row r="682" customFormat="false" ht="15" hidden="false" customHeight="false" outlineLevel="0" collapsed="false">
      <c r="A682" s="8"/>
      <c r="B682" s="10" t="str">
        <f aca="false">IF(A682="","",IFERROR(VLOOKUP(A682,DonHang!$A$2:$C$500,3,FALSE()),"mã đơn chưa có"))</f>
        <v/>
      </c>
      <c r="C682" s="8"/>
      <c r="D682" s="8"/>
      <c r="E682" s="8"/>
      <c r="F682" s="13"/>
      <c r="G682" s="14"/>
      <c r="H682" s="8"/>
      <c r="I682" s="11" t="str">
        <f aca="false">IF(OR(F682="",G682=""),"",ROUND(F682*G682,0))</f>
        <v/>
      </c>
    </row>
    <row r="683" customFormat="false" ht="15" hidden="false" customHeight="false" outlineLevel="0" collapsed="false">
      <c r="A683" s="8"/>
      <c r="B683" s="10" t="str">
        <f aca="false">IF(A683="","",IFERROR(VLOOKUP(A683,DonHang!$A$2:$C$500,3,FALSE()),"mã đơn chưa có"))</f>
        <v/>
      </c>
      <c r="C683" s="8"/>
      <c r="D683" s="8"/>
      <c r="E683" s="8"/>
      <c r="F683" s="13"/>
      <c r="G683" s="14"/>
      <c r="H683" s="8"/>
      <c r="I683" s="11" t="str">
        <f aca="false">IF(OR(F683="",G683=""),"",ROUND(F683*G683,0))</f>
        <v/>
      </c>
    </row>
    <row r="684" customFormat="false" ht="15" hidden="false" customHeight="false" outlineLevel="0" collapsed="false">
      <c r="A684" s="8"/>
      <c r="B684" s="10" t="str">
        <f aca="false">IF(A684="","",IFERROR(VLOOKUP(A684,DonHang!$A$2:$C$500,3,FALSE()),"mã đơn chưa có"))</f>
        <v/>
      </c>
      <c r="C684" s="8"/>
      <c r="D684" s="8"/>
      <c r="E684" s="8"/>
      <c r="F684" s="13"/>
      <c r="G684" s="14"/>
      <c r="H684" s="8"/>
      <c r="I684" s="11" t="str">
        <f aca="false">IF(OR(F684="",G684=""),"",ROUND(F684*G684,0))</f>
        <v/>
      </c>
    </row>
    <row r="685" customFormat="false" ht="15" hidden="false" customHeight="false" outlineLevel="0" collapsed="false">
      <c r="A685" s="8"/>
      <c r="B685" s="10" t="str">
        <f aca="false">IF(A685="","",IFERROR(VLOOKUP(A685,DonHang!$A$2:$C$500,3,FALSE()),"mã đơn chưa có"))</f>
        <v/>
      </c>
      <c r="C685" s="8"/>
      <c r="D685" s="8"/>
      <c r="E685" s="8"/>
      <c r="F685" s="13"/>
      <c r="G685" s="14"/>
      <c r="H685" s="8"/>
      <c r="I685" s="11" t="str">
        <f aca="false">IF(OR(F685="",G685=""),"",ROUND(F685*G685,0))</f>
        <v/>
      </c>
    </row>
    <row r="686" customFormat="false" ht="15" hidden="false" customHeight="false" outlineLevel="0" collapsed="false">
      <c r="A686" s="8"/>
      <c r="B686" s="10" t="str">
        <f aca="false">IF(A686="","",IFERROR(VLOOKUP(A686,DonHang!$A$2:$C$500,3,FALSE()),"mã đơn chưa có"))</f>
        <v/>
      </c>
      <c r="C686" s="8"/>
      <c r="D686" s="8"/>
      <c r="E686" s="8"/>
      <c r="F686" s="13"/>
      <c r="G686" s="14"/>
      <c r="H686" s="8"/>
      <c r="I686" s="11" t="str">
        <f aca="false">IF(OR(F686="",G686=""),"",ROUND(F686*G686,0))</f>
        <v/>
      </c>
    </row>
    <row r="687" customFormat="false" ht="15" hidden="false" customHeight="false" outlineLevel="0" collapsed="false">
      <c r="A687" s="8"/>
      <c r="B687" s="10" t="str">
        <f aca="false">IF(A687="","",IFERROR(VLOOKUP(A687,DonHang!$A$2:$C$500,3,FALSE()),"mã đơn chưa có"))</f>
        <v/>
      </c>
      <c r="C687" s="8"/>
      <c r="D687" s="8"/>
      <c r="E687" s="8"/>
      <c r="F687" s="13"/>
      <c r="G687" s="14"/>
      <c r="H687" s="8"/>
      <c r="I687" s="11" t="str">
        <f aca="false">IF(OR(F687="",G687=""),"",ROUND(F687*G687,0))</f>
        <v/>
      </c>
    </row>
    <row r="688" customFormat="false" ht="15" hidden="false" customHeight="false" outlineLevel="0" collapsed="false">
      <c r="A688" s="8"/>
      <c r="B688" s="10" t="str">
        <f aca="false">IF(A688="","",IFERROR(VLOOKUP(A688,DonHang!$A$2:$C$500,3,FALSE()),"mã đơn chưa có"))</f>
        <v/>
      </c>
      <c r="C688" s="8"/>
      <c r="D688" s="8"/>
      <c r="E688" s="8"/>
      <c r="F688" s="13"/>
      <c r="G688" s="14"/>
      <c r="H688" s="8"/>
      <c r="I688" s="11" t="str">
        <f aca="false">IF(OR(F688="",G688=""),"",ROUND(F688*G688,0))</f>
        <v/>
      </c>
    </row>
    <row r="689" customFormat="false" ht="15" hidden="false" customHeight="false" outlineLevel="0" collapsed="false">
      <c r="A689" s="8"/>
      <c r="B689" s="10" t="str">
        <f aca="false">IF(A689="","",IFERROR(VLOOKUP(A689,DonHang!$A$2:$C$500,3,FALSE()),"mã đơn chưa có"))</f>
        <v/>
      </c>
      <c r="C689" s="8"/>
      <c r="D689" s="8"/>
      <c r="E689" s="8"/>
      <c r="F689" s="13"/>
      <c r="G689" s="14"/>
      <c r="H689" s="8"/>
      <c r="I689" s="11" t="str">
        <f aca="false">IF(OR(F689="",G689=""),"",ROUND(F689*G689,0))</f>
        <v/>
      </c>
    </row>
    <row r="690" customFormat="false" ht="15" hidden="false" customHeight="false" outlineLevel="0" collapsed="false">
      <c r="A690" s="8"/>
      <c r="B690" s="10" t="str">
        <f aca="false">IF(A690="","",IFERROR(VLOOKUP(A690,DonHang!$A$2:$C$500,3,FALSE()),"mã đơn chưa có"))</f>
        <v/>
      </c>
      <c r="C690" s="8"/>
      <c r="D690" s="8"/>
      <c r="E690" s="8"/>
      <c r="F690" s="13"/>
      <c r="G690" s="14"/>
      <c r="H690" s="8"/>
      <c r="I690" s="11" t="str">
        <f aca="false">IF(OR(F690="",G690=""),"",ROUND(F690*G690,0))</f>
        <v/>
      </c>
    </row>
    <row r="691" customFormat="false" ht="15" hidden="false" customHeight="false" outlineLevel="0" collapsed="false">
      <c r="A691" s="8"/>
      <c r="B691" s="10" t="str">
        <f aca="false">IF(A691="","",IFERROR(VLOOKUP(A691,DonHang!$A$2:$C$500,3,FALSE()),"mã đơn chưa có"))</f>
        <v/>
      </c>
      <c r="C691" s="8"/>
      <c r="D691" s="8"/>
      <c r="E691" s="8"/>
      <c r="F691" s="13"/>
      <c r="G691" s="14"/>
      <c r="H691" s="8"/>
      <c r="I691" s="11" t="str">
        <f aca="false">IF(OR(F691="",G691=""),"",ROUND(F691*G691,0))</f>
        <v/>
      </c>
    </row>
    <row r="692" customFormat="false" ht="15" hidden="false" customHeight="false" outlineLevel="0" collapsed="false">
      <c r="A692" s="8"/>
      <c r="B692" s="10" t="str">
        <f aca="false">IF(A692="","",IFERROR(VLOOKUP(A692,DonHang!$A$2:$C$500,3,FALSE()),"mã đơn chưa có"))</f>
        <v/>
      </c>
      <c r="C692" s="8"/>
      <c r="D692" s="8"/>
      <c r="E692" s="8"/>
      <c r="F692" s="13"/>
      <c r="G692" s="14"/>
      <c r="H692" s="8"/>
      <c r="I692" s="11" t="str">
        <f aca="false">IF(OR(F692="",G692=""),"",ROUND(F692*G692,0))</f>
        <v/>
      </c>
    </row>
    <row r="693" customFormat="false" ht="15" hidden="false" customHeight="false" outlineLevel="0" collapsed="false">
      <c r="A693" s="8"/>
      <c r="B693" s="10" t="str">
        <f aca="false">IF(A693="","",IFERROR(VLOOKUP(A693,DonHang!$A$2:$C$500,3,FALSE()),"mã đơn chưa có"))</f>
        <v/>
      </c>
      <c r="C693" s="8"/>
      <c r="D693" s="8"/>
      <c r="E693" s="8"/>
      <c r="F693" s="13"/>
      <c r="G693" s="14"/>
      <c r="H693" s="8"/>
      <c r="I693" s="11" t="str">
        <f aca="false">IF(OR(F693="",G693=""),"",ROUND(F693*G693,0))</f>
        <v/>
      </c>
    </row>
    <row r="694" customFormat="false" ht="15" hidden="false" customHeight="false" outlineLevel="0" collapsed="false">
      <c r="A694" s="8"/>
      <c r="B694" s="10" t="str">
        <f aca="false">IF(A694="","",IFERROR(VLOOKUP(A694,DonHang!$A$2:$C$500,3,FALSE()),"mã đơn chưa có"))</f>
        <v/>
      </c>
      <c r="C694" s="8"/>
      <c r="D694" s="8"/>
      <c r="E694" s="8"/>
      <c r="F694" s="13"/>
      <c r="G694" s="14"/>
      <c r="H694" s="8"/>
      <c r="I694" s="11" t="str">
        <f aca="false">IF(OR(F694="",G694=""),"",ROUND(F694*G694,0))</f>
        <v/>
      </c>
    </row>
    <row r="695" customFormat="false" ht="15" hidden="false" customHeight="false" outlineLevel="0" collapsed="false">
      <c r="A695" s="8"/>
      <c r="B695" s="10" t="str">
        <f aca="false">IF(A695="","",IFERROR(VLOOKUP(A695,DonHang!$A$2:$C$500,3,FALSE()),"mã đơn chưa có"))</f>
        <v/>
      </c>
      <c r="C695" s="8"/>
      <c r="D695" s="8"/>
      <c r="E695" s="8"/>
      <c r="F695" s="13"/>
      <c r="G695" s="14"/>
      <c r="H695" s="8"/>
      <c r="I695" s="11" t="str">
        <f aca="false">IF(OR(F695="",G695=""),"",ROUND(F695*G695,0))</f>
        <v/>
      </c>
    </row>
    <row r="696" customFormat="false" ht="15" hidden="false" customHeight="false" outlineLevel="0" collapsed="false">
      <c r="A696" s="8"/>
      <c r="B696" s="10" t="str">
        <f aca="false">IF(A696="","",IFERROR(VLOOKUP(A696,DonHang!$A$2:$C$500,3,FALSE()),"mã đơn chưa có"))</f>
        <v/>
      </c>
      <c r="C696" s="8"/>
      <c r="D696" s="8"/>
      <c r="E696" s="8"/>
      <c r="F696" s="13"/>
      <c r="G696" s="14"/>
      <c r="H696" s="8"/>
      <c r="I696" s="11" t="str">
        <f aca="false">IF(OR(F696="",G696=""),"",ROUND(F696*G696,0))</f>
        <v/>
      </c>
    </row>
    <row r="697" customFormat="false" ht="15" hidden="false" customHeight="false" outlineLevel="0" collapsed="false">
      <c r="A697" s="8"/>
      <c r="B697" s="10" t="str">
        <f aca="false">IF(A697="","",IFERROR(VLOOKUP(A697,DonHang!$A$2:$C$500,3,FALSE()),"mã đơn chưa có"))</f>
        <v/>
      </c>
      <c r="C697" s="8"/>
      <c r="D697" s="8"/>
      <c r="E697" s="8"/>
      <c r="F697" s="13"/>
      <c r="G697" s="14"/>
      <c r="H697" s="8"/>
      <c r="I697" s="11" t="str">
        <f aca="false">IF(OR(F697="",G697=""),"",ROUND(F697*G697,0))</f>
        <v/>
      </c>
    </row>
    <row r="698" customFormat="false" ht="15" hidden="false" customHeight="false" outlineLevel="0" collapsed="false">
      <c r="A698" s="8"/>
      <c r="B698" s="10" t="str">
        <f aca="false">IF(A698="","",IFERROR(VLOOKUP(A698,DonHang!$A$2:$C$500,3,FALSE()),"mã đơn chưa có"))</f>
        <v/>
      </c>
      <c r="C698" s="8"/>
      <c r="D698" s="8"/>
      <c r="E698" s="8"/>
      <c r="F698" s="13"/>
      <c r="G698" s="14"/>
      <c r="H698" s="8"/>
      <c r="I698" s="11" t="str">
        <f aca="false">IF(OR(F698="",G698=""),"",ROUND(F698*G698,0))</f>
        <v/>
      </c>
    </row>
    <row r="699" customFormat="false" ht="15" hidden="false" customHeight="false" outlineLevel="0" collapsed="false">
      <c r="A699" s="8"/>
      <c r="B699" s="10" t="str">
        <f aca="false">IF(A699="","",IFERROR(VLOOKUP(A699,DonHang!$A$2:$C$500,3,FALSE()),"mã đơn chưa có"))</f>
        <v/>
      </c>
      <c r="C699" s="8"/>
      <c r="D699" s="8"/>
      <c r="E699" s="8"/>
      <c r="F699" s="13"/>
      <c r="G699" s="14"/>
      <c r="H699" s="8"/>
      <c r="I699" s="11" t="str">
        <f aca="false">IF(OR(F699="",G699=""),"",ROUND(F699*G699,0))</f>
        <v/>
      </c>
    </row>
    <row r="700" customFormat="false" ht="15" hidden="false" customHeight="false" outlineLevel="0" collapsed="false">
      <c r="A700" s="8"/>
      <c r="B700" s="10" t="str">
        <f aca="false">IF(A700="","",IFERROR(VLOOKUP(A700,DonHang!$A$2:$C$500,3,FALSE()),"mã đơn chưa có"))</f>
        <v/>
      </c>
      <c r="C700" s="8"/>
      <c r="D700" s="8"/>
      <c r="E700" s="8"/>
      <c r="F700" s="13"/>
      <c r="G700" s="14"/>
      <c r="H700" s="8"/>
      <c r="I700" s="11" t="str">
        <f aca="false">IF(OR(F700="",G700=""),"",ROUND(F700*G700,0))</f>
        <v/>
      </c>
    </row>
    <row r="701" customFormat="false" ht="15" hidden="false" customHeight="false" outlineLevel="0" collapsed="false">
      <c r="A701" s="8"/>
      <c r="B701" s="10" t="str">
        <f aca="false">IF(A701="","",IFERROR(VLOOKUP(A701,DonHang!$A$2:$C$500,3,FALSE()),"mã đơn chưa có"))</f>
        <v/>
      </c>
      <c r="C701" s="8"/>
      <c r="D701" s="8"/>
      <c r="E701" s="8"/>
      <c r="F701" s="13"/>
      <c r="G701" s="14"/>
      <c r="H701" s="8"/>
      <c r="I701" s="11" t="str">
        <f aca="false">IF(OR(F701="",G701=""),"",ROUND(F701*G701,0))</f>
        <v/>
      </c>
    </row>
    <row r="702" customFormat="false" ht="15" hidden="false" customHeight="false" outlineLevel="0" collapsed="false">
      <c r="A702" s="8"/>
      <c r="B702" s="10" t="str">
        <f aca="false">IF(A702="","",IFERROR(VLOOKUP(A702,DonHang!$A$2:$C$500,3,FALSE()),"mã đơn chưa có"))</f>
        <v/>
      </c>
      <c r="C702" s="8"/>
      <c r="D702" s="8"/>
      <c r="E702" s="8"/>
      <c r="F702" s="13"/>
      <c r="G702" s="14"/>
      <c r="H702" s="8"/>
      <c r="I702" s="11" t="str">
        <f aca="false">IF(OR(F702="",G702=""),"",ROUND(F702*G702,0))</f>
        <v/>
      </c>
    </row>
    <row r="703" customFormat="false" ht="15" hidden="false" customHeight="false" outlineLevel="0" collapsed="false">
      <c r="A703" s="8"/>
      <c r="B703" s="10" t="str">
        <f aca="false">IF(A703="","",IFERROR(VLOOKUP(A703,DonHang!$A$2:$C$500,3,FALSE()),"mã đơn chưa có"))</f>
        <v/>
      </c>
      <c r="C703" s="8"/>
      <c r="D703" s="8"/>
      <c r="E703" s="8"/>
      <c r="F703" s="13"/>
      <c r="G703" s="14"/>
      <c r="H703" s="8"/>
      <c r="I703" s="11" t="str">
        <f aca="false">IF(OR(F703="",G703=""),"",ROUND(F703*G703,0))</f>
        <v/>
      </c>
    </row>
    <row r="704" customFormat="false" ht="15" hidden="false" customHeight="false" outlineLevel="0" collapsed="false">
      <c r="A704" s="8"/>
      <c r="B704" s="10" t="str">
        <f aca="false">IF(A704="","",IFERROR(VLOOKUP(A704,DonHang!$A$2:$C$500,3,FALSE()),"mã đơn chưa có"))</f>
        <v/>
      </c>
      <c r="C704" s="8"/>
      <c r="D704" s="8"/>
      <c r="E704" s="8"/>
      <c r="F704" s="13"/>
      <c r="G704" s="14"/>
      <c r="H704" s="8"/>
      <c r="I704" s="11" t="str">
        <f aca="false">IF(OR(F704="",G704=""),"",ROUND(F704*G704,0))</f>
        <v/>
      </c>
    </row>
    <row r="705" customFormat="false" ht="15" hidden="false" customHeight="false" outlineLevel="0" collapsed="false">
      <c r="A705" s="8"/>
      <c r="B705" s="10" t="str">
        <f aca="false">IF(A705="","",IFERROR(VLOOKUP(A705,DonHang!$A$2:$C$500,3,FALSE()),"mã đơn chưa có"))</f>
        <v/>
      </c>
      <c r="C705" s="8"/>
      <c r="D705" s="8"/>
      <c r="E705" s="8"/>
      <c r="F705" s="13"/>
      <c r="G705" s="14"/>
      <c r="H705" s="8"/>
      <c r="I705" s="11" t="str">
        <f aca="false">IF(OR(F705="",G705=""),"",ROUND(F705*G705,0))</f>
        <v/>
      </c>
    </row>
    <row r="706" customFormat="false" ht="15" hidden="false" customHeight="false" outlineLevel="0" collapsed="false">
      <c r="A706" s="8"/>
      <c r="B706" s="10" t="str">
        <f aca="false">IF(A706="","",IFERROR(VLOOKUP(A706,DonHang!$A$2:$C$500,3,FALSE()),"mã đơn chưa có"))</f>
        <v/>
      </c>
      <c r="C706" s="8"/>
      <c r="D706" s="8"/>
      <c r="E706" s="8"/>
      <c r="F706" s="13"/>
      <c r="G706" s="14"/>
      <c r="H706" s="8"/>
      <c r="I706" s="11" t="str">
        <f aca="false">IF(OR(F706="",G706=""),"",ROUND(F706*G706,0))</f>
        <v/>
      </c>
    </row>
    <row r="707" customFormat="false" ht="15" hidden="false" customHeight="false" outlineLevel="0" collapsed="false">
      <c r="A707" s="8"/>
      <c r="B707" s="10" t="str">
        <f aca="false">IF(A707="","",IFERROR(VLOOKUP(A707,DonHang!$A$2:$C$500,3,FALSE()),"mã đơn chưa có"))</f>
        <v/>
      </c>
      <c r="C707" s="8"/>
      <c r="D707" s="8"/>
      <c r="E707" s="8"/>
      <c r="F707" s="13"/>
      <c r="G707" s="14"/>
      <c r="H707" s="8"/>
      <c r="I707" s="11" t="str">
        <f aca="false">IF(OR(F707="",G707=""),"",ROUND(F707*G707,0))</f>
        <v/>
      </c>
    </row>
    <row r="708" customFormat="false" ht="15" hidden="false" customHeight="false" outlineLevel="0" collapsed="false">
      <c r="A708" s="8"/>
      <c r="B708" s="10" t="str">
        <f aca="false">IF(A708="","",IFERROR(VLOOKUP(A708,DonHang!$A$2:$C$500,3,FALSE()),"mã đơn chưa có"))</f>
        <v/>
      </c>
      <c r="C708" s="8"/>
      <c r="D708" s="8"/>
      <c r="E708" s="8"/>
      <c r="F708" s="13"/>
      <c r="G708" s="14"/>
      <c r="H708" s="8"/>
      <c r="I708" s="11" t="str">
        <f aca="false">IF(OR(F708="",G708=""),"",ROUND(F708*G708,0))</f>
        <v/>
      </c>
    </row>
    <row r="709" customFormat="false" ht="15" hidden="false" customHeight="false" outlineLevel="0" collapsed="false">
      <c r="A709" s="8"/>
      <c r="B709" s="10" t="str">
        <f aca="false">IF(A709="","",IFERROR(VLOOKUP(A709,DonHang!$A$2:$C$500,3,FALSE()),"mã đơn chưa có"))</f>
        <v/>
      </c>
      <c r="C709" s="8"/>
      <c r="D709" s="8"/>
      <c r="E709" s="8"/>
      <c r="F709" s="13"/>
      <c r="G709" s="14"/>
      <c r="H709" s="8"/>
      <c r="I709" s="11" t="str">
        <f aca="false">IF(OR(F709="",G709=""),"",ROUND(F709*G709,0))</f>
        <v/>
      </c>
    </row>
    <row r="710" customFormat="false" ht="15" hidden="false" customHeight="false" outlineLevel="0" collapsed="false">
      <c r="A710" s="8"/>
      <c r="B710" s="10" t="str">
        <f aca="false">IF(A710="","",IFERROR(VLOOKUP(A710,DonHang!$A$2:$C$500,3,FALSE()),"mã đơn chưa có"))</f>
        <v/>
      </c>
      <c r="C710" s="8"/>
      <c r="D710" s="8"/>
      <c r="E710" s="8"/>
      <c r="F710" s="13"/>
      <c r="G710" s="14"/>
      <c r="H710" s="8"/>
      <c r="I710" s="11" t="str">
        <f aca="false">IF(OR(F710="",G710=""),"",ROUND(F710*G710,0))</f>
        <v/>
      </c>
    </row>
    <row r="711" customFormat="false" ht="15" hidden="false" customHeight="false" outlineLevel="0" collapsed="false">
      <c r="A711" s="8"/>
      <c r="B711" s="10" t="str">
        <f aca="false">IF(A711="","",IFERROR(VLOOKUP(A711,DonHang!$A$2:$C$500,3,FALSE()),"mã đơn chưa có"))</f>
        <v/>
      </c>
      <c r="C711" s="8"/>
      <c r="D711" s="8"/>
      <c r="E711" s="8"/>
      <c r="F711" s="13"/>
      <c r="G711" s="14"/>
      <c r="H711" s="8"/>
      <c r="I711" s="11" t="str">
        <f aca="false">IF(OR(F711="",G711=""),"",ROUND(F711*G711,0))</f>
        <v/>
      </c>
    </row>
    <row r="712" customFormat="false" ht="15" hidden="false" customHeight="false" outlineLevel="0" collapsed="false">
      <c r="A712" s="8"/>
      <c r="B712" s="10" t="str">
        <f aca="false">IF(A712="","",IFERROR(VLOOKUP(A712,DonHang!$A$2:$C$500,3,FALSE()),"mã đơn chưa có"))</f>
        <v/>
      </c>
      <c r="C712" s="8"/>
      <c r="D712" s="8"/>
      <c r="E712" s="8"/>
      <c r="F712" s="13"/>
      <c r="G712" s="14"/>
      <c r="H712" s="8"/>
      <c r="I712" s="11" t="str">
        <f aca="false">IF(OR(F712="",G712=""),"",ROUND(F712*G712,0))</f>
        <v/>
      </c>
    </row>
    <row r="713" customFormat="false" ht="15" hidden="false" customHeight="false" outlineLevel="0" collapsed="false">
      <c r="A713" s="8"/>
      <c r="B713" s="10" t="str">
        <f aca="false">IF(A713="","",IFERROR(VLOOKUP(A713,DonHang!$A$2:$C$500,3,FALSE()),"mã đơn chưa có"))</f>
        <v/>
      </c>
      <c r="C713" s="8"/>
      <c r="D713" s="8"/>
      <c r="E713" s="8"/>
      <c r="F713" s="13"/>
      <c r="G713" s="14"/>
      <c r="H713" s="8"/>
      <c r="I713" s="11" t="str">
        <f aca="false">IF(OR(F713="",G713=""),"",ROUND(F713*G713,0))</f>
        <v/>
      </c>
    </row>
    <row r="714" customFormat="false" ht="15" hidden="false" customHeight="false" outlineLevel="0" collapsed="false">
      <c r="A714" s="8"/>
      <c r="B714" s="10" t="str">
        <f aca="false">IF(A714="","",IFERROR(VLOOKUP(A714,DonHang!$A$2:$C$500,3,FALSE()),"mã đơn chưa có"))</f>
        <v/>
      </c>
      <c r="C714" s="8"/>
      <c r="D714" s="8"/>
      <c r="E714" s="8"/>
      <c r="F714" s="13"/>
      <c r="G714" s="14"/>
      <c r="H714" s="8"/>
      <c r="I714" s="11" t="str">
        <f aca="false">IF(OR(F714="",G714=""),"",ROUND(F714*G714,0))</f>
        <v/>
      </c>
    </row>
    <row r="715" customFormat="false" ht="15" hidden="false" customHeight="false" outlineLevel="0" collapsed="false">
      <c r="A715" s="8"/>
      <c r="B715" s="10" t="str">
        <f aca="false">IF(A715="","",IFERROR(VLOOKUP(A715,DonHang!$A$2:$C$500,3,FALSE()),"mã đơn chưa có"))</f>
        <v/>
      </c>
      <c r="C715" s="8"/>
      <c r="D715" s="8"/>
      <c r="E715" s="8"/>
      <c r="F715" s="13"/>
      <c r="G715" s="14"/>
      <c r="H715" s="8"/>
      <c r="I715" s="11" t="str">
        <f aca="false">IF(OR(F715="",G715=""),"",ROUND(F715*G715,0))</f>
        <v/>
      </c>
    </row>
    <row r="716" customFormat="false" ht="15" hidden="false" customHeight="false" outlineLevel="0" collapsed="false">
      <c r="A716" s="8"/>
      <c r="B716" s="10" t="str">
        <f aca="false">IF(A716="","",IFERROR(VLOOKUP(A716,DonHang!$A$2:$C$500,3,FALSE()),"mã đơn chưa có"))</f>
        <v/>
      </c>
      <c r="C716" s="8"/>
      <c r="D716" s="8"/>
      <c r="E716" s="8"/>
      <c r="F716" s="13"/>
      <c r="G716" s="14"/>
      <c r="H716" s="8"/>
      <c r="I716" s="11" t="str">
        <f aca="false">IF(OR(F716="",G716=""),"",ROUND(F716*G716,0))</f>
        <v/>
      </c>
    </row>
    <row r="717" customFormat="false" ht="15" hidden="false" customHeight="false" outlineLevel="0" collapsed="false">
      <c r="A717" s="8"/>
      <c r="B717" s="10" t="str">
        <f aca="false">IF(A717="","",IFERROR(VLOOKUP(A717,DonHang!$A$2:$C$500,3,FALSE()),"mã đơn chưa có"))</f>
        <v/>
      </c>
      <c r="C717" s="8"/>
      <c r="D717" s="8"/>
      <c r="E717" s="8"/>
      <c r="F717" s="13"/>
      <c r="G717" s="14"/>
      <c r="H717" s="8"/>
      <c r="I717" s="11" t="str">
        <f aca="false">IF(OR(F717="",G717=""),"",ROUND(F717*G717,0))</f>
        <v/>
      </c>
    </row>
    <row r="718" customFormat="false" ht="15" hidden="false" customHeight="false" outlineLevel="0" collapsed="false">
      <c r="A718" s="8"/>
      <c r="B718" s="10" t="str">
        <f aca="false">IF(A718="","",IFERROR(VLOOKUP(A718,DonHang!$A$2:$C$500,3,FALSE()),"mã đơn chưa có"))</f>
        <v/>
      </c>
      <c r="C718" s="8"/>
      <c r="D718" s="8"/>
      <c r="E718" s="8"/>
      <c r="F718" s="13"/>
      <c r="G718" s="14"/>
      <c r="H718" s="8"/>
      <c r="I718" s="11" t="str">
        <f aca="false">IF(OR(F718="",G718=""),"",ROUND(F718*G718,0))</f>
        <v/>
      </c>
    </row>
    <row r="719" customFormat="false" ht="15" hidden="false" customHeight="false" outlineLevel="0" collapsed="false">
      <c r="A719" s="8"/>
      <c r="B719" s="10" t="str">
        <f aca="false">IF(A719="","",IFERROR(VLOOKUP(A719,DonHang!$A$2:$C$500,3,FALSE()),"mã đơn chưa có"))</f>
        <v/>
      </c>
      <c r="C719" s="8"/>
      <c r="D719" s="8"/>
      <c r="E719" s="8"/>
      <c r="F719" s="13"/>
      <c r="G719" s="14"/>
      <c r="H719" s="8"/>
      <c r="I719" s="11" t="str">
        <f aca="false">IF(OR(F719="",G719=""),"",ROUND(F719*G719,0))</f>
        <v/>
      </c>
    </row>
    <row r="720" customFormat="false" ht="15" hidden="false" customHeight="false" outlineLevel="0" collapsed="false">
      <c r="A720" s="8"/>
      <c r="B720" s="10" t="str">
        <f aca="false">IF(A720="","",IFERROR(VLOOKUP(A720,DonHang!$A$2:$C$500,3,FALSE()),"mã đơn chưa có"))</f>
        <v/>
      </c>
      <c r="C720" s="8"/>
      <c r="D720" s="8"/>
      <c r="E720" s="8"/>
      <c r="F720" s="13"/>
      <c r="G720" s="14"/>
      <c r="H720" s="8"/>
      <c r="I720" s="11" t="str">
        <f aca="false">IF(OR(F720="",G720=""),"",ROUND(F720*G720,0))</f>
        <v/>
      </c>
    </row>
    <row r="721" customFormat="false" ht="15" hidden="false" customHeight="false" outlineLevel="0" collapsed="false">
      <c r="A721" s="8"/>
      <c r="B721" s="10" t="str">
        <f aca="false">IF(A721="","",IFERROR(VLOOKUP(A721,DonHang!$A$2:$C$500,3,FALSE()),"mã đơn chưa có"))</f>
        <v/>
      </c>
      <c r="C721" s="8"/>
      <c r="D721" s="8"/>
      <c r="E721" s="8"/>
      <c r="F721" s="13"/>
      <c r="G721" s="14"/>
      <c r="H721" s="8"/>
      <c r="I721" s="11" t="str">
        <f aca="false">IF(OR(F721="",G721=""),"",ROUND(F721*G721,0))</f>
        <v/>
      </c>
    </row>
    <row r="722" customFormat="false" ht="15" hidden="false" customHeight="false" outlineLevel="0" collapsed="false">
      <c r="A722" s="8"/>
      <c r="B722" s="10" t="str">
        <f aca="false">IF(A722="","",IFERROR(VLOOKUP(A722,DonHang!$A$2:$C$500,3,FALSE()),"mã đơn chưa có"))</f>
        <v/>
      </c>
      <c r="C722" s="8"/>
      <c r="D722" s="8"/>
      <c r="E722" s="8"/>
      <c r="F722" s="13"/>
      <c r="G722" s="14"/>
      <c r="H722" s="8"/>
      <c r="I722" s="11" t="str">
        <f aca="false">IF(OR(F722="",G722=""),"",ROUND(F722*G722,0))</f>
        <v/>
      </c>
    </row>
    <row r="723" customFormat="false" ht="15" hidden="false" customHeight="false" outlineLevel="0" collapsed="false">
      <c r="A723" s="8"/>
      <c r="B723" s="10" t="str">
        <f aca="false">IF(A723="","",IFERROR(VLOOKUP(A723,DonHang!$A$2:$C$500,3,FALSE()),"mã đơn chưa có"))</f>
        <v/>
      </c>
      <c r="C723" s="8"/>
      <c r="D723" s="8"/>
      <c r="E723" s="8"/>
      <c r="F723" s="13"/>
      <c r="G723" s="14"/>
      <c r="H723" s="8"/>
      <c r="I723" s="11" t="str">
        <f aca="false">IF(OR(F723="",G723=""),"",ROUND(F723*G723,0))</f>
        <v/>
      </c>
    </row>
    <row r="724" customFormat="false" ht="15" hidden="false" customHeight="false" outlineLevel="0" collapsed="false">
      <c r="A724" s="8"/>
      <c r="B724" s="10" t="str">
        <f aca="false">IF(A724="","",IFERROR(VLOOKUP(A724,DonHang!$A$2:$C$500,3,FALSE()),"mã đơn chưa có"))</f>
        <v/>
      </c>
      <c r="C724" s="8"/>
      <c r="D724" s="8"/>
      <c r="E724" s="8"/>
      <c r="F724" s="13"/>
      <c r="G724" s="14"/>
      <c r="H724" s="8"/>
      <c r="I724" s="11" t="str">
        <f aca="false">IF(OR(F724="",G724=""),"",ROUND(F724*G724,0))</f>
        <v/>
      </c>
    </row>
    <row r="725" customFormat="false" ht="15" hidden="false" customHeight="false" outlineLevel="0" collapsed="false">
      <c r="A725" s="8"/>
      <c r="B725" s="10" t="str">
        <f aca="false">IF(A725="","",IFERROR(VLOOKUP(A725,DonHang!$A$2:$C$500,3,FALSE()),"mã đơn chưa có"))</f>
        <v/>
      </c>
      <c r="C725" s="8"/>
      <c r="D725" s="8"/>
      <c r="E725" s="8"/>
      <c r="F725" s="13"/>
      <c r="G725" s="14"/>
      <c r="H725" s="8"/>
      <c r="I725" s="11" t="str">
        <f aca="false">IF(OR(F725="",G725=""),"",ROUND(F725*G725,0))</f>
        <v/>
      </c>
    </row>
    <row r="726" customFormat="false" ht="15" hidden="false" customHeight="false" outlineLevel="0" collapsed="false">
      <c r="A726" s="8"/>
      <c r="B726" s="10" t="str">
        <f aca="false">IF(A726="","",IFERROR(VLOOKUP(A726,DonHang!$A$2:$C$500,3,FALSE()),"mã đơn chưa có"))</f>
        <v/>
      </c>
      <c r="C726" s="8"/>
      <c r="D726" s="8"/>
      <c r="E726" s="8"/>
      <c r="F726" s="13"/>
      <c r="G726" s="14"/>
      <c r="H726" s="8"/>
      <c r="I726" s="11" t="str">
        <f aca="false">IF(OR(F726="",G726=""),"",ROUND(F726*G726,0))</f>
        <v/>
      </c>
    </row>
    <row r="727" customFormat="false" ht="15" hidden="false" customHeight="false" outlineLevel="0" collapsed="false">
      <c r="A727" s="8"/>
      <c r="B727" s="10" t="str">
        <f aca="false">IF(A727="","",IFERROR(VLOOKUP(A727,DonHang!$A$2:$C$500,3,FALSE()),"mã đơn chưa có"))</f>
        <v/>
      </c>
      <c r="C727" s="8"/>
      <c r="D727" s="8"/>
      <c r="E727" s="8"/>
      <c r="F727" s="13"/>
      <c r="G727" s="14"/>
      <c r="H727" s="8"/>
      <c r="I727" s="11" t="str">
        <f aca="false">IF(OR(F727="",G727=""),"",ROUND(F727*G727,0))</f>
        <v/>
      </c>
    </row>
    <row r="728" customFormat="false" ht="15" hidden="false" customHeight="false" outlineLevel="0" collapsed="false">
      <c r="A728" s="8"/>
      <c r="B728" s="10" t="str">
        <f aca="false">IF(A728="","",IFERROR(VLOOKUP(A728,DonHang!$A$2:$C$500,3,FALSE()),"mã đơn chưa có"))</f>
        <v/>
      </c>
      <c r="C728" s="8"/>
      <c r="D728" s="8"/>
      <c r="E728" s="8"/>
      <c r="F728" s="13"/>
      <c r="G728" s="14"/>
      <c r="H728" s="8"/>
      <c r="I728" s="11" t="str">
        <f aca="false">IF(OR(F728="",G728=""),"",ROUND(F728*G728,0))</f>
        <v/>
      </c>
    </row>
    <row r="729" customFormat="false" ht="15" hidden="false" customHeight="false" outlineLevel="0" collapsed="false">
      <c r="A729" s="8"/>
      <c r="B729" s="10" t="str">
        <f aca="false">IF(A729="","",IFERROR(VLOOKUP(A729,DonHang!$A$2:$C$500,3,FALSE()),"mã đơn chưa có"))</f>
        <v/>
      </c>
      <c r="C729" s="8"/>
      <c r="D729" s="8"/>
      <c r="E729" s="8"/>
      <c r="F729" s="13"/>
      <c r="G729" s="14"/>
      <c r="H729" s="8"/>
      <c r="I729" s="11" t="str">
        <f aca="false">IF(OR(F729="",G729=""),"",ROUND(F729*G729,0))</f>
        <v/>
      </c>
    </row>
    <row r="730" customFormat="false" ht="15" hidden="false" customHeight="false" outlineLevel="0" collapsed="false">
      <c r="A730" s="8"/>
      <c r="B730" s="10" t="str">
        <f aca="false">IF(A730="","",IFERROR(VLOOKUP(A730,DonHang!$A$2:$C$500,3,FALSE()),"mã đơn chưa có"))</f>
        <v/>
      </c>
      <c r="C730" s="8"/>
      <c r="D730" s="8"/>
      <c r="E730" s="8"/>
      <c r="F730" s="13"/>
      <c r="G730" s="14"/>
      <c r="H730" s="8"/>
      <c r="I730" s="11" t="str">
        <f aca="false">IF(OR(F730="",G730=""),"",ROUND(F730*G730,0))</f>
        <v/>
      </c>
    </row>
    <row r="731" customFormat="false" ht="15" hidden="false" customHeight="false" outlineLevel="0" collapsed="false">
      <c r="A731" s="8"/>
      <c r="B731" s="10" t="str">
        <f aca="false">IF(A731="","",IFERROR(VLOOKUP(A731,DonHang!$A$2:$C$500,3,FALSE()),"mã đơn chưa có"))</f>
        <v/>
      </c>
      <c r="C731" s="8"/>
      <c r="D731" s="8"/>
      <c r="E731" s="8"/>
      <c r="F731" s="13"/>
      <c r="G731" s="14"/>
      <c r="H731" s="8"/>
      <c r="I731" s="11" t="str">
        <f aca="false">IF(OR(F731="",G731=""),"",ROUND(F731*G731,0))</f>
        <v/>
      </c>
    </row>
    <row r="732" customFormat="false" ht="15" hidden="false" customHeight="false" outlineLevel="0" collapsed="false">
      <c r="A732" s="8"/>
      <c r="B732" s="10" t="str">
        <f aca="false">IF(A732="","",IFERROR(VLOOKUP(A732,DonHang!$A$2:$C$500,3,FALSE()),"mã đơn chưa có"))</f>
        <v/>
      </c>
      <c r="C732" s="8"/>
      <c r="D732" s="8"/>
      <c r="E732" s="8"/>
      <c r="F732" s="13"/>
      <c r="G732" s="14"/>
      <c r="H732" s="8"/>
      <c r="I732" s="11" t="str">
        <f aca="false">IF(OR(F732="",G732=""),"",ROUND(F732*G732,0))</f>
        <v/>
      </c>
    </row>
    <row r="733" customFormat="false" ht="15" hidden="false" customHeight="false" outlineLevel="0" collapsed="false">
      <c r="A733" s="8"/>
      <c r="B733" s="10" t="str">
        <f aca="false">IF(A733="","",IFERROR(VLOOKUP(A733,DonHang!$A$2:$C$500,3,FALSE()),"mã đơn chưa có"))</f>
        <v/>
      </c>
      <c r="C733" s="8"/>
      <c r="D733" s="8"/>
      <c r="E733" s="8"/>
      <c r="F733" s="13"/>
      <c r="G733" s="14"/>
      <c r="H733" s="8"/>
      <c r="I733" s="11" t="str">
        <f aca="false">IF(OR(F733="",G733=""),"",ROUND(F733*G733,0))</f>
        <v/>
      </c>
    </row>
    <row r="734" customFormat="false" ht="15" hidden="false" customHeight="false" outlineLevel="0" collapsed="false">
      <c r="A734" s="8"/>
      <c r="B734" s="10" t="str">
        <f aca="false">IF(A734="","",IFERROR(VLOOKUP(A734,DonHang!$A$2:$C$500,3,FALSE()),"mã đơn chưa có"))</f>
        <v/>
      </c>
      <c r="C734" s="8"/>
      <c r="D734" s="8"/>
      <c r="E734" s="8"/>
      <c r="F734" s="13"/>
      <c r="G734" s="14"/>
      <c r="H734" s="8"/>
      <c r="I734" s="11" t="str">
        <f aca="false">IF(OR(F734="",G734=""),"",ROUND(F734*G734,0))</f>
        <v/>
      </c>
    </row>
    <row r="735" customFormat="false" ht="15" hidden="false" customHeight="false" outlineLevel="0" collapsed="false">
      <c r="A735" s="8"/>
      <c r="B735" s="10" t="str">
        <f aca="false">IF(A735="","",IFERROR(VLOOKUP(A735,DonHang!$A$2:$C$500,3,FALSE()),"mã đơn chưa có"))</f>
        <v/>
      </c>
      <c r="C735" s="8"/>
      <c r="D735" s="8"/>
      <c r="E735" s="8"/>
      <c r="F735" s="13"/>
      <c r="G735" s="14"/>
      <c r="H735" s="8"/>
      <c r="I735" s="11" t="str">
        <f aca="false">IF(OR(F735="",G735=""),"",ROUND(F735*G735,0))</f>
        <v/>
      </c>
    </row>
    <row r="736" customFormat="false" ht="15" hidden="false" customHeight="false" outlineLevel="0" collapsed="false">
      <c r="A736" s="8"/>
      <c r="B736" s="10" t="str">
        <f aca="false">IF(A736="","",IFERROR(VLOOKUP(A736,DonHang!$A$2:$C$500,3,FALSE()),"mã đơn chưa có"))</f>
        <v/>
      </c>
      <c r="C736" s="8"/>
      <c r="D736" s="8"/>
      <c r="E736" s="8"/>
      <c r="F736" s="13"/>
      <c r="G736" s="14"/>
      <c r="H736" s="8"/>
      <c r="I736" s="11" t="str">
        <f aca="false">IF(OR(F736="",G736=""),"",ROUND(F736*G736,0))</f>
        <v/>
      </c>
    </row>
    <row r="737" customFormat="false" ht="15" hidden="false" customHeight="false" outlineLevel="0" collapsed="false">
      <c r="A737" s="8"/>
      <c r="B737" s="10" t="str">
        <f aca="false">IF(A737="","",IFERROR(VLOOKUP(A737,DonHang!$A$2:$C$500,3,FALSE()),"mã đơn chưa có"))</f>
        <v/>
      </c>
      <c r="C737" s="8"/>
      <c r="D737" s="8"/>
      <c r="E737" s="8"/>
      <c r="F737" s="13"/>
      <c r="G737" s="14"/>
      <c r="H737" s="8"/>
      <c r="I737" s="11" t="str">
        <f aca="false">IF(OR(F737="",G737=""),"",ROUND(F737*G737,0))</f>
        <v/>
      </c>
    </row>
    <row r="738" customFormat="false" ht="15" hidden="false" customHeight="false" outlineLevel="0" collapsed="false">
      <c r="A738" s="8"/>
      <c r="B738" s="10" t="str">
        <f aca="false">IF(A738="","",IFERROR(VLOOKUP(A738,DonHang!$A$2:$C$500,3,FALSE()),"mã đơn chưa có"))</f>
        <v/>
      </c>
      <c r="C738" s="8"/>
      <c r="D738" s="8"/>
      <c r="E738" s="8"/>
      <c r="F738" s="13"/>
      <c r="G738" s="14"/>
      <c r="H738" s="8"/>
      <c r="I738" s="11" t="str">
        <f aca="false">IF(OR(F738="",G738=""),"",ROUND(F738*G738,0))</f>
        <v/>
      </c>
    </row>
    <row r="739" customFormat="false" ht="15" hidden="false" customHeight="false" outlineLevel="0" collapsed="false">
      <c r="A739" s="8"/>
      <c r="B739" s="10" t="str">
        <f aca="false">IF(A739="","",IFERROR(VLOOKUP(A739,DonHang!$A$2:$C$500,3,FALSE()),"mã đơn chưa có"))</f>
        <v/>
      </c>
      <c r="C739" s="8"/>
      <c r="D739" s="8"/>
      <c r="E739" s="8"/>
      <c r="F739" s="13"/>
      <c r="G739" s="14"/>
      <c r="H739" s="8"/>
      <c r="I739" s="11" t="str">
        <f aca="false">IF(OR(F739="",G739=""),"",ROUND(F739*G739,0))</f>
        <v/>
      </c>
    </row>
    <row r="740" customFormat="false" ht="15" hidden="false" customHeight="false" outlineLevel="0" collapsed="false">
      <c r="A740" s="8"/>
      <c r="B740" s="10" t="str">
        <f aca="false">IF(A740="","",IFERROR(VLOOKUP(A740,DonHang!$A$2:$C$500,3,FALSE()),"mã đơn chưa có"))</f>
        <v/>
      </c>
      <c r="C740" s="8"/>
      <c r="D740" s="8"/>
      <c r="E740" s="8"/>
      <c r="F740" s="13"/>
      <c r="G740" s="14"/>
      <c r="H740" s="8"/>
      <c r="I740" s="11" t="str">
        <f aca="false">IF(OR(F740="",G740=""),"",ROUND(F740*G740,0))</f>
        <v/>
      </c>
    </row>
    <row r="741" customFormat="false" ht="15" hidden="false" customHeight="false" outlineLevel="0" collapsed="false">
      <c r="A741" s="8"/>
      <c r="B741" s="10" t="str">
        <f aca="false">IF(A741="","",IFERROR(VLOOKUP(A741,DonHang!$A$2:$C$500,3,FALSE()),"mã đơn chưa có"))</f>
        <v/>
      </c>
      <c r="C741" s="8"/>
      <c r="D741" s="8"/>
      <c r="E741" s="8"/>
      <c r="F741" s="13"/>
      <c r="G741" s="14"/>
      <c r="H741" s="8"/>
      <c r="I741" s="11" t="str">
        <f aca="false">IF(OR(F741="",G741=""),"",ROUND(F741*G741,0))</f>
        <v/>
      </c>
    </row>
    <row r="742" customFormat="false" ht="15" hidden="false" customHeight="false" outlineLevel="0" collapsed="false">
      <c r="A742" s="8"/>
      <c r="B742" s="10" t="str">
        <f aca="false">IF(A742="","",IFERROR(VLOOKUP(A742,DonHang!$A$2:$C$500,3,FALSE()),"mã đơn chưa có"))</f>
        <v/>
      </c>
      <c r="C742" s="8"/>
      <c r="D742" s="8"/>
      <c r="E742" s="8"/>
      <c r="F742" s="13"/>
      <c r="G742" s="14"/>
      <c r="H742" s="8"/>
      <c r="I742" s="11" t="str">
        <f aca="false">IF(OR(F742="",G742=""),"",ROUND(F742*G742,0))</f>
        <v/>
      </c>
    </row>
    <row r="743" customFormat="false" ht="15" hidden="false" customHeight="false" outlineLevel="0" collapsed="false">
      <c r="A743" s="8"/>
      <c r="B743" s="10" t="str">
        <f aca="false">IF(A743="","",IFERROR(VLOOKUP(A743,DonHang!$A$2:$C$500,3,FALSE()),"mã đơn chưa có"))</f>
        <v/>
      </c>
      <c r="C743" s="8"/>
      <c r="D743" s="8"/>
      <c r="E743" s="8"/>
      <c r="F743" s="13"/>
      <c r="G743" s="14"/>
      <c r="H743" s="8"/>
      <c r="I743" s="11" t="str">
        <f aca="false">IF(OR(F743="",G743=""),"",ROUND(F743*G743,0))</f>
        <v/>
      </c>
    </row>
    <row r="744" customFormat="false" ht="15" hidden="false" customHeight="false" outlineLevel="0" collapsed="false">
      <c r="A744" s="8"/>
      <c r="B744" s="10" t="str">
        <f aca="false">IF(A744="","",IFERROR(VLOOKUP(A744,DonHang!$A$2:$C$500,3,FALSE()),"mã đơn chưa có"))</f>
        <v/>
      </c>
      <c r="C744" s="8"/>
      <c r="D744" s="8"/>
      <c r="E744" s="8"/>
      <c r="F744" s="13"/>
      <c r="G744" s="14"/>
      <c r="H744" s="8"/>
      <c r="I744" s="11" t="str">
        <f aca="false">IF(OR(F744="",G744=""),"",ROUND(F744*G744,0))</f>
        <v/>
      </c>
    </row>
    <row r="745" customFormat="false" ht="15" hidden="false" customHeight="false" outlineLevel="0" collapsed="false">
      <c r="A745" s="8"/>
      <c r="B745" s="10" t="str">
        <f aca="false">IF(A745="","",IFERROR(VLOOKUP(A745,DonHang!$A$2:$C$500,3,FALSE()),"mã đơn chưa có"))</f>
        <v/>
      </c>
      <c r="C745" s="8"/>
      <c r="D745" s="8"/>
      <c r="E745" s="8"/>
      <c r="F745" s="13"/>
      <c r="G745" s="14"/>
      <c r="H745" s="8"/>
      <c r="I745" s="11" t="str">
        <f aca="false">IF(OR(F745="",G745=""),"",ROUND(F745*G745,0))</f>
        <v/>
      </c>
    </row>
    <row r="746" customFormat="false" ht="15" hidden="false" customHeight="false" outlineLevel="0" collapsed="false">
      <c r="A746" s="8"/>
      <c r="B746" s="10" t="str">
        <f aca="false">IF(A746="","",IFERROR(VLOOKUP(A746,DonHang!$A$2:$C$500,3,FALSE()),"mã đơn chưa có"))</f>
        <v/>
      </c>
      <c r="C746" s="8"/>
      <c r="D746" s="8"/>
      <c r="E746" s="8"/>
      <c r="F746" s="13"/>
      <c r="G746" s="14"/>
      <c r="H746" s="8"/>
      <c r="I746" s="11" t="str">
        <f aca="false">IF(OR(F746="",G746=""),"",ROUND(F746*G746,0))</f>
        <v/>
      </c>
    </row>
    <row r="747" customFormat="false" ht="15" hidden="false" customHeight="false" outlineLevel="0" collapsed="false">
      <c r="A747" s="8"/>
      <c r="B747" s="10" t="str">
        <f aca="false">IF(A747="","",IFERROR(VLOOKUP(A747,DonHang!$A$2:$C$500,3,FALSE()),"mã đơn chưa có"))</f>
        <v/>
      </c>
      <c r="C747" s="8"/>
      <c r="D747" s="8"/>
      <c r="E747" s="8"/>
      <c r="F747" s="13"/>
      <c r="G747" s="14"/>
      <c r="H747" s="8"/>
      <c r="I747" s="11" t="str">
        <f aca="false">IF(OR(F747="",G747=""),"",ROUND(F747*G747,0))</f>
        <v/>
      </c>
    </row>
    <row r="748" customFormat="false" ht="15" hidden="false" customHeight="false" outlineLevel="0" collapsed="false">
      <c r="A748" s="8"/>
      <c r="B748" s="10" t="str">
        <f aca="false">IF(A748="","",IFERROR(VLOOKUP(A748,DonHang!$A$2:$C$500,3,FALSE()),"mã đơn chưa có"))</f>
        <v/>
      </c>
      <c r="C748" s="8"/>
      <c r="D748" s="8"/>
      <c r="E748" s="8"/>
      <c r="F748" s="13"/>
      <c r="G748" s="14"/>
      <c r="H748" s="8"/>
      <c r="I748" s="11" t="str">
        <f aca="false">IF(OR(F748="",G748=""),"",ROUND(F748*G748,0))</f>
        <v/>
      </c>
    </row>
    <row r="749" customFormat="false" ht="15" hidden="false" customHeight="false" outlineLevel="0" collapsed="false">
      <c r="A749" s="8"/>
      <c r="B749" s="10" t="str">
        <f aca="false">IF(A749="","",IFERROR(VLOOKUP(A749,DonHang!$A$2:$C$500,3,FALSE()),"mã đơn chưa có"))</f>
        <v/>
      </c>
      <c r="C749" s="8"/>
      <c r="D749" s="8"/>
      <c r="E749" s="8"/>
      <c r="F749" s="13"/>
      <c r="G749" s="14"/>
      <c r="H749" s="8"/>
      <c r="I749" s="11" t="str">
        <f aca="false">IF(OR(F749="",G749=""),"",ROUND(F749*G749,0))</f>
        <v/>
      </c>
    </row>
    <row r="750" customFormat="false" ht="15" hidden="false" customHeight="false" outlineLevel="0" collapsed="false">
      <c r="A750" s="8"/>
      <c r="B750" s="10" t="str">
        <f aca="false">IF(A750="","",IFERROR(VLOOKUP(A750,DonHang!$A$2:$C$500,3,FALSE()),"mã đơn chưa có"))</f>
        <v/>
      </c>
      <c r="C750" s="8"/>
      <c r="D750" s="8"/>
      <c r="E750" s="8"/>
      <c r="F750" s="13"/>
      <c r="G750" s="14"/>
      <c r="H750" s="8"/>
      <c r="I750" s="11" t="str">
        <f aca="false">IF(OR(F750="",G750=""),"",ROUND(F750*G750,0))</f>
        <v/>
      </c>
    </row>
    <row r="751" customFormat="false" ht="15" hidden="false" customHeight="false" outlineLevel="0" collapsed="false">
      <c r="A751" s="8"/>
      <c r="B751" s="10" t="str">
        <f aca="false">IF(A751="","",IFERROR(VLOOKUP(A751,DonHang!$A$2:$C$500,3,FALSE()),"mã đơn chưa có"))</f>
        <v/>
      </c>
      <c r="C751" s="8"/>
      <c r="D751" s="8"/>
      <c r="E751" s="8"/>
      <c r="F751" s="13"/>
      <c r="G751" s="14"/>
      <c r="H751" s="8"/>
      <c r="I751" s="11" t="str">
        <f aca="false">IF(OR(F751="",G751=""),"",ROUND(F751*G751,0))</f>
        <v/>
      </c>
    </row>
    <row r="752" customFormat="false" ht="15" hidden="false" customHeight="false" outlineLevel="0" collapsed="false">
      <c r="A752" s="8"/>
      <c r="B752" s="10" t="str">
        <f aca="false">IF(A752="","",IFERROR(VLOOKUP(A752,DonHang!$A$2:$C$500,3,FALSE()),"mã đơn chưa có"))</f>
        <v/>
      </c>
      <c r="C752" s="8"/>
      <c r="D752" s="8"/>
      <c r="E752" s="8"/>
      <c r="F752" s="13"/>
      <c r="G752" s="14"/>
      <c r="H752" s="8"/>
      <c r="I752" s="11" t="str">
        <f aca="false">IF(OR(F752="",G752=""),"",ROUND(F752*G752,0))</f>
        <v/>
      </c>
    </row>
    <row r="753" customFormat="false" ht="15" hidden="false" customHeight="false" outlineLevel="0" collapsed="false">
      <c r="A753" s="8"/>
      <c r="B753" s="10" t="str">
        <f aca="false">IF(A753="","",IFERROR(VLOOKUP(A753,DonHang!$A$2:$C$500,3,FALSE()),"mã đơn chưa có"))</f>
        <v/>
      </c>
      <c r="C753" s="8"/>
      <c r="D753" s="8"/>
      <c r="E753" s="8"/>
      <c r="F753" s="13"/>
      <c r="G753" s="14"/>
      <c r="H753" s="8"/>
      <c r="I753" s="11" t="str">
        <f aca="false">IF(OR(F753="",G753=""),"",ROUND(F753*G753,0))</f>
        <v/>
      </c>
    </row>
    <row r="754" customFormat="false" ht="15" hidden="false" customHeight="false" outlineLevel="0" collapsed="false">
      <c r="A754" s="8"/>
      <c r="B754" s="10" t="str">
        <f aca="false">IF(A754="","",IFERROR(VLOOKUP(A754,DonHang!$A$2:$C$500,3,FALSE()),"mã đơn chưa có"))</f>
        <v/>
      </c>
      <c r="C754" s="8"/>
      <c r="D754" s="8"/>
      <c r="E754" s="8"/>
      <c r="F754" s="13"/>
      <c r="G754" s="14"/>
      <c r="H754" s="8"/>
      <c r="I754" s="11" t="str">
        <f aca="false">IF(OR(F754="",G754=""),"",ROUND(F754*G754,0))</f>
        <v/>
      </c>
    </row>
    <row r="755" customFormat="false" ht="15" hidden="false" customHeight="false" outlineLevel="0" collapsed="false">
      <c r="A755" s="8"/>
      <c r="B755" s="10" t="str">
        <f aca="false">IF(A755="","",IFERROR(VLOOKUP(A755,DonHang!$A$2:$C$500,3,FALSE()),"mã đơn chưa có"))</f>
        <v/>
      </c>
      <c r="C755" s="8"/>
      <c r="D755" s="8"/>
      <c r="E755" s="8"/>
      <c r="F755" s="13"/>
      <c r="G755" s="14"/>
      <c r="H755" s="8"/>
      <c r="I755" s="11" t="str">
        <f aca="false">IF(OR(F755="",G755=""),"",ROUND(F755*G755,0))</f>
        <v/>
      </c>
    </row>
    <row r="756" customFormat="false" ht="15" hidden="false" customHeight="false" outlineLevel="0" collapsed="false">
      <c r="A756" s="8"/>
      <c r="B756" s="10" t="str">
        <f aca="false">IF(A756="","",IFERROR(VLOOKUP(A756,DonHang!$A$2:$C$500,3,FALSE()),"mã đơn chưa có"))</f>
        <v/>
      </c>
      <c r="C756" s="8"/>
      <c r="D756" s="8"/>
      <c r="E756" s="8"/>
      <c r="F756" s="13"/>
      <c r="G756" s="14"/>
      <c r="H756" s="8"/>
      <c r="I756" s="11" t="str">
        <f aca="false">IF(OR(F756="",G756=""),"",ROUND(F756*G756,0))</f>
        <v/>
      </c>
    </row>
    <row r="757" customFormat="false" ht="15" hidden="false" customHeight="false" outlineLevel="0" collapsed="false">
      <c r="A757" s="8"/>
      <c r="B757" s="10" t="str">
        <f aca="false">IF(A757="","",IFERROR(VLOOKUP(A757,DonHang!$A$2:$C$500,3,FALSE()),"mã đơn chưa có"))</f>
        <v/>
      </c>
      <c r="C757" s="8"/>
      <c r="D757" s="8"/>
      <c r="E757" s="8"/>
      <c r="F757" s="13"/>
      <c r="G757" s="14"/>
      <c r="H757" s="8"/>
      <c r="I757" s="11" t="str">
        <f aca="false">IF(OR(F757="",G757=""),"",ROUND(F757*G757,0))</f>
        <v/>
      </c>
    </row>
    <row r="758" customFormat="false" ht="15" hidden="false" customHeight="false" outlineLevel="0" collapsed="false">
      <c r="A758" s="8"/>
      <c r="B758" s="10" t="str">
        <f aca="false">IF(A758="","",IFERROR(VLOOKUP(A758,DonHang!$A$2:$C$500,3,FALSE()),"mã đơn chưa có"))</f>
        <v/>
      </c>
      <c r="C758" s="8"/>
      <c r="D758" s="8"/>
      <c r="E758" s="8"/>
      <c r="F758" s="13"/>
      <c r="G758" s="14"/>
      <c r="H758" s="8"/>
      <c r="I758" s="11" t="str">
        <f aca="false">IF(OR(F758="",G758=""),"",ROUND(F758*G758,0))</f>
        <v/>
      </c>
    </row>
    <row r="759" customFormat="false" ht="15" hidden="false" customHeight="false" outlineLevel="0" collapsed="false">
      <c r="A759" s="8"/>
      <c r="B759" s="10" t="str">
        <f aca="false">IF(A759="","",IFERROR(VLOOKUP(A759,DonHang!$A$2:$C$500,3,FALSE()),"mã đơn chưa có"))</f>
        <v/>
      </c>
      <c r="C759" s="8"/>
      <c r="D759" s="8"/>
      <c r="E759" s="8"/>
      <c r="F759" s="13"/>
      <c r="G759" s="14"/>
      <c r="H759" s="8"/>
      <c r="I759" s="11" t="str">
        <f aca="false">IF(OR(F759="",G759=""),"",ROUND(F759*G759,0))</f>
        <v/>
      </c>
    </row>
    <row r="760" customFormat="false" ht="15" hidden="false" customHeight="false" outlineLevel="0" collapsed="false">
      <c r="A760" s="8"/>
      <c r="B760" s="10" t="str">
        <f aca="false">IF(A760="","",IFERROR(VLOOKUP(A760,DonHang!$A$2:$C$500,3,FALSE()),"mã đơn chưa có"))</f>
        <v/>
      </c>
      <c r="C760" s="8"/>
      <c r="D760" s="8"/>
      <c r="E760" s="8"/>
      <c r="F760" s="13"/>
      <c r="G760" s="14"/>
      <c r="H760" s="8"/>
      <c r="I760" s="11" t="str">
        <f aca="false">IF(OR(F760="",G760=""),"",ROUND(F760*G760,0))</f>
        <v/>
      </c>
    </row>
    <row r="761" customFormat="false" ht="15" hidden="false" customHeight="false" outlineLevel="0" collapsed="false">
      <c r="A761" s="8"/>
      <c r="B761" s="10" t="str">
        <f aca="false">IF(A761="","",IFERROR(VLOOKUP(A761,DonHang!$A$2:$C$500,3,FALSE()),"mã đơn chưa có"))</f>
        <v/>
      </c>
      <c r="C761" s="8"/>
      <c r="D761" s="8"/>
      <c r="E761" s="8"/>
      <c r="F761" s="13"/>
      <c r="G761" s="14"/>
      <c r="H761" s="8"/>
      <c r="I761" s="11" t="str">
        <f aca="false">IF(OR(F761="",G761=""),"",ROUND(F761*G761,0))</f>
        <v/>
      </c>
    </row>
    <row r="762" customFormat="false" ht="15" hidden="false" customHeight="false" outlineLevel="0" collapsed="false">
      <c r="A762" s="8"/>
      <c r="B762" s="10" t="str">
        <f aca="false">IF(A762="","",IFERROR(VLOOKUP(A762,DonHang!$A$2:$C$500,3,FALSE()),"mã đơn chưa có"))</f>
        <v/>
      </c>
      <c r="C762" s="8"/>
      <c r="D762" s="8"/>
      <c r="E762" s="8"/>
      <c r="F762" s="13"/>
      <c r="G762" s="14"/>
      <c r="H762" s="8"/>
      <c r="I762" s="11" t="str">
        <f aca="false">IF(OR(F762="",G762=""),"",ROUND(F762*G762,0))</f>
        <v/>
      </c>
    </row>
    <row r="763" customFormat="false" ht="15" hidden="false" customHeight="false" outlineLevel="0" collapsed="false">
      <c r="A763" s="8"/>
      <c r="B763" s="10" t="str">
        <f aca="false">IF(A763="","",IFERROR(VLOOKUP(A763,DonHang!$A$2:$C$500,3,FALSE()),"mã đơn chưa có"))</f>
        <v/>
      </c>
      <c r="C763" s="8"/>
      <c r="D763" s="8"/>
      <c r="E763" s="8"/>
      <c r="F763" s="13"/>
      <c r="G763" s="14"/>
      <c r="H763" s="8"/>
      <c r="I763" s="11" t="str">
        <f aca="false">IF(OR(F763="",G763=""),"",ROUND(F763*G763,0))</f>
        <v/>
      </c>
    </row>
    <row r="764" customFormat="false" ht="15" hidden="false" customHeight="false" outlineLevel="0" collapsed="false">
      <c r="A764" s="8"/>
      <c r="B764" s="10" t="str">
        <f aca="false">IF(A764="","",IFERROR(VLOOKUP(A764,DonHang!$A$2:$C$500,3,FALSE()),"mã đơn chưa có"))</f>
        <v/>
      </c>
      <c r="C764" s="8"/>
      <c r="D764" s="8"/>
      <c r="E764" s="8"/>
      <c r="F764" s="13"/>
      <c r="G764" s="14"/>
      <c r="H764" s="8"/>
      <c r="I764" s="11" t="str">
        <f aca="false">IF(OR(F764="",G764=""),"",ROUND(F764*G764,0))</f>
        <v/>
      </c>
    </row>
    <row r="765" customFormat="false" ht="15" hidden="false" customHeight="false" outlineLevel="0" collapsed="false">
      <c r="A765" s="8"/>
      <c r="B765" s="10" t="str">
        <f aca="false">IF(A765="","",IFERROR(VLOOKUP(A765,DonHang!$A$2:$C$500,3,FALSE()),"mã đơn chưa có"))</f>
        <v/>
      </c>
      <c r="C765" s="8"/>
      <c r="D765" s="8"/>
      <c r="E765" s="8"/>
      <c r="F765" s="13"/>
      <c r="G765" s="14"/>
      <c r="H765" s="8"/>
      <c r="I765" s="11" t="str">
        <f aca="false">IF(OR(F765="",G765=""),"",ROUND(F765*G765,0))</f>
        <v/>
      </c>
    </row>
    <row r="766" customFormat="false" ht="15" hidden="false" customHeight="false" outlineLevel="0" collapsed="false">
      <c r="A766" s="8"/>
      <c r="B766" s="10" t="str">
        <f aca="false">IF(A766="","",IFERROR(VLOOKUP(A766,DonHang!$A$2:$C$500,3,FALSE()),"mã đơn chưa có"))</f>
        <v/>
      </c>
      <c r="C766" s="8"/>
      <c r="D766" s="8"/>
      <c r="E766" s="8"/>
      <c r="F766" s="13"/>
      <c r="G766" s="14"/>
      <c r="H766" s="8"/>
      <c r="I766" s="11" t="str">
        <f aca="false">IF(OR(F766="",G766=""),"",ROUND(F766*G766,0))</f>
        <v/>
      </c>
    </row>
    <row r="767" customFormat="false" ht="15" hidden="false" customHeight="false" outlineLevel="0" collapsed="false">
      <c r="A767" s="8"/>
      <c r="B767" s="10" t="str">
        <f aca="false">IF(A767="","",IFERROR(VLOOKUP(A767,DonHang!$A$2:$C$500,3,FALSE()),"mã đơn chưa có"))</f>
        <v/>
      </c>
      <c r="C767" s="8"/>
      <c r="D767" s="8"/>
      <c r="E767" s="8"/>
      <c r="F767" s="13"/>
      <c r="G767" s="14"/>
      <c r="H767" s="8"/>
      <c r="I767" s="11" t="str">
        <f aca="false">IF(OR(F767="",G767=""),"",ROUND(F767*G767,0))</f>
        <v/>
      </c>
    </row>
    <row r="768" customFormat="false" ht="15" hidden="false" customHeight="false" outlineLevel="0" collapsed="false">
      <c r="A768" s="8"/>
      <c r="B768" s="10" t="str">
        <f aca="false">IF(A768="","",IFERROR(VLOOKUP(A768,DonHang!$A$2:$C$500,3,FALSE()),"mã đơn chưa có"))</f>
        <v/>
      </c>
      <c r="C768" s="8"/>
      <c r="D768" s="8"/>
      <c r="E768" s="8"/>
      <c r="F768" s="13"/>
      <c r="G768" s="14"/>
      <c r="H768" s="8"/>
      <c r="I768" s="11" t="str">
        <f aca="false">IF(OR(F768="",G768=""),"",ROUND(F768*G768,0))</f>
        <v/>
      </c>
    </row>
    <row r="769" customFormat="false" ht="15" hidden="false" customHeight="false" outlineLevel="0" collapsed="false">
      <c r="A769" s="8"/>
      <c r="B769" s="10" t="str">
        <f aca="false">IF(A769="","",IFERROR(VLOOKUP(A769,DonHang!$A$2:$C$500,3,FALSE()),"mã đơn chưa có"))</f>
        <v/>
      </c>
      <c r="C769" s="8"/>
      <c r="D769" s="8"/>
      <c r="E769" s="8"/>
      <c r="F769" s="13"/>
      <c r="G769" s="14"/>
      <c r="H769" s="8"/>
      <c r="I769" s="11" t="str">
        <f aca="false">IF(OR(F769="",G769=""),"",ROUND(F769*G769,0))</f>
        <v/>
      </c>
    </row>
    <row r="770" customFormat="false" ht="15" hidden="false" customHeight="false" outlineLevel="0" collapsed="false">
      <c r="A770" s="8"/>
      <c r="B770" s="10" t="str">
        <f aca="false">IF(A770="","",IFERROR(VLOOKUP(A770,DonHang!$A$2:$C$500,3,FALSE()),"mã đơn chưa có"))</f>
        <v/>
      </c>
      <c r="C770" s="8"/>
      <c r="D770" s="8"/>
      <c r="E770" s="8"/>
      <c r="F770" s="13"/>
      <c r="G770" s="14"/>
      <c r="H770" s="8"/>
      <c r="I770" s="11" t="str">
        <f aca="false">IF(OR(F770="",G770=""),"",ROUND(F770*G770,0))</f>
        <v/>
      </c>
    </row>
    <row r="771" customFormat="false" ht="15" hidden="false" customHeight="false" outlineLevel="0" collapsed="false">
      <c r="A771" s="8"/>
      <c r="B771" s="10" t="str">
        <f aca="false">IF(A771="","",IFERROR(VLOOKUP(A771,DonHang!$A$2:$C$500,3,FALSE()),"mã đơn chưa có"))</f>
        <v/>
      </c>
      <c r="C771" s="8"/>
      <c r="D771" s="8"/>
      <c r="E771" s="8"/>
      <c r="F771" s="13"/>
      <c r="G771" s="14"/>
      <c r="H771" s="8"/>
      <c r="I771" s="11" t="str">
        <f aca="false">IF(OR(F771="",G771=""),"",ROUND(F771*G771,0))</f>
        <v/>
      </c>
    </row>
    <row r="772" customFormat="false" ht="15" hidden="false" customHeight="false" outlineLevel="0" collapsed="false">
      <c r="A772" s="8"/>
      <c r="B772" s="10" t="str">
        <f aca="false">IF(A772="","",IFERROR(VLOOKUP(A772,DonHang!$A$2:$C$500,3,FALSE()),"mã đơn chưa có"))</f>
        <v/>
      </c>
      <c r="C772" s="8"/>
      <c r="D772" s="8"/>
      <c r="E772" s="8"/>
      <c r="F772" s="13"/>
      <c r="G772" s="14"/>
      <c r="H772" s="8"/>
      <c r="I772" s="11" t="str">
        <f aca="false">IF(OR(F772="",G772=""),"",ROUND(F772*G772,0))</f>
        <v/>
      </c>
    </row>
    <row r="773" customFormat="false" ht="15" hidden="false" customHeight="false" outlineLevel="0" collapsed="false">
      <c r="A773" s="8"/>
      <c r="B773" s="10" t="str">
        <f aca="false">IF(A773="","",IFERROR(VLOOKUP(A773,DonHang!$A$2:$C$500,3,FALSE()),"mã đơn chưa có"))</f>
        <v/>
      </c>
      <c r="C773" s="8"/>
      <c r="D773" s="8"/>
      <c r="E773" s="8"/>
      <c r="F773" s="13"/>
      <c r="G773" s="14"/>
      <c r="H773" s="8"/>
      <c r="I773" s="11" t="str">
        <f aca="false">IF(OR(F773="",G773=""),"",ROUND(F773*G773,0))</f>
        <v/>
      </c>
    </row>
    <row r="774" customFormat="false" ht="15" hidden="false" customHeight="false" outlineLevel="0" collapsed="false">
      <c r="A774" s="8"/>
      <c r="B774" s="10" t="str">
        <f aca="false">IF(A774="","",IFERROR(VLOOKUP(A774,DonHang!$A$2:$C$500,3,FALSE()),"mã đơn chưa có"))</f>
        <v/>
      </c>
      <c r="C774" s="8"/>
      <c r="D774" s="8"/>
      <c r="E774" s="8"/>
      <c r="F774" s="13"/>
      <c r="G774" s="14"/>
      <c r="H774" s="8"/>
      <c r="I774" s="11" t="str">
        <f aca="false">IF(OR(F774="",G774=""),"",ROUND(F774*G774,0))</f>
        <v/>
      </c>
    </row>
    <row r="775" customFormat="false" ht="15" hidden="false" customHeight="false" outlineLevel="0" collapsed="false">
      <c r="A775" s="8"/>
      <c r="B775" s="10" t="str">
        <f aca="false">IF(A775="","",IFERROR(VLOOKUP(A775,DonHang!$A$2:$C$500,3,FALSE()),"mã đơn chưa có"))</f>
        <v/>
      </c>
      <c r="C775" s="8"/>
      <c r="D775" s="8"/>
      <c r="E775" s="8"/>
      <c r="F775" s="13"/>
      <c r="G775" s="14"/>
      <c r="H775" s="8"/>
      <c r="I775" s="11" t="str">
        <f aca="false">IF(OR(F775="",G775=""),"",ROUND(F775*G775,0))</f>
        <v/>
      </c>
    </row>
    <row r="776" customFormat="false" ht="15" hidden="false" customHeight="false" outlineLevel="0" collapsed="false">
      <c r="A776" s="8"/>
      <c r="B776" s="10" t="str">
        <f aca="false">IF(A776="","",IFERROR(VLOOKUP(A776,DonHang!$A$2:$C$500,3,FALSE()),"mã đơn chưa có"))</f>
        <v/>
      </c>
      <c r="C776" s="8"/>
      <c r="D776" s="8"/>
      <c r="E776" s="8"/>
      <c r="F776" s="13"/>
      <c r="G776" s="14"/>
      <c r="H776" s="8"/>
      <c r="I776" s="11" t="str">
        <f aca="false">IF(OR(F776="",G776=""),"",ROUND(F776*G776,0))</f>
        <v/>
      </c>
    </row>
    <row r="777" customFormat="false" ht="15" hidden="false" customHeight="false" outlineLevel="0" collapsed="false">
      <c r="A777" s="8"/>
      <c r="B777" s="10" t="str">
        <f aca="false">IF(A777="","",IFERROR(VLOOKUP(A777,DonHang!$A$2:$C$500,3,FALSE()),"mã đơn chưa có"))</f>
        <v/>
      </c>
      <c r="C777" s="8"/>
      <c r="D777" s="8"/>
      <c r="E777" s="8"/>
      <c r="F777" s="13"/>
      <c r="G777" s="14"/>
      <c r="H777" s="8"/>
      <c r="I777" s="11" t="str">
        <f aca="false">IF(OR(F777="",G777=""),"",ROUND(F777*G777,0))</f>
        <v/>
      </c>
    </row>
    <row r="778" customFormat="false" ht="15" hidden="false" customHeight="false" outlineLevel="0" collapsed="false">
      <c r="A778" s="8"/>
      <c r="B778" s="10" t="str">
        <f aca="false">IF(A778="","",IFERROR(VLOOKUP(A778,DonHang!$A$2:$C$500,3,FALSE()),"mã đơn chưa có"))</f>
        <v/>
      </c>
      <c r="C778" s="8"/>
      <c r="D778" s="8"/>
      <c r="E778" s="8"/>
      <c r="F778" s="13"/>
      <c r="G778" s="14"/>
      <c r="H778" s="8"/>
      <c r="I778" s="11" t="str">
        <f aca="false">IF(OR(F778="",G778=""),"",ROUND(F778*G778,0))</f>
        <v/>
      </c>
    </row>
    <row r="779" customFormat="false" ht="15" hidden="false" customHeight="false" outlineLevel="0" collapsed="false">
      <c r="A779" s="8"/>
      <c r="B779" s="10" t="str">
        <f aca="false">IF(A779="","",IFERROR(VLOOKUP(A779,DonHang!$A$2:$C$500,3,FALSE()),"mã đơn chưa có"))</f>
        <v/>
      </c>
      <c r="C779" s="8"/>
      <c r="D779" s="8"/>
      <c r="E779" s="8"/>
      <c r="F779" s="13"/>
      <c r="G779" s="14"/>
      <c r="H779" s="8"/>
      <c r="I779" s="11" t="str">
        <f aca="false">IF(OR(F779="",G779=""),"",ROUND(F779*G779,0))</f>
        <v/>
      </c>
    </row>
    <row r="780" customFormat="false" ht="15" hidden="false" customHeight="false" outlineLevel="0" collapsed="false">
      <c r="A780" s="8"/>
      <c r="B780" s="10" t="str">
        <f aca="false">IF(A780="","",IFERROR(VLOOKUP(A780,DonHang!$A$2:$C$500,3,FALSE()),"mã đơn chưa có"))</f>
        <v/>
      </c>
      <c r="C780" s="8"/>
      <c r="D780" s="8"/>
      <c r="E780" s="8"/>
      <c r="F780" s="13"/>
      <c r="G780" s="14"/>
      <c r="H780" s="8"/>
      <c r="I780" s="11" t="str">
        <f aca="false">IF(OR(F780="",G780=""),"",ROUND(F780*G780,0))</f>
        <v/>
      </c>
    </row>
    <row r="781" customFormat="false" ht="15" hidden="false" customHeight="false" outlineLevel="0" collapsed="false">
      <c r="A781" s="8"/>
      <c r="B781" s="10" t="str">
        <f aca="false">IF(A781="","",IFERROR(VLOOKUP(A781,DonHang!$A$2:$C$500,3,FALSE()),"mã đơn chưa có"))</f>
        <v/>
      </c>
      <c r="C781" s="8"/>
      <c r="D781" s="8"/>
      <c r="E781" s="8"/>
      <c r="F781" s="13"/>
      <c r="G781" s="14"/>
      <c r="H781" s="8"/>
      <c r="I781" s="11" t="str">
        <f aca="false">IF(OR(F781="",G781=""),"",ROUND(F781*G781,0))</f>
        <v/>
      </c>
    </row>
    <row r="782" customFormat="false" ht="15" hidden="false" customHeight="false" outlineLevel="0" collapsed="false">
      <c r="A782" s="8"/>
      <c r="B782" s="10" t="str">
        <f aca="false">IF(A782="","",IFERROR(VLOOKUP(A782,DonHang!$A$2:$C$500,3,FALSE()),"mã đơn chưa có"))</f>
        <v/>
      </c>
      <c r="C782" s="8"/>
      <c r="D782" s="8"/>
      <c r="E782" s="8"/>
      <c r="F782" s="13"/>
      <c r="G782" s="14"/>
      <c r="H782" s="8"/>
      <c r="I782" s="11" t="str">
        <f aca="false">IF(OR(F782="",G782=""),"",ROUND(F782*G782,0))</f>
        <v/>
      </c>
    </row>
    <row r="783" customFormat="false" ht="15" hidden="false" customHeight="false" outlineLevel="0" collapsed="false">
      <c r="A783" s="8"/>
      <c r="B783" s="10" t="str">
        <f aca="false">IF(A783="","",IFERROR(VLOOKUP(A783,DonHang!$A$2:$C$500,3,FALSE()),"mã đơn chưa có"))</f>
        <v/>
      </c>
      <c r="C783" s="8"/>
      <c r="D783" s="8"/>
      <c r="E783" s="8"/>
      <c r="F783" s="13"/>
      <c r="G783" s="14"/>
      <c r="H783" s="8"/>
      <c r="I783" s="11" t="str">
        <f aca="false">IF(OR(F783="",G783=""),"",ROUND(F783*G783,0))</f>
        <v/>
      </c>
    </row>
    <row r="784" customFormat="false" ht="15" hidden="false" customHeight="false" outlineLevel="0" collapsed="false">
      <c r="A784" s="8"/>
      <c r="B784" s="10" t="str">
        <f aca="false">IF(A784="","",IFERROR(VLOOKUP(A784,DonHang!$A$2:$C$500,3,FALSE()),"mã đơn chưa có"))</f>
        <v/>
      </c>
      <c r="C784" s="8"/>
      <c r="D784" s="8"/>
      <c r="E784" s="8"/>
      <c r="F784" s="13"/>
      <c r="G784" s="14"/>
      <c r="H784" s="8"/>
      <c r="I784" s="11" t="str">
        <f aca="false">IF(OR(F784="",G784=""),"",ROUND(F784*G784,0))</f>
        <v/>
      </c>
    </row>
    <row r="785" customFormat="false" ht="15" hidden="false" customHeight="false" outlineLevel="0" collapsed="false">
      <c r="A785" s="8"/>
      <c r="B785" s="10" t="str">
        <f aca="false">IF(A785="","",IFERROR(VLOOKUP(A785,DonHang!$A$2:$C$500,3,FALSE()),"mã đơn chưa có"))</f>
        <v/>
      </c>
      <c r="C785" s="8"/>
      <c r="D785" s="8"/>
      <c r="E785" s="8"/>
      <c r="F785" s="13"/>
      <c r="G785" s="14"/>
      <c r="H785" s="8"/>
      <c r="I785" s="11" t="str">
        <f aca="false">IF(OR(F785="",G785=""),"",ROUND(F785*G785,0))</f>
        <v/>
      </c>
    </row>
    <row r="786" customFormat="false" ht="15" hidden="false" customHeight="false" outlineLevel="0" collapsed="false">
      <c r="A786" s="8"/>
      <c r="B786" s="10" t="str">
        <f aca="false">IF(A786="","",IFERROR(VLOOKUP(A786,DonHang!$A$2:$C$500,3,FALSE()),"mã đơn chưa có"))</f>
        <v/>
      </c>
      <c r="C786" s="8"/>
      <c r="D786" s="8"/>
      <c r="E786" s="8"/>
      <c r="F786" s="13"/>
      <c r="G786" s="14"/>
      <c r="H786" s="8"/>
      <c r="I786" s="11" t="str">
        <f aca="false">IF(OR(F786="",G786=""),"",ROUND(F786*G786,0))</f>
        <v/>
      </c>
    </row>
    <row r="787" customFormat="false" ht="15" hidden="false" customHeight="false" outlineLevel="0" collapsed="false">
      <c r="A787" s="8"/>
      <c r="B787" s="10" t="str">
        <f aca="false">IF(A787="","",IFERROR(VLOOKUP(A787,DonHang!$A$2:$C$500,3,FALSE()),"mã đơn chưa có"))</f>
        <v/>
      </c>
      <c r="C787" s="8"/>
      <c r="D787" s="8"/>
      <c r="E787" s="8"/>
      <c r="F787" s="13"/>
      <c r="G787" s="14"/>
      <c r="H787" s="8"/>
      <c r="I787" s="11" t="str">
        <f aca="false">IF(OR(F787="",G787=""),"",ROUND(F787*G787,0))</f>
        <v/>
      </c>
    </row>
    <row r="788" customFormat="false" ht="15" hidden="false" customHeight="false" outlineLevel="0" collapsed="false">
      <c r="A788" s="8"/>
      <c r="B788" s="10" t="str">
        <f aca="false">IF(A788="","",IFERROR(VLOOKUP(A788,DonHang!$A$2:$C$500,3,FALSE()),"mã đơn chưa có"))</f>
        <v/>
      </c>
      <c r="C788" s="8"/>
      <c r="D788" s="8"/>
      <c r="E788" s="8"/>
      <c r="F788" s="13"/>
      <c r="G788" s="14"/>
      <c r="H788" s="8"/>
      <c r="I788" s="11" t="str">
        <f aca="false">IF(OR(F788="",G788=""),"",ROUND(F788*G788,0))</f>
        <v/>
      </c>
    </row>
    <row r="789" customFormat="false" ht="15" hidden="false" customHeight="false" outlineLevel="0" collapsed="false">
      <c r="A789" s="8"/>
      <c r="B789" s="10" t="str">
        <f aca="false">IF(A789="","",IFERROR(VLOOKUP(A789,DonHang!$A$2:$C$500,3,FALSE()),"mã đơn chưa có"))</f>
        <v/>
      </c>
      <c r="C789" s="8"/>
      <c r="D789" s="8"/>
      <c r="E789" s="8"/>
      <c r="F789" s="13"/>
      <c r="G789" s="14"/>
      <c r="H789" s="8"/>
      <c r="I789" s="11" t="str">
        <f aca="false">IF(OR(F789="",G789=""),"",ROUND(F789*G789,0))</f>
        <v/>
      </c>
    </row>
    <row r="790" customFormat="false" ht="15" hidden="false" customHeight="false" outlineLevel="0" collapsed="false">
      <c r="A790" s="8"/>
      <c r="B790" s="10" t="str">
        <f aca="false">IF(A790="","",IFERROR(VLOOKUP(A790,DonHang!$A$2:$C$500,3,FALSE()),"mã đơn chưa có"))</f>
        <v/>
      </c>
      <c r="C790" s="8"/>
      <c r="D790" s="8"/>
      <c r="E790" s="8"/>
      <c r="F790" s="13"/>
      <c r="G790" s="14"/>
      <c r="H790" s="8"/>
      <c r="I790" s="11" t="str">
        <f aca="false">IF(OR(F790="",G790=""),"",ROUND(F790*G790,0))</f>
        <v/>
      </c>
    </row>
    <row r="791" customFormat="false" ht="15" hidden="false" customHeight="false" outlineLevel="0" collapsed="false">
      <c r="A791" s="8"/>
      <c r="B791" s="10" t="str">
        <f aca="false">IF(A791="","",IFERROR(VLOOKUP(A791,DonHang!$A$2:$C$500,3,FALSE()),"mã đơn chưa có"))</f>
        <v/>
      </c>
      <c r="C791" s="8"/>
      <c r="D791" s="8"/>
      <c r="E791" s="8"/>
      <c r="F791" s="13"/>
      <c r="G791" s="14"/>
      <c r="H791" s="8"/>
      <c r="I791" s="11" t="str">
        <f aca="false">IF(OR(F791="",G791=""),"",ROUND(F791*G791,0))</f>
        <v/>
      </c>
    </row>
    <row r="792" customFormat="false" ht="15" hidden="false" customHeight="false" outlineLevel="0" collapsed="false">
      <c r="A792" s="8"/>
      <c r="B792" s="10" t="str">
        <f aca="false">IF(A792="","",IFERROR(VLOOKUP(A792,DonHang!$A$2:$C$500,3,FALSE()),"mã đơn chưa có"))</f>
        <v/>
      </c>
      <c r="C792" s="8"/>
      <c r="D792" s="8"/>
      <c r="E792" s="8"/>
      <c r="F792" s="13"/>
      <c r="G792" s="14"/>
      <c r="H792" s="8"/>
      <c r="I792" s="11" t="str">
        <f aca="false">IF(OR(F792="",G792=""),"",ROUND(F792*G792,0))</f>
        <v/>
      </c>
    </row>
    <row r="793" customFormat="false" ht="15" hidden="false" customHeight="false" outlineLevel="0" collapsed="false">
      <c r="A793" s="8"/>
      <c r="B793" s="10" t="str">
        <f aca="false">IF(A793="","",IFERROR(VLOOKUP(A793,DonHang!$A$2:$C$500,3,FALSE()),"mã đơn chưa có"))</f>
        <v/>
      </c>
      <c r="C793" s="8"/>
      <c r="D793" s="8"/>
      <c r="E793" s="8"/>
      <c r="F793" s="13"/>
      <c r="G793" s="14"/>
      <c r="H793" s="8"/>
      <c r="I793" s="11" t="str">
        <f aca="false">IF(OR(F793="",G793=""),"",ROUND(F793*G793,0))</f>
        <v/>
      </c>
    </row>
    <row r="794" customFormat="false" ht="15" hidden="false" customHeight="false" outlineLevel="0" collapsed="false">
      <c r="A794" s="8"/>
      <c r="B794" s="10" t="str">
        <f aca="false">IF(A794="","",IFERROR(VLOOKUP(A794,DonHang!$A$2:$C$500,3,FALSE()),"mã đơn chưa có"))</f>
        <v/>
      </c>
      <c r="C794" s="8"/>
      <c r="D794" s="8"/>
      <c r="E794" s="8"/>
      <c r="F794" s="13"/>
      <c r="G794" s="14"/>
      <c r="H794" s="8"/>
      <c r="I794" s="11" t="str">
        <f aca="false">IF(OR(F794="",G794=""),"",ROUND(F794*G794,0))</f>
        <v/>
      </c>
    </row>
    <row r="795" customFormat="false" ht="15" hidden="false" customHeight="false" outlineLevel="0" collapsed="false">
      <c r="A795" s="8"/>
      <c r="B795" s="10" t="str">
        <f aca="false">IF(A795="","",IFERROR(VLOOKUP(A795,DonHang!$A$2:$C$500,3,FALSE()),"mã đơn chưa có"))</f>
        <v/>
      </c>
      <c r="C795" s="8"/>
      <c r="D795" s="8"/>
      <c r="E795" s="8"/>
      <c r="F795" s="13"/>
      <c r="G795" s="14"/>
      <c r="H795" s="8"/>
      <c r="I795" s="11" t="str">
        <f aca="false">IF(OR(F795="",G795=""),"",ROUND(F795*G795,0))</f>
        <v/>
      </c>
    </row>
    <row r="796" customFormat="false" ht="15" hidden="false" customHeight="false" outlineLevel="0" collapsed="false">
      <c r="A796" s="8"/>
      <c r="B796" s="10" t="str">
        <f aca="false">IF(A796="","",IFERROR(VLOOKUP(A796,DonHang!$A$2:$C$500,3,FALSE()),"mã đơn chưa có"))</f>
        <v/>
      </c>
      <c r="C796" s="8"/>
      <c r="D796" s="8"/>
      <c r="E796" s="8"/>
      <c r="F796" s="13"/>
      <c r="G796" s="14"/>
      <c r="H796" s="8"/>
      <c r="I796" s="11" t="str">
        <f aca="false">IF(OR(F796="",G796=""),"",ROUND(F796*G796,0))</f>
        <v/>
      </c>
    </row>
    <row r="797" customFormat="false" ht="15" hidden="false" customHeight="false" outlineLevel="0" collapsed="false">
      <c r="A797" s="8"/>
      <c r="B797" s="10" t="str">
        <f aca="false">IF(A797="","",IFERROR(VLOOKUP(A797,DonHang!$A$2:$C$500,3,FALSE()),"mã đơn chưa có"))</f>
        <v/>
      </c>
      <c r="C797" s="8"/>
      <c r="D797" s="8"/>
      <c r="E797" s="8"/>
      <c r="F797" s="13"/>
      <c r="G797" s="14"/>
      <c r="H797" s="8"/>
      <c r="I797" s="11" t="str">
        <f aca="false">IF(OR(F797="",G797=""),"",ROUND(F797*G797,0))</f>
        <v/>
      </c>
    </row>
    <row r="798" customFormat="false" ht="15" hidden="false" customHeight="false" outlineLevel="0" collapsed="false">
      <c r="A798" s="8"/>
      <c r="B798" s="10" t="str">
        <f aca="false">IF(A798="","",IFERROR(VLOOKUP(A798,DonHang!$A$2:$C$500,3,FALSE()),"mã đơn chưa có"))</f>
        <v/>
      </c>
      <c r="C798" s="8"/>
      <c r="D798" s="8"/>
      <c r="E798" s="8"/>
      <c r="F798" s="13"/>
      <c r="G798" s="14"/>
      <c r="H798" s="8"/>
      <c r="I798" s="11" t="str">
        <f aca="false">IF(OR(F798="",G798=""),"",ROUND(F798*G798,0))</f>
        <v/>
      </c>
    </row>
    <row r="799" customFormat="false" ht="15" hidden="false" customHeight="false" outlineLevel="0" collapsed="false">
      <c r="A799" s="8"/>
      <c r="B799" s="10" t="str">
        <f aca="false">IF(A799="","",IFERROR(VLOOKUP(A799,DonHang!$A$2:$C$500,3,FALSE()),"mã đơn chưa có"))</f>
        <v/>
      </c>
      <c r="C799" s="8"/>
      <c r="D799" s="8"/>
      <c r="E799" s="8"/>
      <c r="F799" s="13"/>
      <c r="G799" s="14"/>
      <c r="H799" s="8"/>
      <c r="I799" s="11" t="str">
        <f aca="false">IF(OR(F799="",G799=""),"",ROUND(F799*G799,0))</f>
        <v/>
      </c>
    </row>
    <row r="800" customFormat="false" ht="15" hidden="false" customHeight="false" outlineLevel="0" collapsed="false">
      <c r="A800" s="8"/>
      <c r="B800" s="10" t="str">
        <f aca="false">IF(A800="","",IFERROR(VLOOKUP(A800,DonHang!$A$2:$C$500,3,FALSE()),"mã đơn chưa có"))</f>
        <v/>
      </c>
      <c r="C800" s="8"/>
      <c r="D800" s="8"/>
      <c r="E800" s="8"/>
      <c r="F800" s="13"/>
      <c r="G800" s="14"/>
      <c r="H800" s="8"/>
      <c r="I800" s="11" t="str">
        <f aca="false">IF(OR(F800="",G800=""),"",ROUND(F800*G800,0))</f>
        <v/>
      </c>
    </row>
    <row r="801" customFormat="false" ht="15" hidden="false" customHeight="false" outlineLevel="0" collapsed="false">
      <c r="A801" s="8"/>
      <c r="B801" s="10" t="str">
        <f aca="false">IF(A801="","",IFERROR(VLOOKUP(A801,DonHang!$A$2:$C$500,3,FALSE()),"mã đơn chưa có"))</f>
        <v/>
      </c>
      <c r="C801" s="8"/>
      <c r="D801" s="8"/>
      <c r="E801" s="8"/>
      <c r="F801" s="13"/>
      <c r="G801" s="14"/>
      <c r="H801" s="8"/>
      <c r="I801" s="11" t="str">
        <f aca="false">IF(OR(F801="",G801=""),"",ROUND(F801*G801,0))</f>
        <v/>
      </c>
    </row>
    <row r="802" customFormat="false" ht="15" hidden="false" customHeight="false" outlineLevel="0" collapsed="false">
      <c r="A802" s="8"/>
      <c r="B802" s="10" t="str">
        <f aca="false">IF(A802="","",IFERROR(VLOOKUP(A802,DonHang!$A$2:$C$500,3,FALSE()),"mã đơn chưa có"))</f>
        <v/>
      </c>
      <c r="C802" s="8"/>
      <c r="D802" s="8"/>
      <c r="E802" s="8"/>
      <c r="F802" s="13"/>
      <c r="G802" s="14"/>
      <c r="H802" s="8"/>
      <c r="I802" s="11" t="str">
        <f aca="false">IF(OR(F802="",G802=""),"",ROUND(F802*G802,0))</f>
        <v/>
      </c>
    </row>
    <row r="803" customFormat="false" ht="15" hidden="false" customHeight="false" outlineLevel="0" collapsed="false">
      <c r="A803" s="8"/>
      <c r="B803" s="10" t="str">
        <f aca="false">IF(A803="","",IFERROR(VLOOKUP(A803,DonHang!$A$2:$C$500,3,FALSE()),"mã đơn chưa có"))</f>
        <v/>
      </c>
      <c r="C803" s="8"/>
      <c r="D803" s="8"/>
      <c r="E803" s="8"/>
      <c r="F803" s="13"/>
      <c r="G803" s="14"/>
      <c r="H803" s="8"/>
      <c r="I803" s="11" t="str">
        <f aca="false">IF(OR(F803="",G803=""),"",ROUND(F803*G803,0))</f>
        <v/>
      </c>
    </row>
    <row r="804" customFormat="false" ht="15" hidden="false" customHeight="false" outlineLevel="0" collapsed="false">
      <c r="A804" s="8"/>
      <c r="B804" s="10" t="str">
        <f aca="false">IF(A804="","",IFERROR(VLOOKUP(A804,DonHang!$A$2:$C$500,3,FALSE()),"mã đơn chưa có"))</f>
        <v/>
      </c>
      <c r="C804" s="8"/>
      <c r="D804" s="8"/>
      <c r="E804" s="8"/>
      <c r="F804" s="13"/>
      <c r="G804" s="14"/>
      <c r="H804" s="8"/>
      <c r="I804" s="11" t="str">
        <f aca="false">IF(OR(F804="",G804=""),"",ROUND(F804*G804,0))</f>
        <v/>
      </c>
    </row>
    <row r="805" customFormat="false" ht="15" hidden="false" customHeight="false" outlineLevel="0" collapsed="false">
      <c r="A805" s="8"/>
      <c r="B805" s="10" t="str">
        <f aca="false">IF(A805="","",IFERROR(VLOOKUP(A805,DonHang!$A$2:$C$500,3,FALSE()),"mã đơn chưa có"))</f>
        <v/>
      </c>
      <c r="C805" s="8"/>
      <c r="D805" s="8"/>
      <c r="E805" s="8"/>
      <c r="F805" s="13"/>
      <c r="G805" s="14"/>
      <c r="H805" s="8"/>
      <c r="I805" s="11" t="str">
        <f aca="false">IF(OR(F805="",G805=""),"",ROUND(F805*G805,0))</f>
        <v/>
      </c>
    </row>
    <row r="806" customFormat="false" ht="15" hidden="false" customHeight="false" outlineLevel="0" collapsed="false">
      <c r="A806" s="8"/>
      <c r="B806" s="10" t="str">
        <f aca="false">IF(A806="","",IFERROR(VLOOKUP(A806,DonHang!$A$2:$C$500,3,FALSE()),"mã đơn chưa có"))</f>
        <v/>
      </c>
      <c r="C806" s="8"/>
      <c r="D806" s="8"/>
      <c r="E806" s="8"/>
      <c r="F806" s="13"/>
      <c r="G806" s="14"/>
      <c r="H806" s="8"/>
      <c r="I806" s="11" t="str">
        <f aca="false">IF(OR(F806="",G806=""),"",ROUND(F806*G806,0))</f>
        <v/>
      </c>
    </row>
    <row r="807" customFormat="false" ht="15" hidden="false" customHeight="false" outlineLevel="0" collapsed="false">
      <c r="A807" s="8"/>
      <c r="B807" s="10" t="str">
        <f aca="false">IF(A807="","",IFERROR(VLOOKUP(A807,DonHang!$A$2:$C$500,3,FALSE()),"mã đơn chưa có"))</f>
        <v/>
      </c>
      <c r="C807" s="8"/>
      <c r="D807" s="8"/>
      <c r="E807" s="8"/>
      <c r="F807" s="13"/>
      <c r="G807" s="14"/>
      <c r="H807" s="8"/>
      <c r="I807" s="11" t="str">
        <f aca="false">IF(OR(F807="",G807=""),"",ROUND(F807*G807,0))</f>
        <v/>
      </c>
    </row>
    <row r="808" customFormat="false" ht="15" hidden="false" customHeight="false" outlineLevel="0" collapsed="false">
      <c r="A808" s="8"/>
      <c r="B808" s="10" t="str">
        <f aca="false">IF(A808="","",IFERROR(VLOOKUP(A808,DonHang!$A$2:$C$500,3,FALSE()),"mã đơn chưa có"))</f>
        <v/>
      </c>
      <c r="C808" s="8"/>
      <c r="D808" s="8"/>
      <c r="E808" s="8"/>
      <c r="F808" s="13"/>
      <c r="G808" s="14"/>
      <c r="H808" s="8"/>
      <c r="I808" s="11" t="str">
        <f aca="false">IF(OR(F808="",G808=""),"",ROUND(F808*G808,0))</f>
        <v/>
      </c>
    </row>
    <row r="809" customFormat="false" ht="15" hidden="false" customHeight="false" outlineLevel="0" collapsed="false">
      <c r="A809" s="8"/>
      <c r="B809" s="10" t="str">
        <f aca="false">IF(A809="","",IFERROR(VLOOKUP(A809,DonHang!$A$2:$C$500,3,FALSE()),"mã đơn chưa có"))</f>
        <v/>
      </c>
      <c r="C809" s="8"/>
      <c r="D809" s="8"/>
      <c r="E809" s="8"/>
      <c r="F809" s="13"/>
      <c r="G809" s="14"/>
      <c r="H809" s="8"/>
      <c r="I809" s="11" t="str">
        <f aca="false">IF(OR(F809="",G809=""),"",ROUND(F809*G809,0))</f>
        <v/>
      </c>
    </row>
    <row r="810" customFormat="false" ht="15" hidden="false" customHeight="false" outlineLevel="0" collapsed="false">
      <c r="A810" s="8"/>
      <c r="B810" s="10" t="str">
        <f aca="false">IF(A810="","",IFERROR(VLOOKUP(A810,DonHang!$A$2:$C$500,3,FALSE()),"mã đơn chưa có"))</f>
        <v/>
      </c>
      <c r="C810" s="8"/>
      <c r="D810" s="8"/>
      <c r="E810" s="8"/>
      <c r="F810" s="13"/>
      <c r="G810" s="14"/>
      <c r="H810" s="8"/>
      <c r="I810" s="11" t="str">
        <f aca="false">IF(OR(F810="",G810=""),"",ROUND(F810*G810,0))</f>
        <v/>
      </c>
    </row>
    <row r="811" customFormat="false" ht="15" hidden="false" customHeight="false" outlineLevel="0" collapsed="false">
      <c r="A811" s="8"/>
      <c r="B811" s="10" t="str">
        <f aca="false">IF(A811="","",IFERROR(VLOOKUP(A811,DonHang!$A$2:$C$500,3,FALSE()),"mã đơn chưa có"))</f>
        <v/>
      </c>
      <c r="C811" s="8"/>
      <c r="D811" s="8"/>
      <c r="E811" s="8"/>
      <c r="F811" s="13"/>
      <c r="G811" s="14"/>
      <c r="H811" s="8"/>
      <c r="I811" s="11" t="str">
        <f aca="false">IF(OR(F811="",G811=""),"",ROUND(F811*G811,0))</f>
        <v/>
      </c>
    </row>
    <row r="812" customFormat="false" ht="15" hidden="false" customHeight="false" outlineLevel="0" collapsed="false">
      <c r="A812" s="8"/>
      <c r="B812" s="10" t="str">
        <f aca="false">IF(A812="","",IFERROR(VLOOKUP(A812,DonHang!$A$2:$C$500,3,FALSE()),"mã đơn chưa có"))</f>
        <v/>
      </c>
      <c r="C812" s="8"/>
      <c r="D812" s="8"/>
      <c r="E812" s="8"/>
      <c r="F812" s="13"/>
      <c r="G812" s="14"/>
      <c r="H812" s="8"/>
      <c r="I812" s="11" t="str">
        <f aca="false">IF(OR(F812="",G812=""),"",ROUND(F812*G812,0))</f>
        <v/>
      </c>
    </row>
    <row r="813" customFormat="false" ht="15" hidden="false" customHeight="false" outlineLevel="0" collapsed="false">
      <c r="A813" s="8"/>
      <c r="B813" s="10" t="str">
        <f aca="false">IF(A813="","",IFERROR(VLOOKUP(A813,DonHang!$A$2:$C$500,3,FALSE()),"mã đơn chưa có"))</f>
        <v/>
      </c>
      <c r="C813" s="8"/>
      <c r="D813" s="8"/>
      <c r="E813" s="8"/>
      <c r="F813" s="13"/>
      <c r="G813" s="14"/>
      <c r="H813" s="8"/>
      <c r="I813" s="11" t="str">
        <f aca="false">IF(OR(F813="",G813=""),"",ROUND(F813*G813,0))</f>
        <v/>
      </c>
    </row>
    <row r="814" customFormat="false" ht="15" hidden="false" customHeight="false" outlineLevel="0" collapsed="false">
      <c r="A814" s="8"/>
      <c r="B814" s="10" t="str">
        <f aca="false">IF(A814="","",IFERROR(VLOOKUP(A814,DonHang!$A$2:$C$500,3,FALSE()),"mã đơn chưa có"))</f>
        <v/>
      </c>
      <c r="C814" s="8"/>
      <c r="D814" s="8"/>
      <c r="E814" s="8"/>
      <c r="F814" s="13"/>
      <c r="G814" s="14"/>
      <c r="H814" s="8"/>
      <c r="I814" s="11" t="str">
        <f aca="false">IF(OR(F814="",G814=""),"",ROUND(F814*G814,0))</f>
        <v/>
      </c>
    </row>
    <row r="815" customFormat="false" ht="15" hidden="false" customHeight="false" outlineLevel="0" collapsed="false">
      <c r="A815" s="8"/>
      <c r="B815" s="10" t="str">
        <f aca="false">IF(A815="","",IFERROR(VLOOKUP(A815,DonHang!$A$2:$C$500,3,FALSE()),"mã đơn chưa có"))</f>
        <v/>
      </c>
      <c r="C815" s="8"/>
      <c r="D815" s="8"/>
      <c r="E815" s="8"/>
      <c r="F815" s="13"/>
      <c r="G815" s="14"/>
      <c r="H815" s="8"/>
      <c r="I815" s="11" t="str">
        <f aca="false">IF(OR(F815="",G815=""),"",ROUND(F815*G815,0))</f>
        <v/>
      </c>
    </row>
    <row r="816" customFormat="false" ht="15" hidden="false" customHeight="false" outlineLevel="0" collapsed="false">
      <c r="A816" s="8"/>
      <c r="B816" s="10" t="str">
        <f aca="false">IF(A816="","",IFERROR(VLOOKUP(A816,DonHang!$A$2:$C$500,3,FALSE()),"mã đơn chưa có"))</f>
        <v/>
      </c>
      <c r="C816" s="8"/>
      <c r="D816" s="8"/>
      <c r="E816" s="8"/>
      <c r="F816" s="13"/>
      <c r="G816" s="14"/>
      <c r="H816" s="8"/>
      <c r="I816" s="11" t="str">
        <f aca="false">IF(OR(F816="",G816=""),"",ROUND(F816*G816,0))</f>
        <v/>
      </c>
    </row>
    <row r="817" customFormat="false" ht="15" hidden="false" customHeight="false" outlineLevel="0" collapsed="false">
      <c r="A817" s="8"/>
      <c r="B817" s="10" t="str">
        <f aca="false">IF(A817="","",IFERROR(VLOOKUP(A817,DonHang!$A$2:$C$500,3,FALSE()),"mã đơn chưa có"))</f>
        <v/>
      </c>
      <c r="C817" s="8"/>
      <c r="D817" s="8"/>
      <c r="E817" s="8"/>
      <c r="F817" s="13"/>
      <c r="G817" s="14"/>
      <c r="H817" s="8"/>
      <c r="I817" s="11" t="str">
        <f aca="false">IF(OR(F817="",G817=""),"",ROUND(F817*G817,0))</f>
        <v/>
      </c>
    </row>
    <row r="818" customFormat="false" ht="15" hidden="false" customHeight="false" outlineLevel="0" collapsed="false">
      <c r="A818" s="8"/>
      <c r="B818" s="10" t="str">
        <f aca="false">IF(A818="","",IFERROR(VLOOKUP(A818,DonHang!$A$2:$C$500,3,FALSE()),"mã đơn chưa có"))</f>
        <v/>
      </c>
      <c r="C818" s="8"/>
      <c r="D818" s="8"/>
      <c r="E818" s="8"/>
      <c r="F818" s="13"/>
      <c r="G818" s="14"/>
      <c r="H818" s="8"/>
      <c r="I818" s="11" t="str">
        <f aca="false">IF(OR(F818="",G818=""),"",ROUND(F818*G818,0))</f>
        <v/>
      </c>
    </row>
    <row r="819" customFormat="false" ht="15" hidden="false" customHeight="false" outlineLevel="0" collapsed="false">
      <c r="A819" s="8"/>
      <c r="B819" s="10" t="str">
        <f aca="false">IF(A819="","",IFERROR(VLOOKUP(A819,DonHang!$A$2:$C$500,3,FALSE()),"mã đơn chưa có"))</f>
        <v/>
      </c>
      <c r="C819" s="8"/>
      <c r="D819" s="8"/>
      <c r="E819" s="8"/>
      <c r="F819" s="13"/>
      <c r="G819" s="14"/>
      <c r="H819" s="8"/>
      <c r="I819" s="11" t="str">
        <f aca="false">IF(OR(F819="",G819=""),"",ROUND(F819*G819,0))</f>
        <v/>
      </c>
    </row>
    <row r="820" customFormat="false" ht="15" hidden="false" customHeight="false" outlineLevel="0" collapsed="false">
      <c r="A820" s="8"/>
      <c r="B820" s="10" t="str">
        <f aca="false">IF(A820="","",IFERROR(VLOOKUP(A820,DonHang!$A$2:$C$500,3,FALSE()),"mã đơn chưa có"))</f>
        <v/>
      </c>
      <c r="C820" s="8"/>
      <c r="D820" s="8"/>
      <c r="E820" s="8"/>
      <c r="F820" s="13"/>
      <c r="G820" s="14"/>
      <c r="H820" s="8"/>
      <c r="I820" s="11" t="str">
        <f aca="false">IF(OR(F820="",G820=""),"",ROUND(F820*G820,0))</f>
        <v/>
      </c>
    </row>
    <row r="821" customFormat="false" ht="15" hidden="false" customHeight="false" outlineLevel="0" collapsed="false">
      <c r="A821" s="8"/>
      <c r="B821" s="10" t="str">
        <f aca="false">IF(A821="","",IFERROR(VLOOKUP(A821,DonHang!$A$2:$C$500,3,FALSE()),"mã đơn chưa có"))</f>
        <v/>
      </c>
      <c r="C821" s="8"/>
      <c r="D821" s="8"/>
      <c r="E821" s="8"/>
      <c r="F821" s="13"/>
      <c r="G821" s="14"/>
      <c r="H821" s="8"/>
      <c r="I821" s="11" t="str">
        <f aca="false">IF(OR(F821="",G821=""),"",ROUND(F821*G821,0))</f>
        <v/>
      </c>
    </row>
    <row r="822" customFormat="false" ht="15" hidden="false" customHeight="false" outlineLevel="0" collapsed="false">
      <c r="A822" s="8"/>
      <c r="B822" s="10" t="str">
        <f aca="false">IF(A822="","",IFERROR(VLOOKUP(A822,DonHang!$A$2:$C$500,3,FALSE()),"mã đơn chưa có"))</f>
        <v/>
      </c>
      <c r="C822" s="8"/>
      <c r="D822" s="8"/>
      <c r="E822" s="8"/>
      <c r="F822" s="13"/>
      <c r="G822" s="14"/>
      <c r="H822" s="8"/>
      <c r="I822" s="11" t="str">
        <f aca="false">IF(OR(F822="",G822=""),"",ROUND(F822*G822,0))</f>
        <v/>
      </c>
    </row>
    <row r="823" customFormat="false" ht="15" hidden="false" customHeight="false" outlineLevel="0" collapsed="false">
      <c r="A823" s="8"/>
      <c r="B823" s="10" t="str">
        <f aca="false">IF(A823="","",IFERROR(VLOOKUP(A823,DonHang!$A$2:$C$500,3,FALSE()),"mã đơn chưa có"))</f>
        <v/>
      </c>
      <c r="C823" s="8"/>
      <c r="D823" s="8"/>
      <c r="E823" s="8"/>
      <c r="F823" s="13"/>
      <c r="G823" s="14"/>
      <c r="H823" s="8"/>
      <c r="I823" s="11" t="str">
        <f aca="false">IF(OR(F823="",G823=""),"",ROUND(F823*G823,0))</f>
        <v/>
      </c>
    </row>
    <row r="824" customFormat="false" ht="15" hidden="false" customHeight="false" outlineLevel="0" collapsed="false">
      <c r="A824" s="8"/>
      <c r="B824" s="10" t="str">
        <f aca="false">IF(A824="","",IFERROR(VLOOKUP(A824,DonHang!$A$2:$C$500,3,FALSE()),"mã đơn chưa có"))</f>
        <v/>
      </c>
      <c r="C824" s="8"/>
      <c r="D824" s="8"/>
      <c r="E824" s="8"/>
      <c r="F824" s="13"/>
      <c r="G824" s="14"/>
      <c r="H824" s="8"/>
      <c r="I824" s="11" t="str">
        <f aca="false">IF(OR(F824="",G824=""),"",ROUND(F824*G824,0))</f>
        <v/>
      </c>
    </row>
    <row r="825" customFormat="false" ht="15" hidden="false" customHeight="false" outlineLevel="0" collapsed="false">
      <c r="A825" s="8"/>
      <c r="B825" s="10" t="str">
        <f aca="false">IF(A825="","",IFERROR(VLOOKUP(A825,DonHang!$A$2:$C$500,3,FALSE()),"mã đơn chưa có"))</f>
        <v/>
      </c>
      <c r="C825" s="8"/>
      <c r="D825" s="8"/>
      <c r="E825" s="8"/>
      <c r="F825" s="13"/>
      <c r="G825" s="14"/>
      <c r="H825" s="8"/>
      <c r="I825" s="11" t="str">
        <f aca="false">IF(OR(F825="",G825=""),"",ROUND(F825*G825,0))</f>
        <v/>
      </c>
    </row>
    <row r="826" customFormat="false" ht="15" hidden="false" customHeight="false" outlineLevel="0" collapsed="false">
      <c r="A826" s="8"/>
      <c r="B826" s="10" t="str">
        <f aca="false">IF(A826="","",IFERROR(VLOOKUP(A826,DonHang!$A$2:$C$500,3,FALSE()),"mã đơn chưa có"))</f>
        <v/>
      </c>
      <c r="C826" s="8"/>
      <c r="D826" s="8"/>
      <c r="E826" s="8"/>
      <c r="F826" s="13"/>
      <c r="G826" s="14"/>
      <c r="H826" s="8"/>
      <c r="I826" s="11" t="str">
        <f aca="false">IF(OR(F826="",G826=""),"",ROUND(F826*G826,0))</f>
        <v/>
      </c>
    </row>
    <row r="827" customFormat="false" ht="15" hidden="false" customHeight="false" outlineLevel="0" collapsed="false">
      <c r="A827" s="8"/>
      <c r="B827" s="10" t="str">
        <f aca="false">IF(A827="","",IFERROR(VLOOKUP(A827,DonHang!$A$2:$C$500,3,FALSE()),"mã đơn chưa có"))</f>
        <v/>
      </c>
      <c r="C827" s="8"/>
      <c r="D827" s="8"/>
      <c r="E827" s="8"/>
      <c r="F827" s="13"/>
      <c r="G827" s="14"/>
      <c r="H827" s="8"/>
      <c r="I827" s="11" t="str">
        <f aca="false">IF(OR(F827="",G827=""),"",ROUND(F827*G827,0))</f>
        <v/>
      </c>
    </row>
    <row r="828" customFormat="false" ht="15" hidden="false" customHeight="false" outlineLevel="0" collapsed="false">
      <c r="A828" s="8"/>
      <c r="B828" s="10" t="str">
        <f aca="false">IF(A828="","",IFERROR(VLOOKUP(A828,DonHang!$A$2:$C$500,3,FALSE()),"mã đơn chưa có"))</f>
        <v/>
      </c>
      <c r="C828" s="8"/>
      <c r="D828" s="8"/>
      <c r="E828" s="8"/>
      <c r="F828" s="13"/>
      <c r="G828" s="14"/>
      <c r="H828" s="8"/>
      <c r="I828" s="11" t="str">
        <f aca="false">IF(OR(F828="",G828=""),"",ROUND(F828*G828,0))</f>
        <v/>
      </c>
    </row>
    <row r="829" customFormat="false" ht="15" hidden="false" customHeight="false" outlineLevel="0" collapsed="false">
      <c r="A829" s="8"/>
      <c r="B829" s="10" t="str">
        <f aca="false">IF(A829="","",IFERROR(VLOOKUP(A829,DonHang!$A$2:$C$500,3,FALSE()),"mã đơn chưa có"))</f>
        <v/>
      </c>
      <c r="C829" s="8"/>
      <c r="D829" s="8"/>
      <c r="E829" s="8"/>
      <c r="F829" s="13"/>
      <c r="G829" s="14"/>
      <c r="H829" s="8"/>
      <c r="I829" s="11" t="str">
        <f aca="false">IF(OR(F829="",G829=""),"",ROUND(F829*G829,0))</f>
        <v/>
      </c>
    </row>
    <row r="830" customFormat="false" ht="15" hidden="false" customHeight="false" outlineLevel="0" collapsed="false">
      <c r="A830" s="8"/>
      <c r="B830" s="10" t="str">
        <f aca="false">IF(A830="","",IFERROR(VLOOKUP(A830,DonHang!$A$2:$C$500,3,FALSE()),"mã đơn chưa có"))</f>
        <v/>
      </c>
      <c r="C830" s="8"/>
      <c r="D830" s="8"/>
      <c r="E830" s="8"/>
      <c r="F830" s="13"/>
      <c r="G830" s="14"/>
      <c r="H830" s="8"/>
      <c r="I830" s="11" t="str">
        <f aca="false">IF(OR(F830="",G830=""),"",ROUND(F830*G830,0))</f>
        <v/>
      </c>
    </row>
    <row r="831" customFormat="false" ht="15" hidden="false" customHeight="false" outlineLevel="0" collapsed="false">
      <c r="A831" s="8"/>
      <c r="B831" s="10" t="str">
        <f aca="false">IF(A831="","",IFERROR(VLOOKUP(A831,DonHang!$A$2:$C$500,3,FALSE()),"mã đơn chưa có"))</f>
        <v/>
      </c>
      <c r="C831" s="8"/>
      <c r="D831" s="8"/>
      <c r="E831" s="8"/>
      <c r="F831" s="13"/>
      <c r="G831" s="14"/>
      <c r="H831" s="8"/>
      <c r="I831" s="11" t="str">
        <f aca="false">IF(OR(F831="",G831=""),"",ROUND(F831*G831,0))</f>
        <v/>
      </c>
    </row>
    <row r="832" customFormat="false" ht="15" hidden="false" customHeight="false" outlineLevel="0" collapsed="false">
      <c r="A832" s="8"/>
      <c r="B832" s="10" t="str">
        <f aca="false">IF(A832="","",IFERROR(VLOOKUP(A832,DonHang!$A$2:$C$500,3,FALSE()),"mã đơn chưa có"))</f>
        <v/>
      </c>
      <c r="C832" s="8"/>
      <c r="D832" s="8"/>
      <c r="E832" s="8"/>
      <c r="F832" s="13"/>
      <c r="G832" s="14"/>
      <c r="H832" s="8"/>
      <c r="I832" s="11" t="str">
        <f aca="false">IF(OR(F832="",G832=""),"",ROUND(F832*G832,0))</f>
        <v/>
      </c>
    </row>
    <row r="833" customFormat="false" ht="15" hidden="false" customHeight="false" outlineLevel="0" collapsed="false">
      <c r="A833" s="8"/>
      <c r="B833" s="10" t="str">
        <f aca="false">IF(A833="","",IFERROR(VLOOKUP(A833,DonHang!$A$2:$C$500,3,FALSE()),"mã đơn chưa có"))</f>
        <v/>
      </c>
      <c r="C833" s="8"/>
      <c r="D833" s="8"/>
      <c r="E833" s="8"/>
      <c r="F833" s="13"/>
      <c r="G833" s="14"/>
      <c r="H833" s="8"/>
      <c r="I833" s="11" t="str">
        <f aca="false">IF(OR(F833="",G833=""),"",ROUND(F833*G833,0))</f>
        <v/>
      </c>
    </row>
    <row r="834" customFormat="false" ht="15" hidden="false" customHeight="false" outlineLevel="0" collapsed="false">
      <c r="A834" s="8"/>
      <c r="B834" s="10" t="str">
        <f aca="false">IF(A834="","",IFERROR(VLOOKUP(A834,DonHang!$A$2:$C$500,3,FALSE()),"mã đơn chưa có"))</f>
        <v/>
      </c>
      <c r="C834" s="8"/>
      <c r="D834" s="8"/>
      <c r="E834" s="8"/>
      <c r="F834" s="13"/>
      <c r="G834" s="14"/>
      <c r="H834" s="8"/>
      <c r="I834" s="11" t="str">
        <f aca="false">IF(OR(F834="",G834=""),"",ROUND(F834*G834,0))</f>
        <v/>
      </c>
    </row>
    <row r="835" customFormat="false" ht="15" hidden="false" customHeight="false" outlineLevel="0" collapsed="false">
      <c r="A835" s="8"/>
      <c r="B835" s="10" t="str">
        <f aca="false">IF(A835="","",IFERROR(VLOOKUP(A835,DonHang!$A$2:$C$500,3,FALSE()),"mã đơn chưa có"))</f>
        <v/>
      </c>
      <c r="C835" s="8"/>
      <c r="D835" s="8"/>
      <c r="E835" s="8"/>
      <c r="F835" s="13"/>
      <c r="G835" s="14"/>
      <c r="H835" s="8"/>
      <c r="I835" s="11" t="str">
        <f aca="false">IF(OR(F835="",G835=""),"",ROUND(F835*G835,0))</f>
        <v/>
      </c>
    </row>
    <row r="836" customFormat="false" ht="15" hidden="false" customHeight="false" outlineLevel="0" collapsed="false">
      <c r="A836" s="8"/>
      <c r="B836" s="10" t="str">
        <f aca="false">IF(A836="","",IFERROR(VLOOKUP(A836,DonHang!$A$2:$C$500,3,FALSE()),"mã đơn chưa có"))</f>
        <v/>
      </c>
      <c r="C836" s="8"/>
      <c r="D836" s="8"/>
      <c r="E836" s="8"/>
      <c r="F836" s="13"/>
      <c r="G836" s="14"/>
      <c r="H836" s="8"/>
      <c r="I836" s="11" t="str">
        <f aca="false">IF(OR(F836="",G836=""),"",ROUND(F836*G836,0))</f>
        <v/>
      </c>
    </row>
    <row r="837" customFormat="false" ht="15" hidden="false" customHeight="false" outlineLevel="0" collapsed="false">
      <c r="A837" s="8"/>
      <c r="B837" s="10" t="str">
        <f aca="false">IF(A837="","",IFERROR(VLOOKUP(A837,DonHang!$A$2:$C$500,3,FALSE()),"mã đơn chưa có"))</f>
        <v/>
      </c>
      <c r="C837" s="8"/>
      <c r="D837" s="8"/>
      <c r="E837" s="8"/>
      <c r="F837" s="13"/>
      <c r="G837" s="14"/>
      <c r="H837" s="8"/>
      <c r="I837" s="11" t="str">
        <f aca="false">IF(OR(F837="",G837=""),"",ROUND(F837*G837,0))</f>
        <v/>
      </c>
    </row>
    <row r="838" customFormat="false" ht="15" hidden="false" customHeight="false" outlineLevel="0" collapsed="false">
      <c r="A838" s="8"/>
      <c r="B838" s="10" t="str">
        <f aca="false">IF(A838="","",IFERROR(VLOOKUP(A838,DonHang!$A$2:$C$500,3,FALSE()),"mã đơn chưa có"))</f>
        <v/>
      </c>
      <c r="C838" s="8"/>
      <c r="D838" s="8"/>
      <c r="E838" s="8"/>
      <c r="F838" s="13"/>
      <c r="G838" s="14"/>
      <c r="H838" s="8"/>
      <c r="I838" s="11" t="str">
        <f aca="false">IF(OR(F838="",G838=""),"",ROUND(F838*G838,0))</f>
        <v/>
      </c>
    </row>
    <row r="839" customFormat="false" ht="15" hidden="false" customHeight="false" outlineLevel="0" collapsed="false">
      <c r="A839" s="8"/>
      <c r="B839" s="10" t="str">
        <f aca="false">IF(A839="","",IFERROR(VLOOKUP(A839,DonHang!$A$2:$C$500,3,FALSE()),"mã đơn chưa có"))</f>
        <v/>
      </c>
      <c r="C839" s="8"/>
      <c r="D839" s="8"/>
      <c r="E839" s="8"/>
      <c r="F839" s="13"/>
      <c r="G839" s="14"/>
      <c r="H839" s="8"/>
      <c r="I839" s="11" t="str">
        <f aca="false">IF(OR(F839="",G839=""),"",ROUND(F839*G839,0))</f>
        <v/>
      </c>
    </row>
    <row r="840" customFormat="false" ht="15" hidden="false" customHeight="false" outlineLevel="0" collapsed="false">
      <c r="A840" s="8"/>
      <c r="B840" s="10" t="str">
        <f aca="false">IF(A840="","",IFERROR(VLOOKUP(A840,DonHang!$A$2:$C$500,3,FALSE()),"mã đơn chưa có"))</f>
        <v/>
      </c>
      <c r="C840" s="8"/>
      <c r="D840" s="8"/>
      <c r="E840" s="8"/>
      <c r="F840" s="13"/>
      <c r="G840" s="14"/>
      <c r="H840" s="8"/>
      <c r="I840" s="11" t="str">
        <f aca="false">IF(OR(F840="",G840=""),"",ROUND(F840*G840,0))</f>
        <v/>
      </c>
    </row>
    <row r="841" customFormat="false" ht="15" hidden="false" customHeight="false" outlineLevel="0" collapsed="false">
      <c r="A841" s="8"/>
      <c r="B841" s="10" t="str">
        <f aca="false">IF(A841="","",IFERROR(VLOOKUP(A841,DonHang!$A$2:$C$500,3,FALSE()),"mã đơn chưa có"))</f>
        <v/>
      </c>
      <c r="C841" s="8"/>
      <c r="D841" s="8"/>
      <c r="E841" s="8"/>
      <c r="F841" s="13"/>
      <c r="G841" s="14"/>
      <c r="H841" s="8"/>
      <c r="I841" s="11" t="str">
        <f aca="false">IF(OR(F841="",G841=""),"",ROUND(F841*G841,0))</f>
        <v/>
      </c>
    </row>
    <row r="842" customFormat="false" ht="15" hidden="false" customHeight="false" outlineLevel="0" collapsed="false">
      <c r="A842" s="8"/>
      <c r="B842" s="10" t="str">
        <f aca="false">IF(A842="","",IFERROR(VLOOKUP(A842,DonHang!$A$2:$C$500,3,FALSE()),"mã đơn chưa có"))</f>
        <v/>
      </c>
      <c r="C842" s="8"/>
      <c r="D842" s="8"/>
      <c r="E842" s="8"/>
      <c r="F842" s="13"/>
      <c r="G842" s="14"/>
      <c r="H842" s="8"/>
      <c r="I842" s="11" t="str">
        <f aca="false">IF(OR(F842="",G842=""),"",ROUND(F842*G842,0))</f>
        <v/>
      </c>
    </row>
    <row r="843" customFormat="false" ht="15" hidden="false" customHeight="false" outlineLevel="0" collapsed="false">
      <c r="A843" s="8"/>
      <c r="B843" s="10" t="str">
        <f aca="false">IF(A843="","",IFERROR(VLOOKUP(A843,DonHang!$A$2:$C$500,3,FALSE()),"mã đơn chưa có"))</f>
        <v/>
      </c>
      <c r="C843" s="8"/>
      <c r="D843" s="8"/>
      <c r="E843" s="8"/>
      <c r="F843" s="13"/>
      <c r="G843" s="14"/>
      <c r="H843" s="8"/>
      <c r="I843" s="11" t="str">
        <f aca="false">IF(OR(F843="",G843=""),"",ROUND(F843*G843,0))</f>
        <v/>
      </c>
    </row>
    <row r="844" customFormat="false" ht="15" hidden="false" customHeight="false" outlineLevel="0" collapsed="false">
      <c r="A844" s="8"/>
      <c r="B844" s="10" t="str">
        <f aca="false">IF(A844="","",IFERROR(VLOOKUP(A844,DonHang!$A$2:$C$500,3,FALSE()),"mã đơn chưa có"))</f>
        <v/>
      </c>
      <c r="C844" s="8"/>
      <c r="D844" s="8"/>
      <c r="E844" s="8"/>
      <c r="F844" s="13"/>
      <c r="G844" s="14"/>
      <c r="H844" s="8"/>
      <c r="I844" s="11" t="str">
        <f aca="false">IF(OR(F844="",G844=""),"",ROUND(F844*G844,0))</f>
        <v/>
      </c>
    </row>
    <row r="845" customFormat="false" ht="15" hidden="false" customHeight="false" outlineLevel="0" collapsed="false">
      <c r="A845" s="8"/>
      <c r="B845" s="10" t="str">
        <f aca="false">IF(A845="","",IFERROR(VLOOKUP(A845,DonHang!$A$2:$C$500,3,FALSE()),"mã đơn chưa có"))</f>
        <v/>
      </c>
      <c r="C845" s="8"/>
      <c r="D845" s="8"/>
      <c r="E845" s="8"/>
      <c r="F845" s="13"/>
      <c r="G845" s="14"/>
      <c r="H845" s="8"/>
      <c r="I845" s="11" t="str">
        <f aca="false">IF(OR(F845="",G845=""),"",ROUND(F845*G845,0))</f>
        <v/>
      </c>
    </row>
    <row r="846" customFormat="false" ht="15" hidden="false" customHeight="false" outlineLevel="0" collapsed="false">
      <c r="A846" s="8"/>
      <c r="B846" s="10" t="str">
        <f aca="false">IF(A846="","",IFERROR(VLOOKUP(A846,DonHang!$A$2:$C$500,3,FALSE()),"mã đơn chưa có"))</f>
        <v/>
      </c>
      <c r="C846" s="8"/>
      <c r="D846" s="8"/>
      <c r="E846" s="8"/>
      <c r="F846" s="13"/>
      <c r="G846" s="14"/>
      <c r="H846" s="8"/>
      <c r="I846" s="11" t="str">
        <f aca="false">IF(OR(F846="",G846=""),"",ROUND(F846*G846,0))</f>
        <v/>
      </c>
    </row>
    <row r="847" customFormat="false" ht="15" hidden="false" customHeight="false" outlineLevel="0" collapsed="false">
      <c r="A847" s="8"/>
      <c r="B847" s="10" t="str">
        <f aca="false">IF(A847="","",IFERROR(VLOOKUP(A847,DonHang!$A$2:$C$500,3,FALSE()),"mã đơn chưa có"))</f>
        <v/>
      </c>
      <c r="C847" s="8"/>
      <c r="D847" s="8"/>
      <c r="E847" s="8"/>
      <c r="F847" s="13"/>
      <c r="G847" s="14"/>
      <c r="H847" s="8"/>
      <c r="I847" s="11" t="str">
        <f aca="false">IF(OR(F847="",G847=""),"",ROUND(F847*G847,0))</f>
        <v/>
      </c>
    </row>
    <row r="848" customFormat="false" ht="15" hidden="false" customHeight="false" outlineLevel="0" collapsed="false">
      <c r="A848" s="8"/>
      <c r="B848" s="10" t="str">
        <f aca="false">IF(A848="","",IFERROR(VLOOKUP(A848,DonHang!$A$2:$C$500,3,FALSE()),"mã đơn chưa có"))</f>
        <v/>
      </c>
      <c r="C848" s="8"/>
      <c r="D848" s="8"/>
      <c r="E848" s="8"/>
      <c r="F848" s="13"/>
      <c r="G848" s="14"/>
      <c r="H848" s="8"/>
      <c r="I848" s="11" t="str">
        <f aca="false">IF(OR(F848="",G848=""),"",ROUND(F848*G848,0))</f>
        <v/>
      </c>
    </row>
    <row r="849" customFormat="false" ht="15" hidden="false" customHeight="false" outlineLevel="0" collapsed="false">
      <c r="A849" s="8"/>
      <c r="B849" s="10" t="str">
        <f aca="false">IF(A849="","",IFERROR(VLOOKUP(A849,DonHang!$A$2:$C$500,3,FALSE()),"mã đơn chưa có"))</f>
        <v/>
      </c>
      <c r="C849" s="8"/>
      <c r="D849" s="8"/>
      <c r="E849" s="8"/>
      <c r="F849" s="13"/>
      <c r="G849" s="14"/>
      <c r="H849" s="8"/>
      <c r="I849" s="11" t="str">
        <f aca="false">IF(OR(F849="",G849=""),"",ROUND(F849*G849,0))</f>
        <v/>
      </c>
    </row>
    <row r="850" customFormat="false" ht="15" hidden="false" customHeight="false" outlineLevel="0" collapsed="false">
      <c r="A850" s="8"/>
      <c r="B850" s="10" t="str">
        <f aca="false">IF(A850="","",IFERROR(VLOOKUP(A850,DonHang!$A$2:$C$500,3,FALSE()),"mã đơn chưa có"))</f>
        <v/>
      </c>
      <c r="C850" s="8"/>
      <c r="D850" s="8"/>
      <c r="E850" s="8"/>
      <c r="F850" s="13"/>
      <c r="G850" s="14"/>
      <c r="H850" s="8"/>
      <c r="I850" s="11" t="str">
        <f aca="false">IF(OR(F850="",G850=""),"",ROUND(F850*G850,0))</f>
        <v/>
      </c>
    </row>
    <row r="851" customFormat="false" ht="15" hidden="false" customHeight="false" outlineLevel="0" collapsed="false">
      <c r="A851" s="8"/>
      <c r="B851" s="10" t="str">
        <f aca="false">IF(A851="","",IFERROR(VLOOKUP(A851,DonHang!$A$2:$C$500,3,FALSE()),"mã đơn chưa có"))</f>
        <v/>
      </c>
      <c r="C851" s="8"/>
      <c r="D851" s="8"/>
      <c r="E851" s="8"/>
      <c r="F851" s="13"/>
      <c r="G851" s="14"/>
      <c r="H851" s="8"/>
      <c r="I851" s="11" t="str">
        <f aca="false">IF(OR(F851="",G851=""),"",ROUND(F851*G851,0))</f>
        <v/>
      </c>
    </row>
    <row r="852" customFormat="false" ht="15" hidden="false" customHeight="false" outlineLevel="0" collapsed="false">
      <c r="A852" s="8"/>
      <c r="B852" s="10" t="str">
        <f aca="false">IF(A852="","",IFERROR(VLOOKUP(A852,DonHang!$A$2:$C$500,3,FALSE()),"mã đơn chưa có"))</f>
        <v/>
      </c>
      <c r="C852" s="8"/>
      <c r="D852" s="8"/>
      <c r="E852" s="8"/>
      <c r="F852" s="13"/>
      <c r="G852" s="14"/>
      <c r="H852" s="8"/>
      <c r="I852" s="11" t="str">
        <f aca="false">IF(OR(F852="",G852=""),"",ROUND(F852*G852,0))</f>
        <v/>
      </c>
    </row>
    <row r="853" customFormat="false" ht="15" hidden="false" customHeight="false" outlineLevel="0" collapsed="false">
      <c r="A853" s="8"/>
      <c r="B853" s="10" t="str">
        <f aca="false">IF(A853="","",IFERROR(VLOOKUP(A853,DonHang!$A$2:$C$500,3,FALSE()),"mã đơn chưa có"))</f>
        <v/>
      </c>
      <c r="C853" s="8"/>
      <c r="D853" s="8"/>
      <c r="E853" s="8"/>
      <c r="F853" s="13"/>
      <c r="G853" s="14"/>
      <c r="H853" s="8"/>
      <c r="I853" s="11" t="str">
        <f aca="false">IF(OR(F853="",G853=""),"",ROUND(F853*G853,0))</f>
        <v/>
      </c>
    </row>
    <row r="854" customFormat="false" ht="15" hidden="false" customHeight="false" outlineLevel="0" collapsed="false">
      <c r="A854" s="8"/>
      <c r="B854" s="10" t="str">
        <f aca="false">IF(A854="","",IFERROR(VLOOKUP(A854,DonHang!$A$2:$C$500,3,FALSE()),"mã đơn chưa có"))</f>
        <v/>
      </c>
      <c r="C854" s="8"/>
      <c r="D854" s="8"/>
      <c r="E854" s="8"/>
      <c r="F854" s="13"/>
      <c r="G854" s="14"/>
      <c r="H854" s="8"/>
      <c r="I854" s="11" t="str">
        <f aca="false">IF(OR(F854="",G854=""),"",ROUND(F854*G854,0))</f>
        <v/>
      </c>
    </row>
    <row r="855" customFormat="false" ht="15" hidden="false" customHeight="false" outlineLevel="0" collapsed="false">
      <c r="A855" s="8"/>
      <c r="B855" s="10" t="str">
        <f aca="false">IF(A855="","",IFERROR(VLOOKUP(A855,DonHang!$A$2:$C$500,3,FALSE()),"mã đơn chưa có"))</f>
        <v/>
      </c>
      <c r="C855" s="8"/>
      <c r="D855" s="8"/>
      <c r="E855" s="8"/>
      <c r="F855" s="13"/>
      <c r="G855" s="14"/>
      <c r="H855" s="8"/>
      <c r="I855" s="11" t="str">
        <f aca="false">IF(OR(F855="",G855=""),"",ROUND(F855*G855,0))</f>
        <v/>
      </c>
    </row>
    <row r="856" customFormat="false" ht="15" hidden="false" customHeight="false" outlineLevel="0" collapsed="false">
      <c r="A856" s="8"/>
      <c r="B856" s="10" t="str">
        <f aca="false">IF(A856="","",IFERROR(VLOOKUP(A856,DonHang!$A$2:$C$500,3,FALSE()),"mã đơn chưa có"))</f>
        <v/>
      </c>
      <c r="C856" s="8"/>
      <c r="D856" s="8"/>
      <c r="E856" s="8"/>
      <c r="F856" s="13"/>
      <c r="G856" s="14"/>
      <c r="H856" s="8"/>
      <c r="I856" s="11" t="str">
        <f aca="false">IF(OR(F856="",G856=""),"",ROUND(F856*G856,0))</f>
        <v/>
      </c>
    </row>
    <row r="857" customFormat="false" ht="15" hidden="false" customHeight="false" outlineLevel="0" collapsed="false">
      <c r="A857" s="8"/>
      <c r="B857" s="10" t="str">
        <f aca="false">IF(A857="","",IFERROR(VLOOKUP(A857,DonHang!$A$2:$C$500,3,FALSE()),"mã đơn chưa có"))</f>
        <v/>
      </c>
      <c r="C857" s="8"/>
      <c r="D857" s="8"/>
      <c r="E857" s="8"/>
      <c r="F857" s="13"/>
      <c r="G857" s="14"/>
      <c r="H857" s="8"/>
      <c r="I857" s="11" t="str">
        <f aca="false">IF(OR(F857="",G857=""),"",ROUND(F857*G857,0))</f>
        <v/>
      </c>
    </row>
    <row r="858" customFormat="false" ht="15" hidden="false" customHeight="false" outlineLevel="0" collapsed="false">
      <c r="A858" s="8"/>
      <c r="B858" s="10" t="str">
        <f aca="false">IF(A858="","",IFERROR(VLOOKUP(A858,DonHang!$A$2:$C$500,3,FALSE()),"mã đơn chưa có"))</f>
        <v/>
      </c>
      <c r="C858" s="8"/>
      <c r="D858" s="8"/>
      <c r="E858" s="8"/>
      <c r="F858" s="13"/>
      <c r="G858" s="14"/>
      <c r="H858" s="8"/>
      <c r="I858" s="11" t="str">
        <f aca="false">IF(OR(F858="",G858=""),"",ROUND(F858*G858,0))</f>
        <v/>
      </c>
    </row>
    <row r="859" customFormat="false" ht="15" hidden="false" customHeight="false" outlineLevel="0" collapsed="false">
      <c r="A859" s="8"/>
      <c r="B859" s="10" t="str">
        <f aca="false">IF(A859="","",IFERROR(VLOOKUP(A859,DonHang!$A$2:$C$500,3,FALSE()),"mã đơn chưa có"))</f>
        <v/>
      </c>
      <c r="C859" s="8"/>
      <c r="D859" s="8"/>
      <c r="E859" s="8"/>
      <c r="F859" s="13"/>
      <c r="G859" s="14"/>
      <c r="H859" s="8"/>
      <c r="I859" s="11" t="str">
        <f aca="false">IF(OR(F859="",G859=""),"",ROUND(F859*G859,0))</f>
        <v/>
      </c>
    </row>
    <row r="860" customFormat="false" ht="15" hidden="false" customHeight="false" outlineLevel="0" collapsed="false">
      <c r="A860" s="8"/>
      <c r="B860" s="10" t="str">
        <f aca="false">IF(A860="","",IFERROR(VLOOKUP(A860,DonHang!$A$2:$C$500,3,FALSE()),"mã đơn chưa có"))</f>
        <v/>
      </c>
      <c r="C860" s="8"/>
      <c r="D860" s="8"/>
      <c r="E860" s="8"/>
      <c r="F860" s="13"/>
      <c r="G860" s="14"/>
      <c r="H860" s="8"/>
      <c r="I860" s="11" t="str">
        <f aca="false">IF(OR(F860="",G860=""),"",ROUND(F860*G860,0))</f>
        <v/>
      </c>
    </row>
    <row r="861" customFormat="false" ht="15" hidden="false" customHeight="false" outlineLevel="0" collapsed="false">
      <c r="A861" s="8"/>
      <c r="B861" s="10" t="str">
        <f aca="false">IF(A861="","",IFERROR(VLOOKUP(A861,DonHang!$A$2:$C$500,3,FALSE()),"mã đơn chưa có"))</f>
        <v/>
      </c>
      <c r="C861" s="8"/>
      <c r="D861" s="8"/>
      <c r="E861" s="8"/>
      <c r="F861" s="13"/>
      <c r="G861" s="14"/>
      <c r="H861" s="8"/>
      <c r="I861" s="11" t="str">
        <f aca="false">IF(OR(F861="",G861=""),"",ROUND(F861*G861,0))</f>
        <v/>
      </c>
    </row>
    <row r="862" customFormat="false" ht="15" hidden="false" customHeight="false" outlineLevel="0" collapsed="false">
      <c r="A862" s="8"/>
      <c r="B862" s="10" t="str">
        <f aca="false">IF(A862="","",IFERROR(VLOOKUP(A862,DonHang!$A$2:$C$500,3,FALSE()),"mã đơn chưa có"))</f>
        <v/>
      </c>
      <c r="C862" s="8"/>
      <c r="D862" s="8"/>
      <c r="E862" s="8"/>
      <c r="F862" s="13"/>
      <c r="G862" s="14"/>
      <c r="H862" s="8"/>
      <c r="I862" s="11" t="str">
        <f aca="false">IF(OR(F862="",G862=""),"",ROUND(F862*G862,0))</f>
        <v/>
      </c>
    </row>
    <row r="863" customFormat="false" ht="15" hidden="false" customHeight="false" outlineLevel="0" collapsed="false">
      <c r="A863" s="8"/>
      <c r="B863" s="10" t="str">
        <f aca="false">IF(A863="","",IFERROR(VLOOKUP(A863,DonHang!$A$2:$C$500,3,FALSE()),"mã đơn chưa có"))</f>
        <v/>
      </c>
      <c r="C863" s="8"/>
      <c r="D863" s="8"/>
      <c r="E863" s="8"/>
      <c r="F863" s="13"/>
      <c r="G863" s="14"/>
      <c r="H863" s="8"/>
      <c r="I863" s="11" t="str">
        <f aca="false">IF(OR(F863="",G863=""),"",ROUND(F863*G863,0))</f>
        <v/>
      </c>
    </row>
    <row r="864" customFormat="false" ht="15" hidden="false" customHeight="false" outlineLevel="0" collapsed="false">
      <c r="A864" s="8"/>
      <c r="B864" s="10" t="str">
        <f aca="false">IF(A864="","",IFERROR(VLOOKUP(A864,DonHang!$A$2:$C$500,3,FALSE()),"mã đơn chưa có"))</f>
        <v/>
      </c>
      <c r="C864" s="8"/>
      <c r="D864" s="8"/>
      <c r="E864" s="8"/>
      <c r="F864" s="13"/>
      <c r="G864" s="14"/>
      <c r="H864" s="8"/>
      <c r="I864" s="11" t="str">
        <f aca="false">IF(OR(F864="",G864=""),"",ROUND(F864*G864,0))</f>
        <v/>
      </c>
    </row>
    <row r="865" customFormat="false" ht="15" hidden="false" customHeight="false" outlineLevel="0" collapsed="false">
      <c r="A865" s="8"/>
      <c r="B865" s="10" t="str">
        <f aca="false">IF(A865="","",IFERROR(VLOOKUP(A865,DonHang!$A$2:$C$500,3,FALSE()),"mã đơn chưa có"))</f>
        <v/>
      </c>
      <c r="C865" s="8"/>
      <c r="D865" s="8"/>
      <c r="E865" s="8"/>
      <c r="F865" s="13"/>
      <c r="G865" s="14"/>
      <c r="H865" s="8"/>
      <c r="I865" s="11" t="str">
        <f aca="false">IF(OR(F865="",G865=""),"",ROUND(F865*G865,0))</f>
        <v/>
      </c>
    </row>
    <row r="866" customFormat="false" ht="15" hidden="false" customHeight="false" outlineLevel="0" collapsed="false">
      <c r="A866" s="8"/>
      <c r="B866" s="10" t="str">
        <f aca="false">IF(A866="","",IFERROR(VLOOKUP(A866,DonHang!$A$2:$C$500,3,FALSE()),"mã đơn chưa có"))</f>
        <v/>
      </c>
      <c r="C866" s="8"/>
      <c r="D866" s="8"/>
      <c r="E866" s="8"/>
      <c r="F866" s="13"/>
      <c r="G866" s="14"/>
      <c r="H866" s="8"/>
      <c r="I866" s="11" t="str">
        <f aca="false">IF(OR(F866="",G866=""),"",ROUND(F866*G866,0))</f>
        <v/>
      </c>
    </row>
    <row r="867" customFormat="false" ht="15" hidden="false" customHeight="false" outlineLevel="0" collapsed="false">
      <c r="A867" s="8"/>
      <c r="B867" s="10" t="str">
        <f aca="false">IF(A867="","",IFERROR(VLOOKUP(A867,DonHang!$A$2:$C$500,3,FALSE()),"mã đơn chưa có"))</f>
        <v/>
      </c>
      <c r="C867" s="8"/>
      <c r="D867" s="8"/>
      <c r="E867" s="8"/>
      <c r="F867" s="13"/>
      <c r="G867" s="14"/>
      <c r="H867" s="8"/>
      <c r="I867" s="11" t="str">
        <f aca="false">IF(OR(F867="",G867=""),"",ROUND(F867*G867,0))</f>
        <v/>
      </c>
    </row>
    <row r="868" customFormat="false" ht="15" hidden="false" customHeight="false" outlineLevel="0" collapsed="false">
      <c r="A868" s="8"/>
      <c r="B868" s="10" t="str">
        <f aca="false">IF(A868="","",IFERROR(VLOOKUP(A868,DonHang!$A$2:$C$500,3,FALSE()),"mã đơn chưa có"))</f>
        <v/>
      </c>
      <c r="C868" s="8"/>
      <c r="D868" s="8"/>
      <c r="E868" s="8"/>
      <c r="F868" s="13"/>
      <c r="G868" s="14"/>
      <c r="H868" s="8"/>
      <c r="I868" s="11" t="str">
        <f aca="false">IF(OR(F868="",G868=""),"",ROUND(F868*G868,0))</f>
        <v/>
      </c>
    </row>
    <row r="869" customFormat="false" ht="15" hidden="false" customHeight="false" outlineLevel="0" collapsed="false">
      <c r="A869" s="8"/>
      <c r="B869" s="10" t="str">
        <f aca="false">IF(A869="","",IFERROR(VLOOKUP(A869,DonHang!$A$2:$C$500,3,FALSE()),"mã đơn chưa có"))</f>
        <v/>
      </c>
      <c r="C869" s="8"/>
      <c r="D869" s="8"/>
      <c r="E869" s="8"/>
      <c r="F869" s="13"/>
      <c r="G869" s="14"/>
      <c r="H869" s="8"/>
      <c r="I869" s="11" t="str">
        <f aca="false">IF(OR(F869="",G869=""),"",ROUND(F869*G869,0))</f>
        <v/>
      </c>
    </row>
    <row r="870" customFormat="false" ht="15" hidden="false" customHeight="false" outlineLevel="0" collapsed="false">
      <c r="A870" s="8"/>
      <c r="B870" s="10" t="str">
        <f aca="false">IF(A870="","",IFERROR(VLOOKUP(A870,DonHang!$A$2:$C$500,3,FALSE()),"mã đơn chưa có"))</f>
        <v/>
      </c>
      <c r="C870" s="8"/>
      <c r="D870" s="8"/>
      <c r="E870" s="8"/>
      <c r="F870" s="13"/>
      <c r="G870" s="14"/>
      <c r="H870" s="8"/>
      <c r="I870" s="11" t="str">
        <f aca="false">IF(OR(F870="",G870=""),"",ROUND(F870*G870,0))</f>
        <v/>
      </c>
    </row>
    <row r="871" customFormat="false" ht="15" hidden="false" customHeight="false" outlineLevel="0" collapsed="false">
      <c r="A871" s="8"/>
      <c r="B871" s="10" t="str">
        <f aca="false">IF(A871="","",IFERROR(VLOOKUP(A871,DonHang!$A$2:$C$500,3,FALSE()),"mã đơn chưa có"))</f>
        <v/>
      </c>
      <c r="C871" s="8"/>
      <c r="D871" s="8"/>
      <c r="E871" s="8"/>
      <c r="F871" s="13"/>
      <c r="G871" s="14"/>
      <c r="H871" s="8"/>
      <c r="I871" s="11" t="str">
        <f aca="false">IF(OR(F871="",G871=""),"",ROUND(F871*G871,0))</f>
        <v/>
      </c>
    </row>
    <row r="872" customFormat="false" ht="15" hidden="false" customHeight="false" outlineLevel="0" collapsed="false">
      <c r="A872" s="8"/>
      <c r="B872" s="10" t="str">
        <f aca="false">IF(A872="","",IFERROR(VLOOKUP(A872,DonHang!$A$2:$C$500,3,FALSE()),"mã đơn chưa có"))</f>
        <v/>
      </c>
      <c r="C872" s="8"/>
      <c r="D872" s="8"/>
      <c r="E872" s="8"/>
      <c r="F872" s="13"/>
      <c r="G872" s="14"/>
      <c r="H872" s="8"/>
      <c r="I872" s="11" t="str">
        <f aca="false">IF(OR(F872="",G872=""),"",ROUND(F872*G872,0))</f>
        <v/>
      </c>
    </row>
    <row r="873" customFormat="false" ht="15" hidden="false" customHeight="false" outlineLevel="0" collapsed="false">
      <c r="A873" s="8"/>
      <c r="B873" s="10" t="str">
        <f aca="false">IF(A873="","",IFERROR(VLOOKUP(A873,DonHang!$A$2:$C$500,3,FALSE()),"mã đơn chưa có"))</f>
        <v/>
      </c>
      <c r="C873" s="8"/>
      <c r="D873" s="8"/>
      <c r="E873" s="8"/>
      <c r="F873" s="13"/>
      <c r="G873" s="14"/>
      <c r="H873" s="8"/>
      <c r="I873" s="11" t="str">
        <f aca="false">IF(OR(F873="",G873=""),"",ROUND(F873*G873,0))</f>
        <v/>
      </c>
    </row>
    <row r="874" customFormat="false" ht="15" hidden="false" customHeight="false" outlineLevel="0" collapsed="false">
      <c r="A874" s="8"/>
      <c r="B874" s="10" t="str">
        <f aca="false">IF(A874="","",IFERROR(VLOOKUP(A874,DonHang!$A$2:$C$500,3,FALSE()),"mã đơn chưa có"))</f>
        <v/>
      </c>
      <c r="C874" s="8"/>
      <c r="D874" s="8"/>
      <c r="E874" s="8"/>
      <c r="F874" s="13"/>
      <c r="G874" s="14"/>
      <c r="H874" s="8"/>
      <c r="I874" s="11" t="str">
        <f aca="false">IF(OR(F874="",G874=""),"",ROUND(F874*G874,0))</f>
        <v/>
      </c>
    </row>
    <row r="875" customFormat="false" ht="15" hidden="false" customHeight="false" outlineLevel="0" collapsed="false">
      <c r="A875" s="8"/>
      <c r="B875" s="10" t="str">
        <f aca="false">IF(A875="","",IFERROR(VLOOKUP(A875,DonHang!$A$2:$C$500,3,FALSE()),"mã đơn chưa có"))</f>
        <v/>
      </c>
      <c r="C875" s="8"/>
      <c r="D875" s="8"/>
      <c r="E875" s="8"/>
      <c r="F875" s="13"/>
      <c r="G875" s="14"/>
      <c r="H875" s="8"/>
      <c r="I875" s="11" t="str">
        <f aca="false">IF(OR(F875="",G875=""),"",ROUND(F875*G875,0))</f>
        <v/>
      </c>
    </row>
    <row r="876" customFormat="false" ht="15" hidden="false" customHeight="false" outlineLevel="0" collapsed="false">
      <c r="A876" s="8"/>
      <c r="B876" s="10" t="str">
        <f aca="false">IF(A876="","",IFERROR(VLOOKUP(A876,DonHang!$A$2:$C$500,3,FALSE()),"mã đơn chưa có"))</f>
        <v/>
      </c>
      <c r="C876" s="8"/>
      <c r="D876" s="8"/>
      <c r="E876" s="8"/>
      <c r="F876" s="13"/>
      <c r="G876" s="14"/>
      <c r="H876" s="8"/>
      <c r="I876" s="11" t="str">
        <f aca="false">IF(OR(F876="",G876=""),"",ROUND(F876*G876,0))</f>
        <v/>
      </c>
    </row>
    <row r="877" customFormat="false" ht="15" hidden="false" customHeight="false" outlineLevel="0" collapsed="false">
      <c r="A877" s="8"/>
      <c r="B877" s="10" t="str">
        <f aca="false">IF(A877="","",IFERROR(VLOOKUP(A877,DonHang!$A$2:$C$500,3,FALSE()),"mã đơn chưa có"))</f>
        <v/>
      </c>
      <c r="C877" s="8"/>
      <c r="D877" s="8"/>
      <c r="E877" s="8"/>
      <c r="F877" s="13"/>
      <c r="G877" s="14"/>
      <c r="H877" s="8"/>
      <c r="I877" s="11" t="str">
        <f aca="false">IF(OR(F877="",G877=""),"",ROUND(F877*G877,0))</f>
        <v/>
      </c>
    </row>
    <row r="878" customFormat="false" ht="15" hidden="false" customHeight="false" outlineLevel="0" collapsed="false">
      <c r="A878" s="8"/>
      <c r="B878" s="10" t="str">
        <f aca="false">IF(A878="","",IFERROR(VLOOKUP(A878,DonHang!$A$2:$C$500,3,FALSE()),"mã đơn chưa có"))</f>
        <v/>
      </c>
      <c r="C878" s="8"/>
      <c r="D878" s="8"/>
      <c r="E878" s="8"/>
      <c r="F878" s="13"/>
      <c r="G878" s="14"/>
      <c r="H878" s="8"/>
      <c r="I878" s="11" t="str">
        <f aca="false">IF(OR(F878="",G878=""),"",ROUND(F878*G878,0))</f>
        <v/>
      </c>
    </row>
    <row r="879" customFormat="false" ht="15" hidden="false" customHeight="false" outlineLevel="0" collapsed="false">
      <c r="A879" s="8"/>
      <c r="B879" s="10" t="str">
        <f aca="false">IF(A879="","",IFERROR(VLOOKUP(A879,DonHang!$A$2:$C$500,3,FALSE()),"mã đơn chưa có"))</f>
        <v/>
      </c>
      <c r="C879" s="8"/>
      <c r="D879" s="8"/>
      <c r="E879" s="8"/>
      <c r="F879" s="13"/>
      <c r="G879" s="14"/>
      <c r="H879" s="8"/>
      <c r="I879" s="11" t="str">
        <f aca="false">IF(OR(F879="",G879=""),"",ROUND(F879*G879,0))</f>
        <v/>
      </c>
    </row>
    <row r="880" customFormat="false" ht="15" hidden="false" customHeight="false" outlineLevel="0" collapsed="false">
      <c r="A880" s="8"/>
      <c r="B880" s="10" t="str">
        <f aca="false">IF(A880="","",IFERROR(VLOOKUP(A880,DonHang!$A$2:$C$500,3,FALSE()),"mã đơn chưa có"))</f>
        <v/>
      </c>
      <c r="C880" s="8"/>
      <c r="D880" s="8"/>
      <c r="E880" s="8"/>
      <c r="F880" s="13"/>
      <c r="G880" s="14"/>
      <c r="H880" s="8"/>
      <c r="I880" s="11" t="str">
        <f aca="false">IF(OR(F880="",G880=""),"",ROUND(F880*G880,0))</f>
        <v/>
      </c>
    </row>
    <row r="881" customFormat="false" ht="15" hidden="false" customHeight="false" outlineLevel="0" collapsed="false">
      <c r="A881" s="8"/>
      <c r="B881" s="10" t="str">
        <f aca="false">IF(A881="","",IFERROR(VLOOKUP(A881,DonHang!$A$2:$C$500,3,FALSE()),"mã đơn chưa có"))</f>
        <v/>
      </c>
      <c r="C881" s="8"/>
      <c r="D881" s="8"/>
      <c r="E881" s="8"/>
      <c r="F881" s="13"/>
      <c r="G881" s="14"/>
      <c r="H881" s="8"/>
      <c r="I881" s="11" t="str">
        <f aca="false">IF(OR(F881="",G881=""),"",ROUND(F881*G881,0))</f>
        <v/>
      </c>
    </row>
    <row r="882" customFormat="false" ht="15" hidden="false" customHeight="false" outlineLevel="0" collapsed="false">
      <c r="A882" s="8"/>
      <c r="B882" s="10" t="str">
        <f aca="false">IF(A882="","",IFERROR(VLOOKUP(A882,DonHang!$A$2:$C$500,3,FALSE()),"mã đơn chưa có"))</f>
        <v/>
      </c>
      <c r="C882" s="8"/>
      <c r="D882" s="8"/>
      <c r="E882" s="8"/>
      <c r="F882" s="13"/>
      <c r="G882" s="14"/>
      <c r="H882" s="8"/>
      <c r="I882" s="11" t="str">
        <f aca="false">IF(OR(F882="",G882=""),"",ROUND(F882*G882,0))</f>
        <v/>
      </c>
    </row>
    <row r="883" customFormat="false" ht="15" hidden="false" customHeight="false" outlineLevel="0" collapsed="false">
      <c r="A883" s="8"/>
      <c r="B883" s="10" t="str">
        <f aca="false">IF(A883="","",IFERROR(VLOOKUP(A883,DonHang!$A$2:$C$500,3,FALSE()),"mã đơn chưa có"))</f>
        <v/>
      </c>
      <c r="C883" s="8"/>
      <c r="D883" s="8"/>
      <c r="E883" s="8"/>
      <c r="F883" s="13"/>
      <c r="G883" s="14"/>
      <c r="H883" s="8"/>
      <c r="I883" s="11" t="str">
        <f aca="false">IF(OR(F883="",G883=""),"",ROUND(F883*G883,0))</f>
        <v/>
      </c>
    </row>
    <row r="884" customFormat="false" ht="15" hidden="false" customHeight="false" outlineLevel="0" collapsed="false">
      <c r="A884" s="8"/>
      <c r="B884" s="10" t="str">
        <f aca="false">IF(A884="","",IFERROR(VLOOKUP(A884,DonHang!$A$2:$C$500,3,FALSE()),"mã đơn chưa có"))</f>
        <v/>
      </c>
      <c r="C884" s="8"/>
      <c r="D884" s="8"/>
      <c r="E884" s="8"/>
      <c r="F884" s="13"/>
      <c r="G884" s="14"/>
      <c r="H884" s="8"/>
      <c r="I884" s="11" t="str">
        <f aca="false">IF(OR(F884="",G884=""),"",ROUND(F884*G884,0))</f>
        <v/>
      </c>
    </row>
    <row r="885" customFormat="false" ht="15" hidden="false" customHeight="false" outlineLevel="0" collapsed="false">
      <c r="A885" s="8"/>
      <c r="B885" s="10" t="str">
        <f aca="false">IF(A885="","",IFERROR(VLOOKUP(A885,DonHang!$A$2:$C$500,3,FALSE()),"mã đơn chưa có"))</f>
        <v/>
      </c>
      <c r="C885" s="8"/>
      <c r="D885" s="8"/>
      <c r="E885" s="8"/>
      <c r="F885" s="13"/>
      <c r="G885" s="14"/>
      <c r="H885" s="8"/>
      <c r="I885" s="11" t="str">
        <f aca="false">IF(OR(F885="",G885=""),"",ROUND(F885*G885,0))</f>
        <v/>
      </c>
    </row>
    <row r="886" customFormat="false" ht="15" hidden="false" customHeight="false" outlineLevel="0" collapsed="false">
      <c r="A886" s="8"/>
      <c r="B886" s="10" t="str">
        <f aca="false">IF(A886="","",IFERROR(VLOOKUP(A886,DonHang!$A$2:$C$500,3,FALSE()),"mã đơn chưa có"))</f>
        <v/>
      </c>
      <c r="C886" s="8"/>
      <c r="D886" s="8"/>
      <c r="E886" s="8"/>
      <c r="F886" s="13"/>
      <c r="G886" s="14"/>
      <c r="H886" s="8"/>
      <c r="I886" s="11" t="str">
        <f aca="false">IF(OR(F886="",G886=""),"",ROUND(F886*G886,0))</f>
        <v/>
      </c>
    </row>
    <row r="887" customFormat="false" ht="15" hidden="false" customHeight="false" outlineLevel="0" collapsed="false">
      <c r="A887" s="8"/>
      <c r="B887" s="10" t="str">
        <f aca="false">IF(A887="","",IFERROR(VLOOKUP(A887,DonHang!$A$2:$C$500,3,FALSE()),"mã đơn chưa có"))</f>
        <v/>
      </c>
      <c r="C887" s="8"/>
      <c r="D887" s="8"/>
      <c r="E887" s="8"/>
      <c r="F887" s="13"/>
      <c r="G887" s="14"/>
      <c r="H887" s="8"/>
      <c r="I887" s="11" t="str">
        <f aca="false">IF(OR(F887="",G887=""),"",ROUND(F887*G887,0))</f>
        <v/>
      </c>
    </row>
    <row r="888" customFormat="false" ht="15" hidden="false" customHeight="false" outlineLevel="0" collapsed="false">
      <c r="A888" s="8"/>
      <c r="B888" s="10" t="str">
        <f aca="false">IF(A888="","",IFERROR(VLOOKUP(A888,DonHang!$A$2:$C$500,3,FALSE()),"mã đơn chưa có"))</f>
        <v/>
      </c>
      <c r="C888" s="8"/>
      <c r="D888" s="8"/>
      <c r="E888" s="8"/>
      <c r="F888" s="13"/>
      <c r="G888" s="14"/>
      <c r="H888" s="8"/>
      <c r="I888" s="11" t="str">
        <f aca="false">IF(OR(F888="",G888=""),"",ROUND(F888*G888,0))</f>
        <v/>
      </c>
    </row>
    <row r="889" customFormat="false" ht="15" hidden="false" customHeight="false" outlineLevel="0" collapsed="false">
      <c r="A889" s="8"/>
      <c r="B889" s="10" t="str">
        <f aca="false">IF(A889="","",IFERROR(VLOOKUP(A889,DonHang!$A$2:$C$500,3,FALSE()),"mã đơn chưa có"))</f>
        <v/>
      </c>
      <c r="C889" s="8"/>
      <c r="D889" s="8"/>
      <c r="E889" s="8"/>
      <c r="F889" s="13"/>
      <c r="G889" s="14"/>
      <c r="H889" s="8"/>
      <c r="I889" s="11" t="str">
        <f aca="false">IF(OR(F889="",G889=""),"",ROUND(F889*G889,0))</f>
        <v/>
      </c>
    </row>
    <row r="890" customFormat="false" ht="15" hidden="false" customHeight="false" outlineLevel="0" collapsed="false">
      <c r="A890" s="8"/>
      <c r="B890" s="10" t="str">
        <f aca="false">IF(A890="","",IFERROR(VLOOKUP(A890,DonHang!$A$2:$C$500,3,FALSE()),"mã đơn chưa có"))</f>
        <v/>
      </c>
      <c r="C890" s="8"/>
      <c r="D890" s="8"/>
      <c r="E890" s="8"/>
      <c r="F890" s="13"/>
      <c r="G890" s="14"/>
      <c r="H890" s="8"/>
      <c r="I890" s="11" t="str">
        <f aca="false">IF(OR(F890="",G890=""),"",ROUND(F890*G890,0))</f>
        <v/>
      </c>
    </row>
    <row r="891" customFormat="false" ht="15" hidden="false" customHeight="false" outlineLevel="0" collapsed="false">
      <c r="A891" s="8"/>
      <c r="B891" s="10" t="str">
        <f aca="false">IF(A891="","",IFERROR(VLOOKUP(A891,DonHang!$A$2:$C$500,3,FALSE()),"mã đơn chưa có"))</f>
        <v/>
      </c>
      <c r="C891" s="8"/>
      <c r="D891" s="8"/>
      <c r="E891" s="8"/>
      <c r="F891" s="13"/>
      <c r="G891" s="14"/>
      <c r="H891" s="8"/>
      <c r="I891" s="11" t="str">
        <f aca="false">IF(OR(F891="",G891=""),"",ROUND(F891*G891,0))</f>
        <v/>
      </c>
    </row>
    <row r="892" customFormat="false" ht="15" hidden="false" customHeight="false" outlineLevel="0" collapsed="false">
      <c r="A892" s="8"/>
      <c r="B892" s="10" t="str">
        <f aca="false">IF(A892="","",IFERROR(VLOOKUP(A892,DonHang!$A$2:$C$500,3,FALSE()),"mã đơn chưa có"))</f>
        <v/>
      </c>
      <c r="C892" s="8"/>
      <c r="D892" s="8"/>
      <c r="E892" s="8"/>
      <c r="F892" s="13"/>
      <c r="G892" s="14"/>
      <c r="H892" s="8"/>
      <c r="I892" s="11" t="str">
        <f aca="false">IF(OR(F892="",G892=""),"",ROUND(F892*G892,0))</f>
        <v/>
      </c>
    </row>
    <row r="893" customFormat="false" ht="15" hidden="false" customHeight="false" outlineLevel="0" collapsed="false">
      <c r="A893" s="8"/>
      <c r="B893" s="10" t="str">
        <f aca="false">IF(A893="","",IFERROR(VLOOKUP(A893,DonHang!$A$2:$C$500,3,FALSE()),"mã đơn chưa có"))</f>
        <v/>
      </c>
      <c r="C893" s="8"/>
      <c r="D893" s="8"/>
      <c r="E893" s="8"/>
      <c r="F893" s="13"/>
      <c r="G893" s="14"/>
      <c r="H893" s="8"/>
      <c r="I893" s="11" t="str">
        <f aca="false">IF(OR(F893="",G893=""),"",ROUND(F893*G893,0))</f>
        <v/>
      </c>
    </row>
    <row r="894" customFormat="false" ht="15" hidden="false" customHeight="false" outlineLevel="0" collapsed="false">
      <c r="A894" s="8"/>
      <c r="B894" s="10" t="str">
        <f aca="false">IF(A894="","",IFERROR(VLOOKUP(A894,DonHang!$A$2:$C$500,3,FALSE()),"mã đơn chưa có"))</f>
        <v/>
      </c>
      <c r="C894" s="8"/>
      <c r="D894" s="8"/>
      <c r="E894" s="8"/>
      <c r="F894" s="13"/>
      <c r="G894" s="14"/>
      <c r="H894" s="8"/>
      <c r="I894" s="11" t="str">
        <f aca="false">IF(OR(F894="",G894=""),"",ROUND(F894*G894,0))</f>
        <v/>
      </c>
    </row>
    <row r="895" customFormat="false" ht="15" hidden="false" customHeight="false" outlineLevel="0" collapsed="false">
      <c r="A895" s="8"/>
      <c r="B895" s="10" t="str">
        <f aca="false">IF(A895="","",IFERROR(VLOOKUP(A895,DonHang!$A$2:$C$500,3,FALSE()),"mã đơn chưa có"))</f>
        <v/>
      </c>
      <c r="C895" s="8"/>
      <c r="D895" s="8"/>
      <c r="E895" s="8"/>
      <c r="F895" s="13"/>
      <c r="G895" s="14"/>
      <c r="H895" s="8"/>
      <c r="I895" s="11" t="str">
        <f aca="false">IF(OR(F895="",G895=""),"",ROUND(F895*G895,0))</f>
        <v/>
      </c>
    </row>
    <row r="896" customFormat="false" ht="15" hidden="false" customHeight="false" outlineLevel="0" collapsed="false">
      <c r="A896" s="8"/>
      <c r="B896" s="10" t="str">
        <f aca="false">IF(A896="","",IFERROR(VLOOKUP(A896,DonHang!$A$2:$C$500,3,FALSE()),"mã đơn chưa có"))</f>
        <v/>
      </c>
      <c r="C896" s="8"/>
      <c r="D896" s="8"/>
      <c r="E896" s="8"/>
      <c r="F896" s="13"/>
      <c r="G896" s="14"/>
      <c r="H896" s="8"/>
      <c r="I896" s="11" t="str">
        <f aca="false">IF(OR(F896="",G896=""),"",ROUND(F896*G896,0))</f>
        <v/>
      </c>
    </row>
    <row r="897" customFormat="false" ht="15" hidden="false" customHeight="false" outlineLevel="0" collapsed="false">
      <c r="A897" s="8"/>
      <c r="B897" s="10" t="str">
        <f aca="false">IF(A897="","",IFERROR(VLOOKUP(A897,DonHang!$A$2:$C$500,3,FALSE()),"mã đơn chưa có"))</f>
        <v/>
      </c>
      <c r="C897" s="8"/>
      <c r="D897" s="8"/>
      <c r="E897" s="8"/>
      <c r="F897" s="13"/>
      <c r="G897" s="14"/>
      <c r="H897" s="8"/>
      <c r="I897" s="11" t="str">
        <f aca="false">IF(OR(F897="",G897=""),"",ROUND(F897*G897,0))</f>
        <v/>
      </c>
    </row>
    <row r="898" customFormat="false" ht="15" hidden="false" customHeight="false" outlineLevel="0" collapsed="false">
      <c r="A898" s="8"/>
      <c r="B898" s="10" t="str">
        <f aca="false">IF(A898="","",IFERROR(VLOOKUP(A898,DonHang!$A$2:$C$500,3,FALSE()),"mã đơn chưa có"))</f>
        <v/>
      </c>
      <c r="C898" s="8"/>
      <c r="D898" s="8"/>
      <c r="E898" s="8"/>
      <c r="F898" s="13"/>
      <c r="G898" s="14"/>
      <c r="H898" s="8"/>
      <c r="I898" s="11" t="str">
        <f aca="false">IF(OR(F898="",G898=""),"",ROUND(F898*G898,0))</f>
        <v/>
      </c>
    </row>
    <row r="899" customFormat="false" ht="15" hidden="false" customHeight="false" outlineLevel="0" collapsed="false">
      <c r="A899" s="8"/>
      <c r="B899" s="10" t="str">
        <f aca="false">IF(A899="","",IFERROR(VLOOKUP(A899,DonHang!$A$2:$C$500,3,FALSE()),"mã đơn chưa có"))</f>
        <v/>
      </c>
      <c r="C899" s="8"/>
      <c r="D899" s="8"/>
      <c r="E899" s="8"/>
      <c r="F899" s="13"/>
      <c r="G899" s="14"/>
      <c r="H899" s="8"/>
      <c r="I899" s="11" t="str">
        <f aca="false">IF(OR(F899="",G899=""),"",ROUND(F899*G899,0))</f>
        <v/>
      </c>
    </row>
    <row r="900" customFormat="false" ht="15" hidden="false" customHeight="false" outlineLevel="0" collapsed="false">
      <c r="A900" s="8"/>
      <c r="B900" s="10" t="str">
        <f aca="false">IF(A900="","",IFERROR(VLOOKUP(A900,DonHang!$A$2:$C$500,3,FALSE()),"mã đơn chưa có"))</f>
        <v/>
      </c>
      <c r="C900" s="8"/>
      <c r="D900" s="8"/>
      <c r="E900" s="8"/>
      <c r="F900" s="13"/>
      <c r="G900" s="14"/>
      <c r="H900" s="8"/>
      <c r="I900" s="11" t="str">
        <f aca="false">IF(OR(F900="",G900=""),"",ROUND(F900*G900,0))</f>
        <v/>
      </c>
    </row>
    <row r="901" customFormat="false" ht="15" hidden="false" customHeight="false" outlineLevel="0" collapsed="false">
      <c r="A901" s="8"/>
      <c r="B901" s="10" t="str">
        <f aca="false">IF(A901="","",IFERROR(VLOOKUP(A901,DonHang!$A$2:$C$500,3,FALSE()),"mã đơn chưa có"))</f>
        <v/>
      </c>
      <c r="C901" s="8"/>
      <c r="D901" s="8"/>
      <c r="E901" s="8"/>
      <c r="F901" s="13"/>
      <c r="G901" s="14"/>
      <c r="H901" s="8"/>
      <c r="I901" s="11" t="str">
        <f aca="false">IF(OR(F901="",G901=""),"",ROUND(F901*G901,0))</f>
        <v/>
      </c>
    </row>
    <row r="902" customFormat="false" ht="15" hidden="false" customHeight="false" outlineLevel="0" collapsed="false">
      <c r="A902" s="8"/>
      <c r="B902" s="10" t="str">
        <f aca="false">IF(A902="","",IFERROR(VLOOKUP(A902,DonHang!$A$2:$C$500,3,FALSE()),"mã đơn chưa có"))</f>
        <v/>
      </c>
      <c r="C902" s="8"/>
      <c r="D902" s="8"/>
      <c r="E902" s="8"/>
      <c r="F902" s="13"/>
      <c r="G902" s="14"/>
      <c r="H902" s="8"/>
      <c r="I902" s="11" t="str">
        <f aca="false">IF(OR(F902="",G902=""),"",ROUND(F902*G902,0))</f>
        <v/>
      </c>
    </row>
    <row r="903" customFormat="false" ht="15" hidden="false" customHeight="false" outlineLevel="0" collapsed="false">
      <c r="A903" s="8"/>
      <c r="B903" s="10" t="str">
        <f aca="false">IF(A903="","",IFERROR(VLOOKUP(A903,DonHang!$A$2:$C$500,3,FALSE()),"mã đơn chưa có"))</f>
        <v/>
      </c>
      <c r="C903" s="8"/>
      <c r="D903" s="8"/>
      <c r="E903" s="8"/>
      <c r="F903" s="13"/>
      <c r="G903" s="14"/>
      <c r="H903" s="8"/>
      <c r="I903" s="11" t="str">
        <f aca="false">IF(OR(F903="",G903=""),"",ROUND(F903*G903,0))</f>
        <v/>
      </c>
    </row>
    <row r="904" customFormat="false" ht="15" hidden="false" customHeight="false" outlineLevel="0" collapsed="false">
      <c r="A904" s="8"/>
      <c r="B904" s="10" t="str">
        <f aca="false">IF(A904="","",IFERROR(VLOOKUP(A904,DonHang!$A$2:$C$500,3,FALSE()),"mã đơn chưa có"))</f>
        <v/>
      </c>
      <c r="C904" s="8"/>
      <c r="D904" s="8"/>
      <c r="E904" s="8"/>
      <c r="F904" s="13"/>
      <c r="G904" s="14"/>
      <c r="H904" s="8"/>
      <c r="I904" s="11" t="str">
        <f aca="false">IF(OR(F904="",G904=""),"",ROUND(F904*G904,0))</f>
        <v/>
      </c>
    </row>
    <row r="905" customFormat="false" ht="15" hidden="false" customHeight="false" outlineLevel="0" collapsed="false">
      <c r="A905" s="8"/>
      <c r="B905" s="10" t="str">
        <f aca="false">IF(A905="","",IFERROR(VLOOKUP(A905,DonHang!$A$2:$C$500,3,FALSE()),"mã đơn chưa có"))</f>
        <v/>
      </c>
      <c r="C905" s="8"/>
      <c r="D905" s="8"/>
      <c r="E905" s="8"/>
      <c r="F905" s="13"/>
      <c r="G905" s="14"/>
      <c r="H905" s="8"/>
      <c r="I905" s="11" t="str">
        <f aca="false">IF(OR(F905="",G905=""),"",ROUND(F905*G905,0))</f>
        <v/>
      </c>
    </row>
    <row r="906" customFormat="false" ht="15" hidden="false" customHeight="false" outlineLevel="0" collapsed="false">
      <c r="A906" s="8"/>
      <c r="B906" s="10" t="str">
        <f aca="false">IF(A906="","",IFERROR(VLOOKUP(A906,DonHang!$A$2:$C$500,3,FALSE()),"mã đơn chưa có"))</f>
        <v/>
      </c>
      <c r="C906" s="8"/>
      <c r="D906" s="8"/>
      <c r="E906" s="8"/>
      <c r="F906" s="13"/>
      <c r="G906" s="14"/>
      <c r="H906" s="8"/>
      <c r="I906" s="11" t="str">
        <f aca="false">IF(OR(F906="",G906=""),"",ROUND(F906*G906,0))</f>
        <v/>
      </c>
    </row>
    <row r="907" customFormat="false" ht="15" hidden="false" customHeight="false" outlineLevel="0" collapsed="false">
      <c r="A907" s="8"/>
      <c r="B907" s="10" t="str">
        <f aca="false">IF(A907="","",IFERROR(VLOOKUP(A907,DonHang!$A$2:$C$500,3,FALSE()),"mã đơn chưa có"))</f>
        <v/>
      </c>
      <c r="C907" s="8"/>
      <c r="D907" s="8"/>
      <c r="E907" s="8"/>
      <c r="F907" s="13"/>
      <c r="G907" s="14"/>
      <c r="H907" s="8"/>
      <c r="I907" s="11" t="str">
        <f aca="false">IF(OR(F907="",G907=""),"",ROUND(F907*G907,0))</f>
        <v/>
      </c>
    </row>
    <row r="908" customFormat="false" ht="15" hidden="false" customHeight="false" outlineLevel="0" collapsed="false">
      <c r="A908" s="8"/>
      <c r="B908" s="10" t="str">
        <f aca="false">IF(A908="","",IFERROR(VLOOKUP(A908,DonHang!$A$2:$C$500,3,FALSE()),"mã đơn chưa có"))</f>
        <v/>
      </c>
      <c r="C908" s="8"/>
      <c r="D908" s="8"/>
      <c r="E908" s="8"/>
      <c r="F908" s="13"/>
      <c r="G908" s="14"/>
      <c r="H908" s="8"/>
      <c r="I908" s="11" t="str">
        <f aca="false">IF(OR(F908="",G908=""),"",ROUND(F908*G908,0))</f>
        <v/>
      </c>
    </row>
    <row r="909" customFormat="false" ht="15" hidden="false" customHeight="false" outlineLevel="0" collapsed="false">
      <c r="A909" s="8"/>
      <c r="B909" s="10" t="str">
        <f aca="false">IF(A909="","",IFERROR(VLOOKUP(A909,DonHang!$A$2:$C$500,3,FALSE()),"mã đơn chưa có"))</f>
        <v/>
      </c>
      <c r="C909" s="8"/>
      <c r="D909" s="8"/>
      <c r="E909" s="8"/>
      <c r="F909" s="13"/>
      <c r="G909" s="14"/>
      <c r="H909" s="8"/>
      <c r="I909" s="11" t="str">
        <f aca="false">IF(OR(F909="",G909=""),"",ROUND(F909*G909,0))</f>
        <v/>
      </c>
    </row>
    <row r="910" customFormat="false" ht="15" hidden="false" customHeight="false" outlineLevel="0" collapsed="false">
      <c r="A910" s="8"/>
      <c r="B910" s="10" t="str">
        <f aca="false">IF(A910="","",IFERROR(VLOOKUP(A910,DonHang!$A$2:$C$500,3,FALSE()),"mã đơn chưa có"))</f>
        <v/>
      </c>
      <c r="C910" s="8"/>
      <c r="D910" s="8"/>
      <c r="E910" s="8"/>
      <c r="F910" s="13"/>
      <c r="G910" s="14"/>
      <c r="H910" s="8"/>
      <c r="I910" s="11" t="str">
        <f aca="false">IF(OR(F910="",G910=""),"",ROUND(F910*G910,0))</f>
        <v/>
      </c>
    </row>
    <row r="911" customFormat="false" ht="15" hidden="false" customHeight="false" outlineLevel="0" collapsed="false">
      <c r="A911" s="8"/>
      <c r="B911" s="10" t="str">
        <f aca="false">IF(A911="","",IFERROR(VLOOKUP(A911,DonHang!$A$2:$C$500,3,FALSE()),"mã đơn chưa có"))</f>
        <v/>
      </c>
      <c r="C911" s="8"/>
      <c r="D911" s="8"/>
      <c r="E911" s="8"/>
      <c r="F911" s="13"/>
      <c r="G911" s="14"/>
      <c r="H911" s="8"/>
      <c r="I911" s="11" t="str">
        <f aca="false">IF(OR(F911="",G911=""),"",ROUND(F911*G911,0))</f>
        <v/>
      </c>
    </row>
    <row r="912" customFormat="false" ht="15" hidden="false" customHeight="false" outlineLevel="0" collapsed="false">
      <c r="A912" s="8"/>
      <c r="B912" s="10" t="str">
        <f aca="false">IF(A912="","",IFERROR(VLOOKUP(A912,DonHang!$A$2:$C$500,3,FALSE()),"mã đơn chưa có"))</f>
        <v/>
      </c>
      <c r="C912" s="8"/>
      <c r="D912" s="8"/>
      <c r="E912" s="8"/>
      <c r="F912" s="13"/>
      <c r="G912" s="14"/>
      <c r="H912" s="8"/>
      <c r="I912" s="11" t="str">
        <f aca="false">IF(OR(F912="",G912=""),"",ROUND(F912*G912,0))</f>
        <v/>
      </c>
    </row>
    <row r="913" customFormat="false" ht="15" hidden="false" customHeight="false" outlineLevel="0" collapsed="false">
      <c r="A913" s="8"/>
      <c r="B913" s="10" t="str">
        <f aca="false">IF(A913="","",IFERROR(VLOOKUP(A913,DonHang!$A$2:$C$500,3,FALSE()),"mã đơn chưa có"))</f>
        <v/>
      </c>
      <c r="C913" s="8"/>
      <c r="D913" s="8"/>
      <c r="E913" s="8"/>
      <c r="F913" s="13"/>
      <c r="G913" s="14"/>
      <c r="H913" s="8"/>
      <c r="I913" s="11" t="str">
        <f aca="false">IF(OR(F913="",G913=""),"",ROUND(F913*G913,0))</f>
        <v/>
      </c>
    </row>
    <row r="914" customFormat="false" ht="15" hidden="false" customHeight="false" outlineLevel="0" collapsed="false">
      <c r="A914" s="8"/>
      <c r="B914" s="10" t="str">
        <f aca="false">IF(A914="","",IFERROR(VLOOKUP(A914,DonHang!$A$2:$C$500,3,FALSE()),"mã đơn chưa có"))</f>
        <v/>
      </c>
      <c r="C914" s="8"/>
      <c r="D914" s="8"/>
      <c r="E914" s="8"/>
      <c r="F914" s="13"/>
      <c r="G914" s="14"/>
      <c r="H914" s="8"/>
      <c r="I914" s="11" t="str">
        <f aca="false">IF(OR(F914="",G914=""),"",ROUND(F914*G914,0))</f>
        <v/>
      </c>
    </row>
    <row r="915" customFormat="false" ht="15" hidden="false" customHeight="false" outlineLevel="0" collapsed="false">
      <c r="A915" s="8"/>
      <c r="B915" s="10" t="str">
        <f aca="false">IF(A915="","",IFERROR(VLOOKUP(A915,DonHang!$A$2:$C$500,3,FALSE()),"mã đơn chưa có"))</f>
        <v/>
      </c>
      <c r="C915" s="8"/>
      <c r="D915" s="8"/>
      <c r="E915" s="8"/>
      <c r="F915" s="13"/>
      <c r="G915" s="14"/>
      <c r="H915" s="8"/>
      <c r="I915" s="11" t="str">
        <f aca="false">IF(OR(F915="",G915=""),"",ROUND(F915*G915,0))</f>
        <v/>
      </c>
    </row>
    <row r="916" customFormat="false" ht="15" hidden="false" customHeight="false" outlineLevel="0" collapsed="false">
      <c r="A916" s="8"/>
      <c r="B916" s="10" t="str">
        <f aca="false">IF(A916="","",IFERROR(VLOOKUP(A916,DonHang!$A$2:$C$500,3,FALSE()),"mã đơn chưa có"))</f>
        <v/>
      </c>
      <c r="C916" s="8"/>
      <c r="D916" s="8"/>
      <c r="E916" s="8"/>
      <c r="F916" s="13"/>
      <c r="G916" s="14"/>
      <c r="H916" s="8"/>
      <c r="I916" s="11" t="str">
        <f aca="false">IF(OR(F916="",G916=""),"",ROUND(F916*G916,0))</f>
        <v/>
      </c>
    </row>
    <row r="917" customFormat="false" ht="15" hidden="false" customHeight="false" outlineLevel="0" collapsed="false">
      <c r="A917" s="8"/>
      <c r="B917" s="10" t="str">
        <f aca="false">IF(A917="","",IFERROR(VLOOKUP(A917,DonHang!$A$2:$C$500,3,FALSE()),"mã đơn chưa có"))</f>
        <v/>
      </c>
      <c r="C917" s="8"/>
      <c r="D917" s="8"/>
      <c r="E917" s="8"/>
      <c r="F917" s="13"/>
      <c r="G917" s="14"/>
      <c r="H917" s="8"/>
      <c r="I917" s="11" t="str">
        <f aca="false">IF(OR(F917="",G917=""),"",ROUND(F917*G917,0))</f>
        <v/>
      </c>
    </row>
    <row r="918" customFormat="false" ht="15" hidden="false" customHeight="false" outlineLevel="0" collapsed="false">
      <c r="A918" s="8"/>
      <c r="B918" s="10" t="str">
        <f aca="false">IF(A918="","",IFERROR(VLOOKUP(A918,DonHang!$A$2:$C$500,3,FALSE()),"mã đơn chưa có"))</f>
        <v/>
      </c>
      <c r="C918" s="8"/>
      <c r="D918" s="8"/>
      <c r="E918" s="8"/>
      <c r="F918" s="13"/>
      <c r="G918" s="14"/>
      <c r="H918" s="8"/>
      <c r="I918" s="11" t="str">
        <f aca="false">IF(OR(F918="",G918=""),"",ROUND(F918*G918,0))</f>
        <v/>
      </c>
    </row>
    <row r="919" customFormat="false" ht="15" hidden="false" customHeight="false" outlineLevel="0" collapsed="false">
      <c r="A919" s="8"/>
      <c r="B919" s="10" t="str">
        <f aca="false">IF(A919="","",IFERROR(VLOOKUP(A919,DonHang!$A$2:$C$500,3,FALSE()),"mã đơn chưa có"))</f>
        <v/>
      </c>
      <c r="C919" s="8"/>
      <c r="D919" s="8"/>
      <c r="E919" s="8"/>
      <c r="F919" s="13"/>
      <c r="G919" s="14"/>
      <c r="H919" s="8"/>
      <c r="I919" s="11" t="str">
        <f aca="false">IF(OR(F919="",G919=""),"",ROUND(F919*G919,0))</f>
        <v/>
      </c>
    </row>
    <row r="920" customFormat="false" ht="15" hidden="false" customHeight="false" outlineLevel="0" collapsed="false">
      <c r="A920" s="8"/>
      <c r="B920" s="10" t="str">
        <f aca="false">IF(A920="","",IFERROR(VLOOKUP(A920,DonHang!$A$2:$C$500,3,FALSE()),"mã đơn chưa có"))</f>
        <v/>
      </c>
      <c r="C920" s="8"/>
      <c r="D920" s="8"/>
      <c r="E920" s="8"/>
      <c r="F920" s="13"/>
      <c r="G920" s="14"/>
      <c r="H920" s="8"/>
      <c r="I920" s="11" t="str">
        <f aca="false">IF(OR(F920="",G920=""),"",ROUND(F920*G920,0))</f>
        <v/>
      </c>
    </row>
    <row r="921" customFormat="false" ht="15" hidden="false" customHeight="false" outlineLevel="0" collapsed="false">
      <c r="A921" s="8"/>
      <c r="B921" s="10" t="str">
        <f aca="false">IF(A921="","",IFERROR(VLOOKUP(A921,DonHang!$A$2:$C$500,3,FALSE()),"mã đơn chưa có"))</f>
        <v/>
      </c>
      <c r="C921" s="8"/>
      <c r="D921" s="8"/>
      <c r="E921" s="8"/>
      <c r="F921" s="13"/>
      <c r="G921" s="14"/>
      <c r="H921" s="8"/>
      <c r="I921" s="11" t="str">
        <f aca="false">IF(OR(F921="",G921=""),"",ROUND(F921*G921,0))</f>
        <v/>
      </c>
    </row>
    <row r="922" customFormat="false" ht="15" hidden="false" customHeight="false" outlineLevel="0" collapsed="false">
      <c r="A922" s="8"/>
      <c r="B922" s="10" t="str">
        <f aca="false">IF(A922="","",IFERROR(VLOOKUP(A922,DonHang!$A$2:$C$500,3,FALSE()),"mã đơn chưa có"))</f>
        <v/>
      </c>
      <c r="C922" s="8"/>
      <c r="D922" s="8"/>
      <c r="E922" s="8"/>
      <c r="F922" s="13"/>
      <c r="G922" s="14"/>
      <c r="H922" s="8"/>
      <c r="I922" s="11" t="str">
        <f aca="false">IF(OR(F922="",G922=""),"",ROUND(F922*G922,0))</f>
        <v/>
      </c>
    </row>
    <row r="923" customFormat="false" ht="15" hidden="false" customHeight="false" outlineLevel="0" collapsed="false">
      <c r="A923" s="8"/>
      <c r="B923" s="10" t="str">
        <f aca="false">IF(A923="","",IFERROR(VLOOKUP(A923,DonHang!$A$2:$C$500,3,FALSE()),"mã đơn chưa có"))</f>
        <v/>
      </c>
      <c r="C923" s="8"/>
      <c r="D923" s="8"/>
      <c r="E923" s="8"/>
      <c r="F923" s="13"/>
      <c r="G923" s="14"/>
      <c r="H923" s="8"/>
      <c r="I923" s="11" t="str">
        <f aca="false">IF(OR(F923="",G923=""),"",ROUND(F923*G923,0))</f>
        <v/>
      </c>
    </row>
    <row r="924" customFormat="false" ht="15" hidden="false" customHeight="false" outlineLevel="0" collapsed="false">
      <c r="A924" s="8"/>
      <c r="B924" s="10" t="str">
        <f aca="false">IF(A924="","",IFERROR(VLOOKUP(A924,DonHang!$A$2:$C$500,3,FALSE()),"mã đơn chưa có"))</f>
        <v/>
      </c>
      <c r="C924" s="8"/>
      <c r="D924" s="8"/>
      <c r="E924" s="8"/>
      <c r="F924" s="13"/>
      <c r="G924" s="14"/>
      <c r="H924" s="8"/>
      <c r="I924" s="11" t="str">
        <f aca="false">IF(OR(F924="",G924=""),"",ROUND(F924*G924,0))</f>
        <v/>
      </c>
    </row>
    <row r="925" customFormat="false" ht="15" hidden="false" customHeight="false" outlineLevel="0" collapsed="false">
      <c r="A925" s="8"/>
      <c r="B925" s="10" t="str">
        <f aca="false">IF(A925="","",IFERROR(VLOOKUP(A925,DonHang!$A$2:$C$500,3,FALSE()),"mã đơn chưa có"))</f>
        <v/>
      </c>
      <c r="C925" s="8"/>
      <c r="D925" s="8"/>
      <c r="E925" s="8"/>
      <c r="F925" s="13"/>
      <c r="G925" s="14"/>
      <c r="H925" s="8"/>
      <c r="I925" s="11" t="str">
        <f aca="false">IF(OR(F925="",G925=""),"",ROUND(F925*G925,0))</f>
        <v/>
      </c>
    </row>
    <row r="926" customFormat="false" ht="15" hidden="false" customHeight="false" outlineLevel="0" collapsed="false">
      <c r="A926" s="8"/>
      <c r="B926" s="10" t="str">
        <f aca="false">IF(A926="","",IFERROR(VLOOKUP(A926,DonHang!$A$2:$C$500,3,FALSE()),"mã đơn chưa có"))</f>
        <v/>
      </c>
      <c r="C926" s="8"/>
      <c r="D926" s="8"/>
      <c r="E926" s="8"/>
      <c r="F926" s="13"/>
      <c r="G926" s="14"/>
      <c r="H926" s="8"/>
      <c r="I926" s="11" t="str">
        <f aca="false">IF(OR(F926="",G926=""),"",ROUND(F926*G926,0))</f>
        <v/>
      </c>
    </row>
    <row r="927" customFormat="false" ht="15" hidden="false" customHeight="false" outlineLevel="0" collapsed="false">
      <c r="A927" s="8"/>
      <c r="B927" s="10" t="str">
        <f aca="false">IF(A927="","",IFERROR(VLOOKUP(A927,DonHang!$A$2:$C$500,3,FALSE()),"mã đơn chưa có"))</f>
        <v/>
      </c>
      <c r="C927" s="8"/>
      <c r="D927" s="8"/>
      <c r="E927" s="8"/>
      <c r="F927" s="13"/>
      <c r="G927" s="14"/>
      <c r="H927" s="8"/>
      <c r="I927" s="11" t="str">
        <f aca="false">IF(OR(F927="",G927=""),"",ROUND(F927*G927,0))</f>
        <v/>
      </c>
    </row>
    <row r="928" customFormat="false" ht="15" hidden="false" customHeight="false" outlineLevel="0" collapsed="false">
      <c r="A928" s="8"/>
      <c r="B928" s="10" t="str">
        <f aca="false">IF(A928="","",IFERROR(VLOOKUP(A928,DonHang!$A$2:$C$500,3,FALSE()),"mã đơn chưa có"))</f>
        <v/>
      </c>
      <c r="C928" s="8"/>
      <c r="D928" s="8"/>
      <c r="E928" s="8"/>
      <c r="F928" s="13"/>
      <c r="G928" s="14"/>
      <c r="H928" s="8"/>
      <c r="I928" s="11" t="str">
        <f aca="false">IF(OR(F928="",G928=""),"",ROUND(F928*G928,0))</f>
        <v/>
      </c>
    </row>
    <row r="929" customFormat="false" ht="15" hidden="false" customHeight="false" outlineLevel="0" collapsed="false">
      <c r="A929" s="8"/>
      <c r="B929" s="10" t="str">
        <f aca="false">IF(A929="","",IFERROR(VLOOKUP(A929,DonHang!$A$2:$C$500,3,FALSE()),"mã đơn chưa có"))</f>
        <v/>
      </c>
      <c r="C929" s="8"/>
      <c r="D929" s="8"/>
      <c r="E929" s="8"/>
      <c r="F929" s="13"/>
      <c r="G929" s="14"/>
      <c r="H929" s="8"/>
      <c r="I929" s="11" t="str">
        <f aca="false">IF(OR(F929="",G929=""),"",ROUND(F929*G929,0))</f>
        <v/>
      </c>
    </row>
    <row r="930" customFormat="false" ht="15" hidden="false" customHeight="false" outlineLevel="0" collapsed="false">
      <c r="A930" s="8"/>
      <c r="B930" s="10" t="str">
        <f aca="false">IF(A930="","",IFERROR(VLOOKUP(A930,DonHang!$A$2:$C$500,3,FALSE()),"mã đơn chưa có"))</f>
        <v/>
      </c>
      <c r="C930" s="8"/>
      <c r="D930" s="8"/>
      <c r="E930" s="8"/>
      <c r="F930" s="13"/>
      <c r="G930" s="14"/>
      <c r="H930" s="8"/>
      <c r="I930" s="11" t="str">
        <f aca="false">IF(OR(F930="",G930=""),"",ROUND(F930*G930,0))</f>
        <v/>
      </c>
    </row>
    <row r="931" customFormat="false" ht="15" hidden="false" customHeight="false" outlineLevel="0" collapsed="false">
      <c r="A931" s="8"/>
      <c r="B931" s="10" t="str">
        <f aca="false">IF(A931="","",IFERROR(VLOOKUP(A931,DonHang!$A$2:$C$500,3,FALSE()),"mã đơn chưa có"))</f>
        <v/>
      </c>
      <c r="C931" s="8"/>
      <c r="D931" s="8"/>
      <c r="E931" s="8"/>
      <c r="F931" s="13"/>
      <c r="G931" s="14"/>
      <c r="H931" s="8"/>
      <c r="I931" s="11" t="str">
        <f aca="false">IF(OR(F931="",G931=""),"",ROUND(F931*G931,0))</f>
        <v/>
      </c>
    </row>
    <row r="932" customFormat="false" ht="15" hidden="false" customHeight="false" outlineLevel="0" collapsed="false">
      <c r="A932" s="8"/>
      <c r="B932" s="10" t="str">
        <f aca="false">IF(A932="","",IFERROR(VLOOKUP(A932,DonHang!$A$2:$C$500,3,FALSE()),"mã đơn chưa có"))</f>
        <v/>
      </c>
      <c r="C932" s="8"/>
      <c r="D932" s="8"/>
      <c r="E932" s="8"/>
      <c r="F932" s="13"/>
      <c r="G932" s="14"/>
      <c r="H932" s="8"/>
      <c r="I932" s="11" t="str">
        <f aca="false">IF(OR(F932="",G932=""),"",ROUND(F932*G932,0))</f>
        <v/>
      </c>
    </row>
    <row r="933" customFormat="false" ht="15" hidden="false" customHeight="false" outlineLevel="0" collapsed="false">
      <c r="A933" s="8"/>
      <c r="B933" s="10" t="str">
        <f aca="false">IF(A933="","",IFERROR(VLOOKUP(A933,DonHang!$A$2:$C$500,3,FALSE()),"mã đơn chưa có"))</f>
        <v/>
      </c>
      <c r="C933" s="8"/>
      <c r="D933" s="8"/>
      <c r="E933" s="8"/>
      <c r="F933" s="13"/>
      <c r="G933" s="14"/>
      <c r="H933" s="8"/>
      <c r="I933" s="11" t="str">
        <f aca="false">IF(OR(F933="",G933=""),"",ROUND(F933*G933,0))</f>
        <v/>
      </c>
    </row>
    <row r="934" customFormat="false" ht="15" hidden="false" customHeight="false" outlineLevel="0" collapsed="false">
      <c r="A934" s="8"/>
      <c r="B934" s="10" t="str">
        <f aca="false">IF(A934="","",IFERROR(VLOOKUP(A934,DonHang!$A$2:$C$500,3,FALSE()),"mã đơn chưa có"))</f>
        <v/>
      </c>
      <c r="C934" s="8"/>
      <c r="D934" s="8"/>
      <c r="E934" s="8"/>
      <c r="F934" s="13"/>
      <c r="G934" s="14"/>
      <c r="H934" s="8"/>
      <c r="I934" s="11" t="str">
        <f aca="false">IF(OR(F934="",G934=""),"",ROUND(F934*G934,0))</f>
        <v/>
      </c>
    </row>
    <row r="935" customFormat="false" ht="15" hidden="false" customHeight="false" outlineLevel="0" collapsed="false">
      <c r="A935" s="8"/>
      <c r="B935" s="10" t="str">
        <f aca="false">IF(A935="","",IFERROR(VLOOKUP(A935,DonHang!$A$2:$C$500,3,FALSE()),"mã đơn chưa có"))</f>
        <v/>
      </c>
      <c r="C935" s="8"/>
      <c r="D935" s="8"/>
      <c r="E935" s="8"/>
      <c r="F935" s="13"/>
      <c r="G935" s="14"/>
      <c r="H935" s="8"/>
      <c r="I935" s="11" t="str">
        <f aca="false">IF(OR(F935="",G935=""),"",ROUND(F935*G935,0))</f>
        <v/>
      </c>
    </row>
    <row r="936" customFormat="false" ht="15" hidden="false" customHeight="false" outlineLevel="0" collapsed="false">
      <c r="A936" s="8"/>
      <c r="B936" s="10" t="str">
        <f aca="false">IF(A936="","",IFERROR(VLOOKUP(A936,DonHang!$A$2:$C$500,3,FALSE()),"mã đơn chưa có"))</f>
        <v/>
      </c>
      <c r="C936" s="8"/>
      <c r="D936" s="8"/>
      <c r="E936" s="8"/>
      <c r="F936" s="13"/>
      <c r="G936" s="14"/>
      <c r="H936" s="8"/>
      <c r="I936" s="11" t="str">
        <f aca="false">IF(OR(F936="",G936=""),"",ROUND(F936*G936,0))</f>
        <v/>
      </c>
    </row>
    <row r="937" customFormat="false" ht="15" hidden="false" customHeight="false" outlineLevel="0" collapsed="false">
      <c r="A937" s="8"/>
      <c r="B937" s="10" t="str">
        <f aca="false">IF(A937="","",IFERROR(VLOOKUP(A937,DonHang!$A$2:$C$500,3,FALSE()),"mã đơn chưa có"))</f>
        <v/>
      </c>
      <c r="C937" s="8"/>
      <c r="D937" s="8"/>
      <c r="E937" s="8"/>
      <c r="F937" s="13"/>
      <c r="G937" s="14"/>
      <c r="H937" s="8"/>
      <c r="I937" s="11" t="str">
        <f aca="false">IF(OR(F937="",G937=""),"",ROUND(F937*G937,0))</f>
        <v/>
      </c>
    </row>
    <row r="938" customFormat="false" ht="15" hidden="false" customHeight="false" outlineLevel="0" collapsed="false">
      <c r="A938" s="8"/>
      <c r="B938" s="10" t="str">
        <f aca="false">IF(A938="","",IFERROR(VLOOKUP(A938,DonHang!$A$2:$C$500,3,FALSE()),"mã đơn chưa có"))</f>
        <v/>
      </c>
      <c r="C938" s="8"/>
      <c r="D938" s="8"/>
      <c r="E938" s="8"/>
      <c r="F938" s="13"/>
      <c r="G938" s="14"/>
      <c r="H938" s="8"/>
      <c r="I938" s="11" t="str">
        <f aca="false">IF(OR(F938="",G938=""),"",ROUND(F938*G938,0))</f>
        <v/>
      </c>
    </row>
    <row r="939" customFormat="false" ht="15" hidden="false" customHeight="false" outlineLevel="0" collapsed="false">
      <c r="A939" s="8"/>
      <c r="B939" s="10" t="str">
        <f aca="false">IF(A939="","",IFERROR(VLOOKUP(A939,DonHang!$A$2:$C$500,3,FALSE()),"mã đơn chưa có"))</f>
        <v/>
      </c>
      <c r="C939" s="8"/>
      <c r="D939" s="8"/>
      <c r="E939" s="8"/>
      <c r="F939" s="13"/>
      <c r="G939" s="14"/>
      <c r="H939" s="8"/>
      <c r="I939" s="11" t="str">
        <f aca="false">IF(OR(F939="",G939=""),"",ROUND(F939*G939,0))</f>
        <v/>
      </c>
    </row>
    <row r="940" customFormat="false" ht="15" hidden="false" customHeight="false" outlineLevel="0" collapsed="false">
      <c r="A940" s="8"/>
      <c r="B940" s="10" t="str">
        <f aca="false">IF(A940="","",IFERROR(VLOOKUP(A940,DonHang!$A$2:$C$500,3,FALSE()),"mã đơn chưa có"))</f>
        <v/>
      </c>
      <c r="C940" s="8"/>
      <c r="D940" s="8"/>
      <c r="E940" s="8"/>
      <c r="F940" s="13"/>
      <c r="G940" s="14"/>
      <c r="H940" s="8"/>
      <c r="I940" s="11" t="str">
        <f aca="false">IF(OR(F940="",G940=""),"",ROUND(F940*G940,0))</f>
        <v/>
      </c>
    </row>
    <row r="941" customFormat="false" ht="15" hidden="false" customHeight="false" outlineLevel="0" collapsed="false">
      <c r="A941" s="8"/>
      <c r="B941" s="10" t="str">
        <f aca="false">IF(A941="","",IFERROR(VLOOKUP(A941,DonHang!$A$2:$C$500,3,FALSE()),"mã đơn chưa có"))</f>
        <v/>
      </c>
      <c r="C941" s="8"/>
      <c r="D941" s="8"/>
      <c r="E941" s="8"/>
      <c r="F941" s="13"/>
      <c r="G941" s="14"/>
      <c r="H941" s="8"/>
      <c r="I941" s="11" t="str">
        <f aca="false">IF(OR(F941="",G941=""),"",ROUND(F941*G941,0))</f>
        <v/>
      </c>
    </row>
    <row r="942" customFormat="false" ht="15" hidden="false" customHeight="false" outlineLevel="0" collapsed="false">
      <c r="A942" s="8"/>
      <c r="B942" s="10" t="str">
        <f aca="false">IF(A942="","",IFERROR(VLOOKUP(A942,DonHang!$A$2:$C$500,3,FALSE()),"mã đơn chưa có"))</f>
        <v/>
      </c>
      <c r="C942" s="8"/>
      <c r="D942" s="8"/>
      <c r="E942" s="8"/>
      <c r="F942" s="13"/>
      <c r="G942" s="14"/>
      <c r="H942" s="8"/>
      <c r="I942" s="11" t="str">
        <f aca="false">IF(OR(F942="",G942=""),"",ROUND(F942*G942,0))</f>
        <v/>
      </c>
    </row>
    <row r="943" customFormat="false" ht="15" hidden="false" customHeight="false" outlineLevel="0" collapsed="false">
      <c r="A943" s="8"/>
      <c r="B943" s="10" t="str">
        <f aca="false">IF(A943="","",IFERROR(VLOOKUP(A943,DonHang!$A$2:$C$500,3,FALSE()),"mã đơn chưa có"))</f>
        <v/>
      </c>
      <c r="C943" s="8"/>
      <c r="D943" s="8"/>
      <c r="E943" s="8"/>
      <c r="F943" s="13"/>
      <c r="G943" s="14"/>
      <c r="H943" s="8"/>
      <c r="I943" s="11" t="str">
        <f aca="false">IF(OR(F943="",G943=""),"",ROUND(F943*G943,0))</f>
        <v/>
      </c>
    </row>
    <row r="944" customFormat="false" ht="15" hidden="false" customHeight="false" outlineLevel="0" collapsed="false">
      <c r="A944" s="8"/>
      <c r="B944" s="10" t="str">
        <f aca="false">IF(A944="","",IFERROR(VLOOKUP(A944,DonHang!$A$2:$C$500,3,FALSE()),"mã đơn chưa có"))</f>
        <v/>
      </c>
      <c r="C944" s="8"/>
      <c r="D944" s="8"/>
      <c r="E944" s="8"/>
      <c r="F944" s="13"/>
      <c r="G944" s="14"/>
      <c r="H944" s="8"/>
      <c r="I944" s="11" t="str">
        <f aca="false">IF(OR(F944="",G944=""),"",ROUND(F944*G944,0))</f>
        <v/>
      </c>
    </row>
    <row r="945" customFormat="false" ht="15" hidden="false" customHeight="false" outlineLevel="0" collapsed="false">
      <c r="A945" s="8"/>
      <c r="B945" s="10" t="str">
        <f aca="false">IF(A945="","",IFERROR(VLOOKUP(A945,DonHang!$A$2:$C$500,3,FALSE()),"mã đơn chưa có"))</f>
        <v/>
      </c>
      <c r="C945" s="8"/>
      <c r="D945" s="8"/>
      <c r="E945" s="8"/>
      <c r="F945" s="13"/>
      <c r="G945" s="14"/>
      <c r="H945" s="8"/>
      <c r="I945" s="11" t="str">
        <f aca="false">IF(OR(F945="",G945=""),"",ROUND(F945*G945,0))</f>
        <v/>
      </c>
    </row>
    <row r="946" customFormat="false" ht="15" hidden="false" customHeight="false" outlineLevel="0" collapsed="false">
      <c r="A946" s="8"/>
      <c r="B946" s="10" t="str">
        <f aca="false">IF(A946="","",IFERROR(VLOOKUP(A946,DonHang!$A$2:$C$500,3,FALSE()),"mã đơn chưa có"))</f>
        <v/>
      </c>
      <c r="C946" s="8"/>
      <c r="D946" s="8"/>
      <c r="E946" s="8"/>
      <c r="F946" s="13"/>
      <c r="G946" s="14"/>
      <c r="H946" s="8"/>
      <c r="I946" s="11" t="str">
        <f aca="false">IF(OR(F946="",G946=""),"",ROUND(F946*G946,0))</f>
        <v/>
      </c>
    </row>
    <row r="947" customFormat="false" ht="15" hidden="false" customHeight="false" outlineLevel="0" collapsed="false">
      <c r="A947" s="8"/>
      <c r="B947" s="10" t="str">
        <f aca="false">IF(A947="","",IFERROR(VLOOKUP(A947,DonHang!$A$2:$C$500,3,FALSE()),"mã đơn chưa có"))</f>
        <v/>
      </c>
      <c r="C947" s="8"/>
      <c r="D947" s="8"/>
      <c r="E947" s="8"/>
      <c r="F947" s="13"/>
      <c r="G947" s="14"/>
      <c r="H947" s="8"/>
      <c r="I947" s="11" t="str">
        <f aca="false">IF(OR(F947="",G947=""),"",ROUND(F947*G947,0))</f>
        <v/>
      </c>
    </row>
    <row r="948" customFormat="false" ht="15" hidden="false" customHeight="false" outlineLevel="0" collapsed="false">
      <c r="A948" s="8"/>
      <c r="B948" s="10" t="str">
        <f aca="false">IF(A948="","",IFERROR(VLOOKUP(A948,DonHang!$A$2:$C$500,3,FALSE()),"mã đơn chưa có"))</f>
        <v/>
      </c>
      <c r="C948" s="8"/>
      <c r="D948" s="8"/>
      <c r="E948" s="8"/>
      <c r="F948" s="13"/>
      <c r="G948" s="14"/>
      <c r="H948" s="8"/>
      <c r="I948" s="11" t="str">
        <f aca="false">IF(OR(F948="",G948=""),"",ROUND(F948*G948,0))</f>
        <v/>
      </c>
    </row>
    <row r="949" customFormat="false" ht="15" hidden="false" customHeight="false" outlineLevel="0" collapsed="false">
      <c r="A949" s="8"/>
      <c r="B949" s="10" t="str">
        <f aca="false">IF(A949="","",IFERROR(VLOOKUP(A949,DonHang!$A$2:$C$500,3,FALSE()),"mã đơn chưa có"))</f>
        <v/>
      </c>
      <c r="C949" s="8"/>
      <c r="D949" s="8"/>
      <c r="E949" s="8"/>
      <c r="F949" s="13"/>
      <c r="G949" s="14"/>
      <c r="H949" s="8"/>
      <c r="I949" s="11" t="str">
        <f aca="false">IF(OR(F949="",G949=""),"",ROUND(F949*G949,0))</f>
        <v/>
      </c>
    </row>
    <row r="950" customFormat="false" ht="15" hidden="false" customHeight="false" outlineLevel="0" collapsed="false">
      <c r="A950" s="8"/>
      <c r="B950" s="10" t="str">
        <f aca="false">IF(A950="","",IFERROR(VLOOKUP(A950,DonHang!$A$2:$C$500,3,FALSE()),"mã đơn chưa có"))</f>
        <v/>
      </c>
      <c r="C950" s="8"/>
      <c r="D950" s="8"/>
      <c r="E950" s="8"/>
      <c r="F950" s="13"/>
      <c r="G950" s="14"/>
      <c r="H950" s="8"/>
      <c r="I950" s="11" t="str">
        <f aca="false">IF(OR(F950="",G950=""),"",ROUND(F950*G950,0))</f>
        <v/>
      </c>
    </row>
    <row r="951" customFormat="false" ht="15" hidden="false" customHeight="false" outlineLevel="0" collapsed="false">
      <c r="A951" s="8"/>
      <c r="B951" s="10" t="str">
        <f aca="false">IF(A951="","",IFERROR(VLOOKUP(A951,DonHang!$A$2:$C$500,3,FALSE()),"mã đơn chưa có"))</f>
        <v/>
      </c>
      <c r="C951" s="8"/>
      <c r="D951" s="8"/>
      <c r="E951" s="8"/>
      <c r="F951" s="13"/>
      <c r="G951" s="14"/>
      <c r="H951" s="8"/>
      <c r="I951" s="11" t="str">
        <f aca="false">IF(OR(F951="",G951=""),"",ROUND(F951*G951,0))</f>
        <v/>
      </c>
    </row>
    <row r="952" customFormat="false" ht="15" hidden="false" customHeight="false" outlineLevel="0" collapsed="false">
      <c r="A952" s="8"/>
      <c r="B952" s="10" t="str">
        <f aca="false">IF(A952="","",IFERROR(VLOOKUP(A952,DonHang!$A$2:$C$500,3,FALSE()),"mã đơn chưa có"))</f>
        <v/>
      </c>
      <c r="C952" s="8"/>
      <c r="D952" s="8"/>
      <c r="E952" s="8"/>
      <c r="F952" s="13"/>
      <c r="G952" s="14"/>
      <c r="H952" s="8"/>
      <c r="I952" s="11" t="str">
        <f aca="false">IF(OR(F952="",G952=""),"",ROUND(F952*G952,0))</f>
        <v/>
      </c>
    </row>
    <row r="953" customFormat="false" ht="15" hidden="false" customHeight="false" outlineLevel="0" collapsed="false">
      <c r="A953" s="8"/>
      <c r="B953" s="10" t="str">
        <f aca="false">IF(A953="","",IFERROR(VLOOKUP(A953,DonHang!$A$2:$C$500,3,FALSE()),"mã đơn chưa có"))</f>
        <v/>
      </c>
      <c r="C953" s="8"/>
      <c r="D953" s="8"/>
      <c r="E953" s="8"/>
      <c r="F953" s="13"/>
      <c r="G953" s="14"/>
      <c r="H953" s="8"/>
      <c r="I953" s="11" t="str">
        <f aca="false">IF(OR(F953="",G953=""),"",ROUND(F953*G953,0))</f>
        <v/>
      </c>
    </row>
    <row r="954" customFormat="false" ht="15" hidden="false" customHeight="false" outlineLevel="0" collapsed="false">
      <c r="A954" s="8"/>
      <c r="B954" s="10" t="str">
        <f aca="false">IF(A954="","",IFERROR(VLOOKUP(A954,DonHang!$A$2:$C$500,3,FALSE()),"mã đơn chưa có"))</f>
        <v/>
      </c>
      <c r="C954" s="8"/>
      <c r="D954" s="8"/>
      <c r="E954" s="8"/>
      <c r="F954" s="13"/>
      <c r="G954" s="14"/>
      <c r="H954" s="8"/>
      <c r="I954" s="11" t="str">
        <f aca="false">IF(OR(F954="",G954=""),"",ROUND(F954*G954,0))</f>
        <v/>
      </c>
    </row>
    <row r="955" customFormat="false" ht="15" hidden="false" customHeight="false" outlineLevel="0" collapsed="false">
      <c r="A955" s="8"/>
      <c r="B955" s="10" t="str">
        <f aca="false">IF(A955="","",IFERROR(VLOOKUP(A955,DonHang!$A$2:$C$500,3,FALSE()),"mã đơn chưa có"))</f>
        <v/>
      </c>
      <c r="C955" s="8"/>
      <c r="D955" s="8"/>
      <c r="E955" s="8"/>
      <c r="F955" s="13"/>
      <c r="G955" s="14"/>
      <c r="H955" s="8"/>
      <c r="I955" s="11" t="str">
        <f aca="false">IF(OR(F955="",G955=""),"",ROUND(F955*G955,0))</f>
        <v/>
      </c>
    </row>
    <row r="956" customFormat="false" ht="15" hidden="false" customHeight="false" outlineLevel="0" collapsed="false">
      <c r="A956" s="8"/>
      <c r="B956" s="10" t="str">
        <f aca="false">IF(A956="","",IFERROR(VLOOKUP(A956,DonHang!$A$2:$C$500,3,FALSE()),"mã đơn chưa có"))</f>
        <v/>
      </c>
      <c r="C956" s="8"/>
      <c r="D956" s="8"/>
      <c r="E956" s="8"/>
      <c r="F956" s="13"/>
      <c r="G956" s="14"/>
      <c r="H956" s="8"/>
      <c r="I956" s="11" t="str">
        <f aca="false">IF(OR(F956="",G956=""),"",ROUND(F956*G956,0))</f>
        <v/>
      </c>
    </row>
    <row r="957" customFormat="false" ht="15" hidden="false" customHeight="false" outlineLevel="0" collapsed="false">
      <c r="A957" s="8"/>
      <c r="B957" s="10" t="str">
        <f aca="false">IF(A957="","",IFERROR(VLOOKUP(A957,DonHang!$A$2:$C$500,3,FALSE()),"mã đơn chưa có"))</f>
        <v/>
      </c>
      <c r="C957" s="8"/>
      <c r="D957" s="8"/>
      <c r="E957" s="8"/>
      <c r="F957" s="13"/>
      <c r="G957" s="14"/>
      <c r="H957" s="8"/>
      <c r="I957" s="11" t="str">
        <f aca="false">IF(OR(F957="",G957=""),"",ROUND(F957*G957,0))</f>
        <v/>
      </c>
    </row>
    <row r="958" customFormat="false" ht="15" hidden="false" customHeight="false" outlineLevel="0" collapsed="false">
      <c r="A958" s="8"/>
      <c r="B958" s="10" t="str">
        <f aca="false">IF(A958="","",IFERROR(VLOOKUP(A958,DonHang!$A$2:$C$500,3,FALSE()),"mã đơn chưa có"))</f>
        <v/>
      </c>
      <c r="C958" s="8"/>
      <c r="D958" s="8"/>
      <c r="E958" s="8"/>
      <c r="F958" s="13"/>
      <c r="G958" s="14"/>
      <c r="H958" s="8"/>
      <c r="I958" s="11" t="str">
        <f aca="false">IF(OR(F958="",G958=""),"",ROUND(F958*G958,0))</f>
        <v/>
      </c>
    </row>
    <row r="959" customFormat="false" ht="15" hidden="false" customHeight="false" outlineLevel="0" collapsed="false">
      <c r="A959" s="8"/>
      <c r="B959" s="10" t="str">
        <f aca="false">IF(A959="","",IFERROR(VLOOKUP(A959,DonHang!$A$2:$C$500,3,FALSE()),"mã đơn chưa có"))</f>
        <v/>
      </c>
      <c r="C959" s="8"/>
      <c r="D959" s="8"/>
      <c r="E959" s="8"/>
      <c r="F959" s="13"/>
      <c r="G959" s="14"/>
      <c r="H959" s="8"/>
      <c r="I959" s="11" t="str">
        <f aca="false">IF(OR(F959="",G959=""),"",ROUND(F959*G959,0))</f>
        <v/>
      </c>
    </row>
    <row r="960" customFormat="false" ht="15" hidden="false" customHeight="false" outlineLevel="0" collapsed="false">
      <c r="A960" s="8"/>
      <c r="B960" s="10" t="str">
        <f aca="false">IF(A960="","",IFERROR(VLOOKUP(A960,DonHang!$A$2:$C$500,3,FALSE()),"mã đơn chưa có"))</f>
        <v/>
      </c>
      <c r="C960" s="8"/>
      <c r="D960" s="8"/>
      <c r="E960" s="8"/>
      <c r="F960" s="13"/>
      <c r="G960" s="14"/>
      <c r="H960" s="8"/>
      <c r="I960" s="11" t="str">
        <f aca="false">IF(OR(F960="",G960=""),"",ROUND(F960*G960,0))</f>
        <v/>
      </c>
    </row>
    <row r="961" customFormat="false" ht="15" hidden="false" customHeight="false" outlineLevel="0" collapsed="false">
      <c r="A961" s="8"/>
      <c r="B961" s="10" t="str">
        <f aca="false">IF(A961="","",IFERROR(VLOOKUP(A961,DonHang!$A$2:$C$500,3,FALSE()),"mã đơn chưa có"))</f>
        <v/>
      </c>
      <c r="C961" s="8"/>
      <c r="D961" s="8"/>
      <c r="E961" s="8"/>
      <c r="F961" s="13"/>
      <c r="G961" s="14"/>
      <c r="H961" s="8"/>
      <c r="I961" s="11" t="str">
        <f aca="false">IF(OR(F961="",G961=""),"",ROUND(F961*G961,0))</f>
        <v/>
      </c>
    </row>
    <row r="962" customFormat="false" ht="15" hidden="false" customHeight="false" outlineLevel="0" collapsed="false">
      <c r="A962" s="8"/>
      <c r="B962" s="10" t="str">
        <f aca="false">IF(A962="","",IFERROR(VLOOKUP(A962,DonHang!$A$2:$C$500,3,FALSE()),"mã đơn chưa có"))</f>
        <v/>
      </c>
      <c r="C962" s="8"/>
      <c r="D962" s="8"/>
      <c r="E962" s="8"/>
      <c r="F962" s="13"/>
      <c r="G962" s="14"/>
      <c r="H962" s="8"/>
      <c r="I962" s="11" t="str">
        <f aca="false">IF(OR(F962="",G962=""),"",ROUND(F962*G962,0))</f>
        <v/>
      </c>
    </row>
    <row r="963" customFormat="false" ht="15" hidden="false" customHeight="false" outlineLevel="0" collapsed="false">
      <c r="A963" s="8"/>
      <c r="B963" s="10" t="str">
        <f aca="false">IF(A963="","",IFERROR(VLOOKUP(A963,DonHang!$A$2:$C$500,3,FALSE()),"mã đơn chưa có"))</f>
        <v/>
      </c>
      <c r="C963" s="8"/>
      <c r="D963" s="8"/>
      <c r="E963" s="8"/>
      <c r="F963" s="13"/>
      <c r="G963" s="14"/>
      <c r="H963" s="8"/>
      <c r="I963" s="11" t="str">
        <f aca="false">IF(OR(F963="",G963=""),"",ROUND(F963*G963,0))</f>
        <v/>
      </c>
    </row>
    <row r="964" customFormat="false" ht="15" hidden="false" customHeight="false" outlineLevel="0" collapsed="false">
      <c r="A964" s="8"/>
      <c r="B964" s="10" t="str">
        <f aca="false">IF(A964="","",IFERROR(VLOOKUP(A964,DonHang!$A$2:$C$500,3,FALSE()),"mã đơn chưa có"))</f>
        <v/>
      </c>
      <c r="C964" s="8"/>
      <c r="D964" s="8"/>
      <c r="E964" s="8"/>
      <c r="F964" s="13"/>
      <c r="G964" s="14"/>
      <c r="H964" s="8"/>
      <c r="I964" s="11" t="str">
        <f aca="false">IF(OR(F964="",G964=""),"",ROUND(F964*G964,0))</f>
        <v/>
      </c>
    </row>
    <row r="965" customFormat="false" ht="15" hidden="false" customHeight="false" outlineLevel="0" collapsed="false">
      <c r="A965" s="8"/>
      <c r="B965" s="10" t="str">
        <f aca="false">IF(A965="","",IFERROR(VLOOKUP(A965,DonHang!$A$2:$C$500,3,FALSE()),"mã đơn chưa có"))</f>
        <v/>
      </c>
      <c r="C965" s="8"/>
      <c r="D965" s="8"/>
      <c r="E965" s="8"/>
      <c r="F965" s="13"/>
      <c r="G965" s="14"/>
      <c r="H965" s="8"/>
      <c r="I965" s="11" t="str">
        <f aca="false">IF(OR(F965="",G965=""),"",ROUND(F965*G965,0))</f>
        <v/>
      </c>
    </row>
    <row r="966" customFormat="false" ht="15" hidden="false" customHeight="false" outlineLevel="0" collapsed="false">
      <c r="A966" s="8"/>
      <c r="B966" s="10" t="str">
        <f aca="false">IF(A966="","",IFERROR(VLOOKUP(A966,DonHang!$A$2:$C$500,3,FALSE()),"mã đơn chưa có"))</f>
        <v/>
      </c>
      <c r="C966" s="8"/>
      <c r="D966" s="8"/>
      <c r="E966" s="8"/>
      <c r="F966" s="13"/>
      <c r="G966" s="14"/>
      <c r="H966" s="8"/>
      <c r="I966" s="11" t="str">
        <f aca="false">IF(OR(F966="",G966=""),"",ROUND(F966*G966,0))</f>
        <v/>
      </c>
    </row>
    <row r="967" customFormat="false" ht="15" hidden="false" customHeight="false" outlineLevel="0" collapsed="false">
      <c r="A967" s="8"/>
      <c r="B967" s="10" t="str">
        <f aca="false">IF(A967="","",IFERROR(VLOOKUP(A967,DonHang!$A$2:$C$500,3,FALSE()),"mã đơn chưa có"))</f>
        <v/>
      </c>
      <c r="C967" s="8"/>
      <c r="D967" s="8"/>
      <c r="E967" s="8"/>
      <c r="F967" s="13"/>
      <c r="G967" s="14"/>
      <c r="H967" s="8"/>
      <c r="I967" s="11" t="str">
        <f aca="false">IF(OR(F967="",G967=""),"",ROUND(F967*G967,0))</f>
        <v/>
      </c>
    </row>
    <row r="968" customFormat="false" ht="15" hidden="false" customHeight="false" outlineLevel="0" collapsed="false">
      <c r="A968" s="8"/>
      <c r="B968" s="10" t="str">
        <f aca="false">IF(A968="","",IFERROR(VLOOKUP(A968,DonHang!$A$2:$C$500,3,FALSE()),"mã đơn chưa có"))</f>
        <v/>
      </c>
      <c r="C968" s="8"/>
      <c r="D968" s="8"/>
      <c r="E968" s="8"/>
      <c r="F968" s="13"/>
      <c r="G968" s="14"/>
      <c r="H968" s="8"/>
      <c r="I968" s="11" t="str">
        <f aca="false">IF(OR(F968="",G968=""),"",ROUND(F968*G968,0))</f>
        <v/>
      </c>
    </row>
    <row r="969" customFormat="false" ht="15" hidden="false" customHeight="false" outlineLevel="0" collapsed="false">
      <c r="A969" s="8"/>
      <c r="B969" s="10" t="str">
        <f aca="false">IF(A969="","",IFERROR(VLOOKUP(A969,DonHang!$A$2:$C$500,3,FALSE()),"mã đơn chưa có"))</f>
        <v/>
      </c>
      <c r="C969" s="8"/>
      <c r="D969" s="8"/>
      <c r="E969" s="8"/>
      <c r="F969" s="13"/>
      <c r="G969" s="14"/>
      <c r="H969" s="8"/>
      <c r="I969" s="11" t="str">
        <f aca="false">IF(OR(F969="",G969=""),"",ROUND(F969*G969,0))</f>
        <v/>
      </c>
    </row>
    <row r="970" customFormat="false" ht="15" hidden="false" customHeight="false" outlineLevel="0" collapsed="false">
      <c r="A970" s="8"/>
      <c r="B970" s="10" t="str">
        <f aca="false">IF(A970="","",IFERROR(VLOOKUP(A970,DonHang!$A$2:$C$500,3,FALSE()),"mã đơn chưa có"))</f>
        <v/>
      </c>
      <c r="C970" s="8"/>
      <c r="D970" s="8"/>
      <c r="E970" s="8"/>
      <c r="F970" s="13"/>
      <c r="G970" s="14"/>
      <c r="H970" s="8"/>
      <c r="I970" s="11" t="str">
        <f aca="false">IF(OR(F970="",G970=""),"",ROUND(F970*G970,0))</f>
        <v/>
      </c>
    </row>
    <row r="971" customFormat="false" ht="15" hidden="false" customHeight="false" outlineLevel="0" collapsed="false">
      <c r="A971" s="8"/>
      <c r="B971" s="10" t="str">
        <f aca="false">IF(A971="","",IFERROR(VLOOKUP(A971,DonHang!$A$2:$C$500,3,FALSE()),"mã đơn chưa có"))</f>
        <v/>
      </c>
      <c r="C971" s="8"/>
      <c r="D971" s="8"/>
      <c r="E971" s="8"/>
      <c r="F971" s="13"/>
      <c r="G971" s="14"/>
      <c r="H971" s="8"/>
      <c r="I971" s="11" t="str">
        <f aca="false">IF(OR(F971="",G971=""),"",ROUND(F971*G971,0))</f>
        <v/>
      </c>
    </row>
    <row r="972" customFormat="false" ht="15" hidden="false" customHeight="false" outlineLevel="0" collapsed="false">
      <c r="A972" s="8"/>
      <c r="B972" s="10" t="str">
        <f aca="false">IF(A972="","",IFERROR(VLOOKUP(A972,DonHang!$A$2:$C$500,3,FALSE()),"mã đơn chưa có"))</f>
        <v/>
      </c>
      <c r="C972" s="8"/>
      <c r="D972" s="8"/>
      <c r="E972" s="8"/>
      <c r="F972" s="13"/>
      <c r="G972" s="14"/>
      <c r="H972" s="8"/>
      <c r="I972" s="11" t="str">
        <f aca="false">IF(OR(F972="",G972=""),"",ROUND(F972*G972,0))</f>
        <v/>
      </c>
    </row>
    <row r="973" customFormat="false" ht="15" hidden="false" customHeight="false" outlineLevel="0" collapsed="false">
      <c r="A973" s="8"/>
      <c r="B973" s="10" t="str">
        <f aca="false">IF(A973="","",IFERROR(VLOOKUP(A973,DonHang!$A$2:$C$500,3,FALSE()),"mã đơn chưa có"))</f>
        <v/>
      </c>
      <c r="C973" s="8"/>
      <c r="D973" s="8"/>
      <c r="E973" s="8"/>
      <c r="F973" s="13"/>
      <c r="G973" s="14"/>
      <c r="H973" s="8"/>
      <c r="I973" s="11" t="str">
        <f aca="false">IF(OR(F973="",G973=""),"",ROUND(F973*G973,0))</f>
        <v/>
      </c>
    </row>
    <row r="974" customFormat="false" ht="15" hidden="false" customHeight="false" outlineLevel="0" collapsed="false">
      <c r="A974" s="8"/>
      <c r="B974" s="10" t="str">
        <f aca="false">IF(A974="","",IFERROR(VLOOKUP(A974,DonHang!$A$2:$C$500,3,FALSE()),"mã đơn chưa có"))</f>
        <v/>
      </c>
      <c r="C974" s="8"/>
      <c r="D974" s="8"/>
      <c r="E974" s="8"/>
      <c r="F974" s="13"/>
      <c r="G974" s="14"/>
      <c r="H974" s="8"/>
      <c r="I974" s="11" t="str">
        <f aca="false">IF(OR(F974="",G974=""),"",ROUND(F974*G974,0))</f>
        <v/>
      </c>
    </row>
    <row r="975" customFormat="false" ht="15" hidden="false" customHeight="false" outlineLevel="0" collapsed="false">
      <c r="A975" s="8"/>
      <c r="B975" s="10" t="str">
        <f aca="false">IF(A975="","",IFERROR(VLOOKUP(A975,DonHang!$A$2:$C$500,3,FALSE()),"mã đơn chưa có"))</f>
        <v/>
      </c>
      <c r="C975" s="8"/>
      <c r="D975" s="8"/>
      <c r="E975" s="8"/>
      <c r="F975" s="13"/>
      <c r="G975" s="14"/>
      <c r="H975" s="8"/>
      <c r="I975" s="11" t="str">
        <f aca="false">IF(OR(F975="",G975=""),"",ROUND(F975*G975,0))</f>
        <v/>
      </c>
    </row>
    <row r="976" customFormat="false" ht="15" hidden="false" customHeight="false" outlineLevel="0" collapsed="false">
      <c r="A976" s="8"/>
      <c r="B976" s="10" t="str">
        <f aca="false">IF(A976="","",IFERROR(VLOOKUP(A976,DonHang!$A$2:$C$500,3,FALSE()),"mã đơn chưa có"))</f>
        <v/>
      </c>
      <c r="C976" s="8"/>
      <c r="D976" s="8"/>
      <c r="E976" s="8"/>
      <c r="F976" s="13"/>
      <c r="G976" s="14"/>
      <c r="H976" s="8"/>
      <c r="I976" s="11" t="str">
        <f aca="false">IF(OR(F976="",G976=""),"",ROUND(F976*G976,0))</f>
        <v/>
      </c>
    </row>
    <row r="977" customFormat="false" ht="15" hidden="false" customHeight="false" outlineLevel="0" collapsed="false">
      <c r="A977" s="8"/>
      <c r="B977" s="10" t="str">
        <f aca="false">IF(A977="","",IFERROR(VLOOKUP(A977,DonHang!$A$2:$C$500,3,FALSE()),"mã đơn chưa có"))</f>
        <v/>
      </c>
      <c r="C977" s="8"/>
      <c r="D977" s="8"/>
      <c r="E977" s="8"/>
      <c r="F977" s="13"/>
      <c r="G977" s="14"/>
      <c r="H977" s="8"/>
      <c r="I977" s="11" t="str">
        <f aca="false">IF(OR(F977="",G977=""),"",ROUND(F977*G977,0))</f>
        <v/>
      </c>
    </row>
    <row r="978" customFormat="false" ht="15" hidden="false" customHeight="false" outlineLevel="0" collapsed="false">
      <c r="A978" s="8"/>
      <c r="B978" s="10" t="str">
        <f aca="false">IF(A978="","",IFERROR(VLOOKUP(A978,DonHang!$A$2:$C$500,3,FALSE()),"mã đơn chưa có"))</f>
        <v/>
      </c>
      <c r="C978" s="8"/>
      <c r="D978" s="8"/>
      <c r="E978" s="8"/>
      <c r="F978" s="13"/>
      <c r="G978" s="14"/>
      <c r="H978" s="8"/>
      <c r="I978" s="11" t="str">
        <f aca="false">IF(OR(F978="",G978=""),"",ROUND(F978*G978,0))</f>
        <v/>
      </c>
    </row>
    <row r="979" customFormat="false" ht="15" hidden="false" customHeight="false" outlineLevel="0" collapsed="false">
      <c r="A979" s="8"/>
      <c r="B979" s="10" t="str">
        <f aca="false">IF(A979="","",IFERROR(VLOOKUP(A979,DonHang!$A$2:$C$500,3,FALSE()),"mã đơn chưa có"))</f>
        <v/>
      </c>
      <c r="C979" s="8"/>
      <c r="D979" s="8"/>
      <c r="E979" s="8"/>
      <c r="F979" s="13"/>
      <c r="G979" s="14"/>
      <c r="H979" s="8"/>
      <c r="I979" s="11" t="str">
        <f aca="false">IF(OR(F979="",G979=""),"",ROUND(F979*G979,0))</f>
        <v/>
      </c>
    </row>
    <row r="980" customFormat="false" ht="15" hidden="false" customHeight="false" outlineLevel="0" collapsed="false">
      <c r="A980" s="8"/>
      <c r="B980" s="10" t="str">
        <f aca="false">IF(A980="","",IFERROR(VLOOKUP(A980,DonHang!$A$2:$C$500,3,FALSE()),"mã đơn chưa có"))</f>
        <v/>
      </c>
      <c r="C980" s="8"/>
      <c r="D980" s="8"/>
      <c r="E980" s="8"/>
      <c r="F980" s="13"/>
      <c r="G980" s="14"/>
      <c r="H980" s="8"/>
      <c r="I980" s="11" t="str">
        <f aca="false">IF(OR(F980="",G980=""),"",ROUND(F980*G980,0))</f>
        <v/>
      </c>
    </row>
    <row r="981" customFormat="false" ht="15" hidden="false" customHeight="false" outlineLevel="0" collapsed="false">
      <c r="A981" s="8"/>
      <c r="B981" s="10" t="str">
        <f aca="false">IF(A981="","",IFERROR(VLOOKUP(A981,DonHang!$A$2:$C$500,3,FALSE()),"mã đơn chưa có"))</f>
        <v/>
      </c>
      <c r="C981" s="8"/>
      <c r="D981" s="8"/>
      <c r="E981" s="8"/>
      <c r="F981" s="13"/>
      <c r="G981" s="14"/>
      <c r="H981" s="8"/>
      <c r="I981" s="11" t="str">
        <f aca="false">IF(OR(F981="",G981=""),"",ROUND(F981*G981,0))</f>
        <v/>
      </c>
    </row>
    <row r="982" customFormat="false" ht="15" hidden="false" customHeight="false" outlineLevel="0" collapsed="false">
      <c r="A982" s="8"/>
      <c r="B982" s="10" t="str">
        <f aca="false">IF(A982="","",IFERROR(VLOOKUP(A982,DonHang!$A$2:$C$500,3,FALSE()),"mã đơn chưa có"))</f>
        <v/>
      </c>
      <c r="C982" s="8"/>
      <c r="D982" s="8"/>
      <c r="E982" s="8"/>
      <c r="F982" s="13"/>
      <c r="G982" s="14"/>
      <c r="H982" s="8"/>
      <c r="I982" s="11" t="str">
        <f aca="false">IF(OR(F982="",G982=""),"",ROUND(F982*G982,0))</f>
        <v/>
      </c>
    </row>
    <row r="983" customFormat="false" ht="15" hidden="false" customHeight="false" outlineLevel="0" collapsed="false">
      <c r="A983" s="8"/>
      <c r="B983" s="10" t="str">
        <f aca="false">IF(A983="","",IFERROR(VLOOKUP(A983,DonHang!$A$2:$C$500,3,FALSE()),"mã đơn chưa có"))</f>
        <v/>
      </c>
      <c r="C983" s="8"/>
      <c r="D983" s="8"/>
      <c r="E983" s="8"/>
      <c r="F983" s="13"/>
      <c r="G983" s="14"/>
      <c r="H983" s="8"/>
      <c r="I983" s="11" t="str">
        <f aca="false">IF(OR(F983="",G983=""),"",ROUND(F983*G983,0))</f>
        <v/>
      </c>
    </row>
    <row r="984" customFormat="false" ht="15" hidden="false" customHeight="false" outlineLevel="0" collapsed="false">
      <c r="A984" s="8"/>
      <c r="B984" s="10" t="str">
        <f aca="false">IF(A984="","",IFERROR(VLOOKUP(A984,DonHang!$A$2:$C$500,3,FALSE()),"mã đơn chưa có"))</f>
        <v/>
      </c>
      <c r="C984" s="8"/>
      <c r="D984" s="8"/>
      <c r="E984" s="8"/>
      <c r="F984" s="13"/>
      <c r="G984" s="14"/>
      <c r="H984" s="8"/>
      <c r="I984" s="11" t="str">
        <f aca="false">IF(OR(F984="",G984=""),"",ROUND(F984*G984,0))</f>
        <v/>
      </c>
    </row>
    <row r="985" customFormat="false" ht="15" hidden="false" customHeight="false" outlineLevel="0" collapsed="false">
      <c r="A985" s="8"/>
      <c r="B985" s="10" t="str">
        <f aca="false">IF(A985="","",IFERROR(VLOOKUP(A985,DonHang!$A$2:$C$500,3,FALSE()),"mã đơn chưa có"))</f>
        <v/>
      </c>
      <c r="C985" s="8"/>
      <c r="D985" s="8"/>
      <c r="E985" s="8"/>
      <c r="F985" s="13"/>
      <c r="G985" s="14"/>
      <c r="H985" s="8"/>
      <c r="I985" s="11" t="str">
        <f aca="false">IF(OR(F985="",G985=""),"",ROUND(F985*G985,0))</f>
        <v/>
      </c>
    </row>
    <row r="986" customFormat="false" ht="15" hidden="false" customHeight="false" outlineLevel="0" collapsed="false">
      <c r="A986" s="8"/>
      <c r="B986" s="10" t="str">
        <f aca="false">IF(A986="","",IFERROR(VLOOKUP(A986,DonHang!$A$2:$C$500,3,FALSE()),"mã đơn chưa có"))</f>
        <v/>
      </c>
      <c r="C986" s="8"/>
      <c r="D986" s="8"/>
      <c r="E986" s="8"/>
      <c r="F986" s="13"/>
      <c r="G986" s="14"/>
      <c r="H986" s="8"/>
      <c r="I986" s="11" t="str">
        <f aca="false">IF(OR(F986="",G986=""),"",ROUND(F986*G986,0))</f>
        <v/>
      </c>
    </row>
    <row r="987" customFormat="false" ht="15" hidden="false" customHeight="false" outlineLevel="0" collapsed="false">
      <c r="A987" s="8"/>
      <c r="B987" s="10" t="str">
        <f aca="false">IF(A987="","",IFERROR(VLOOKUP(A987,DonHang!$A$2:$C$500,3,FALSE()),"mã đơn chưa có"))</f>
        <v/>
      </c>
      <c r="C987" s="8"/>
      <c r="D987" s="8"/>
      <c r="E987" s="8"/>
      <c r="F987" s="13"/>
      <c r="G987" s="14"/>
      <c r="H987" s="8"/>
      <c r="I987" s="11" t="str">
        <f aca="false">IF(OR(F987="",G987=""),"",ROUND(F987*G987,0))</f>
        <v/>
      </c>
    </row>
    <row r="988" customFormat="false" ht="15" hidden="false" customHeight="false" outlineLevel="0" collapsed="false">
      <c r="A988" s="8"/>
      <c r="B988" s="10" t="str">
        <f aca="false">IF(A988="","",IFERROR(VLOOKUP(A988,DonHang!$A$2:$C$500,3,FALSE()),"mã đơn chưa có"))</f>
        <v/>
      </c>
      <c r="C988" s="8"/>
      <c r="D988" s="8"/>
      <c r="E988" s="8"/>
      <c r="F988" s="13"/>
      <c r="G988" s="14"/>
      <c r="H988" s="8"/>
      <c r="I988" s="11" t="str">
        <f aca="false">IF(OR(F988="",G988=""),"",ROUND(F988*G988,0))</f>
        <v/>
      </c>
    </row>
    <row r="989" customFormat="false" ht="15" hidden="false" customHeight="false" outlineLevel="0" collapsed="false">
      <c r="A989" s="8"/>
      <c r="B989" s="10" t="str">
        <f aca="false">IF(A989="","",IFERROR(VLOOKUP(A989,DonHang!$A$2:$C$500,3,FALSE()),"mã đơn chưa có"))</f>
        <v/>
      </c>
      <c r="C989" s="8"/>
      <c r="D989" s="8"/>
      <c r="E989" s="8"/>
      <c r="F989" s="13"/>
      <c r="G989" s="14"/>
      <c r="H989" s="8"/>
      <c r="I989" s="11" t="str">
        <f aca="false">IF(OR(F989="",G989=""),"",ROUND(F989*G989,0))</f>
        <v/>
      </c>
    </row>
    <row r="990" customFormat="false" ht="15" hidden="false" customHeight="false" outlineLevel="0" collapsed="false">
      <c r="A990" s="8"/>
      <c r="B990" s="10" t="str">
        <f aca="false">IF(A990="","",IFERROR(VLOOKUP(A990,DonHang!$A$2:$C$500,3,FALSE()),"mã đơn chưa có"))</f>
        <v/>
      </c>
      <c r="C990" s="8"/>
      <c r="D990" s="8"/>
      <c r="E990" s="8"/>
      <c r="F990" s="13"/>
      <c r="G990" s="14"/>
      <c r="H990" s="8"/>
      <c r="I990" s="11" t="str">
        <f aca="false">IF(OR(F990="",G990=""),"",ROUND(F990*G990,0))</f>
        <v/>
      </c>
    </row>
    <row r="991" customFormat="false" ht="15" hidden="false" customHeight="false" outlineLevel="0" collapsed="false">
      <c r="A991" s="8"/>
      <c r="B991" s="10" t="str">
        <f aca="false">IF(A991="","",IFERROR(VLOOKUP(A991,DonHang!$A$2:$C$500,3,FALSE()),"mã đơn chưa có"))</f>
        <v/>
      </c>
      <c r="C991" s="8"/>
      <c r="D991" s="8"/>
      <c r="E991" s="8"/>
      <c r="F991" s="13"/>
      <c r="G991" s="14"/>
      <c r="H991" s="8"/>
      <c r="I991" s="11" t="str">
        <f aca="false">IF(OR(F991="",G991=""),"",ROUND(F991*G991,0))</f>
        <v/>
      </c>
    </row>
    <row r="992" customFormat="false" ht="15" hidden="false" customHeight="false" outlineLevel="0" collapsed="false">
      <c r="A992" s="8"/>
      <c r="B992" s="10" t="str">
        <f aca="false">IF(A992="","",IFERROR(VLOOKUP(A992,DonHang!$A$2:$C$500,3,FALSE()),"mã đơn chưa có"))</f>
        <v/>
      </c>
      <c r="C992" s="8"/>
      <c r="D992" s="8"/>
      <c r="E992" s="8"/>
      <c r="F992" s="13"/>
      <c r="G992" s="14"/>
      <c r="H992" s="8"/>
      <c r="I992" s="11" t="str">
        <f aca="false">IF(OR(F992="",G992=""),"",ROUND(F992*G992,0))</f>
        <v/>
      </c>
    </row>
    <row r="993" customFormat="false" ht="15" hidden="false" customHeight="false" outlineLevel="0" collapsed="false">
      <c r="A993" s="8"/>
      <c r="B993" s="10" t="str">
        <f aca="false">IF(A993="","",IFERROR(VLOOKUP(A993,DonHang!$A$2:$C$500,3,FALSE()),"mã đơn chưa có"))</f>
        <v/>
      </c>
      <c r="C993" s="8"/>
      <c r="D993" s="8"/>
      <c r="E993" s="8"/>
      <c r="F993" s="13"/>
      <c r="G993" s="14"/>
      <c r="H993" s="8"/>
      <c r="I993" s="11" t="str">
        <f aca="false">IF(OR(F993="",G993=""),"",ROUND(F993*G993,0))</f>
        <v/>
      </c>
    </row>
    <row r="994" customFormat="false" ht="15" hidden="false" customHeight="false" outlineLevel="0" collapsed="false">
      <c r="A994" s="8"/>
      <c r="B994" s="10" t="str">
        <f aca="false">IF(A994="","",IFERROR(VLOOKUP(A994,DonHang!$A$2:$C$500,3,FALSE()),"mã đơn chưa có"))</f>
        <v/>
      </c>
      <c r="C994" s="8"/>
      <c r="D994" s="8"/>
      <c r="E994" s="8"/>
      <c r="F994" s="13"/>
      <c r="G994" s="14"/>
      <c r="H994" s="8"/>
      <c r="I994" s="11" t="str">
        <f aca="false">IF(OR(F994="",G994=""),"",ROUND(F994*G994,0))</f>
        <v/>
      </c>
    </row>
    <row r="995" customFormat="false" ht="15" hidden="false" customHeight="false" outlineLevel="0" collapsed="false">
      <c r="A995" s="8"/>
      <c r="B995" s="10" t="str">
        <f aca="false">IF(A995="","",IFERROR(VLOOKUP(A995,DonHang!$A$2:$C$500,3,FALSE()),"mã đơn chưa có"))</f>
        <v/>
      </c>
      <c r="C995" s="8"/>
      <c r="D995" s="8"/>
      <c r="E995" s="8"/>
      <c r="F995" s="13"/>
      <c r="G995" s="14"/>
      <c r="H995" s="8"/>
      <c r="I995" s="11" t="str">
        <f aca="false">IF(OR(F995="",G995=""),"",ROUND(F995*G995,0))</f>
        <v/>
      </c>
    </row>
    <row r="996" customFormat="false" ht="15" hidden="false" customHeight="false" outlineLevel="0" collapsed="false">
      <c r="A996" s="8"/>
      <c r="B996" s="10" t="str">
        <f aca="false">IF(A996="","",IFERROR(VLOOKUP(A996,DonHang!$A$2:$C$500,3,FALSE()),"mã đơn chưa có"))</f>
        <v/>
      </c>
      <c r="C996" s="8"/>
      <c r="D996" s="8"/>
      <c r="E996" s="8"/>
      <c r="F996" s="13"/>
      <c r="G996" s="14"/>
      <c r="H996" s="8"/>
      <c r="I996" s="11" t="str">
        <f aca="false">IF(OR(F996="",G996=""),"",ROUND(F996*G996,0))</f>
        <v/>
      </c>
    </row>
    <row r="997" customFormat="false" ht="15" hidden="false" customHeight="false" outlineLevel="0" collapsed="false">
      <c r="A997" s="8"/>
      <c r="B997" s="10" t="str">
        <f aca="false">IF(A997="","",IFERROR(VLOOKUP(A997,DonHang!$A$2:$C$500,3,FALSE()),"mã đơn chưa có"))</f>
        <v/>
      </c>
      <c r="C997" s="8"/>
      <c r="D997" s="8"/>
      <c r="E997" s="8"/>
      <c r="F997" s="13"/>
      <c r="G997" s="14"/>
      <c r="H997" s="8"/>
      <c r="I997" s="11" t="str">
        <f aca="false">IF(OR(F997="",G997=""),"",ROUND(F997*G997,0))</f>
        <v/>
      </c>
    </row>
    <row r="998" customFormat="false" ht="15" hidden="false" customHeight="false" outlineLevel="0" collapsed="false">
      <c r="A998" s="8"/>
      <c r="B998" s="10" t="str">
        <f aca="false">IF(A998="","",IFERROR(VLOOKUP(A998,DonHang!$A$2:$C$500,3,FALSE()),"mã đơn chưa có"))</f>
        <v/>
      </c>
      <c r="C998" s="8"/>
      <c r="D998" s="8"/>
      <c r="E998" s="8"/>
      <c r="F998" s="13"/>
      <c r="G998" s="14"/>
      <c r="H998" s="8"/>
      <c r="I998" s="11" t="str">
        <f aca="false">IF(OR(F998="",G998=""),"",ROUND(F998*G998,0))</f>
        <v/>
      </c>
    </row>
    <row r="999" customFormat="false" ht="15" hidden="false" customHeight="false" outlineLevel="0" collapsed="false">
      <c r="A999" s="8"/>
      <c r="B999" s="10" t="str">
        <f aca="false">IF(A999="","",IFERROR(VLOOKUP(A999,DonHang!$A$2:$C$500,3,FALSE()),"mã đơn chưa có"))</f>
        <v/>
      </c>
      <c r="C999" s="8"/>
      <c r="D999" s="8"/>
      <c r="E999" s="8"/>
      <c r="F999" s="13"/>
      <c r="G999" s="14"/>
      <c r="H999" s="8"/>
      <c r="I999" s="11" t="str">
        <f aca="false">IF(OR(F999="",G999=""),"",ROUND(F999*G999,0))</f>
        <v/>
      </c>
    </row>
    <row r="1000" customFormat="false" ht="15" hidden="false" customHeight="false" outlineLevel="0" collapsed="false">
      <c r="A1000" s="8"/>
      <c r="B1000" s="10" t="str">
        <f aca="false">IF(A1000="","",IFERROR(VLOOKUP(A1000,DonHang!$A$2:$C$500,3,FALSE()),"mã đơn chưa có"))</f>
        <v/>
      </c>
      <c r="C1000" s="8"/>
      <c r="D1000" s="8"/>
      <c r="E1000" s="8"/>
      <c r="F1000" s="13"/>
      <c r="G1000" s="14"/>
      <c r="H1000" s="8"/>
      <c r="I1000" s="11" t="str">
        <f aca="false">IF(OR(F1000="",G1000=""),"",ROUND(F1000*G1000,0))</f>
        <v/>
      </c>
    </row>
    <row r="1001" customFormat="false" ht="15" hidden="false" customHeight="false" outlineLevel="0" collapsed="false">
      <c r="A1001" s="8"/>
      <c r="B1001" s="10" t="str">
        <f aca="false">IF(A1001="","",IFERROR(VLOOKUP(A1001,DonHang!$A$2:$C$500,3,FALSE()),"mã đơn chưa có"))</f>
        <v/>
      </c>
      <c r="C1001" s="8"/>
      <c r="D1001" s="8"/>
      <c r="E1001" s="8"/>
      <c r="F1001" s="13"/>
      <c r="G1001" s="14"/>
      <c r="H1001" s="8"/>
      <c r="I1001" s="11" t="str">
        <f aca="false">IF(OR(F1001="",G1001=""),"",ROUND(F1001*G1001,0))</f>
        <v/>
      </c>
    </row>
    <row r="1002" customFormat="false" ht="15" hidden="false" customHeight="false" outlineLevel="0" collapsed="false">
      <c r="A1002" s="8"/>
      <c r="B1002" s="10" t="str">
        <f aca="false">IF(A1002="","",IFERROR(VLOOKUP(A1002,DonHang!$A$2:$C$500,3,FALSE()),"mã đơn chưa có"))</f>
        <v/>
      </c>
      <c r="C1002" s="8"/>
      <c r="D1002" s="8"/>
      <c r="E1002" s="8"/>
      <c r="F1002" s="13"/>
      <c r="G1002" s="14"/>
      <c r="H1002" s="8"/>
      <c r="I1002" s="11" t="str">
        <f aca="false">IF(OR(F1002="",G1002=""),"",ROUND(F1002*G1002,0))</f>
        <v/>
      </c>
    </row>
    <row r="1003" customFormat="false" ht="15" hidden="false" customHeight="false" outlineLevel="0" collapsed="false">
      <c r="A1003" s="8"/>
      <c r="B1003" s="10" t="str">
        <f aca="false">IF(A1003="","",IFERROR(VLOOKUP(A1003,DonHang!$A$2:$C$500,3,FALSE()),"mã đơn chưa có"))</f>
        <v/>
      </c>
      <c r="C1003" s="8"/>
      <c r="D1003" s="8"/>
      <c r="E1003" s="8"/>
      <c r="F1003" s="13"/>
      <c r="G1003" s="14"/>
      <c r="H1003" s="8"/>
      <c r="I1003" s="11" t="str">
        <f aca="false">IF(OR(F1003="",G1003=""),"",ROUND(F1003*G1003,0))</f>
        <v/>
      </c>
    </row>
    <row r="1004" customFormat="false" ht="15" hidden="false" customHeight="false" outlineLevel="0" collapsed="false">
      <c r="A1004" s="8"/>
      <c r="B1004" s="10" t="str">
        <f aca="false">IF(A1004="","",IFERROR(VLOOKUP(A1004,DonHang!$A$2:$C$500,3,FALSE()),"mã đơn chưa có"))</f>
        <v/>
      </c>
      <c r="C1004" s="8"/>
      <c r="D1004" s="8"/>
      <c r="E1004" s="8"/>
      <c r="F1004" s="13"/>
      <c r="G1004" s="14"/>
      <c r="H1004" s="8"/>
      <c r="I1004" s="11" t="str">
        <f aca="false">IF(OR(F1004="",G1004=""),"",ROUND(F1004*G1004,0))</f>
        <v/>
      </c>
    </row>
    <row r="1005" customFormat="false" ht="15" hidden="false" customHeight="false" outlineLevel="0" collapsed="false">
      <c r="A1005" s="8"/>
      <c r="B1005" s="10" t="str">
        <f aca="false">IF(A1005="","",IFERROR(VLOOKUP(A1005,DonHang!$A$2:$C$500,3,FALSE()),"mã đơn chưa có"))</f>
        <v/>
      </c>
      <c r="C1005" s="8"/>
      <c r="D1005" s="8"/>
      <c r="E1005" s="8"/>
      <c r="F1005" s="13"/>
      <c r="G1005" s="14"/>
      <c r="H1005" s="8"/>
      <c r="I1005" s="11" t="str">
        <f aca="false">IF(OR(F1005="",G1005=""),"",ROUND(F1005*G1005,0))</f>
        <v/>
      </c>
    </row>
    <row r="1006" customFormat="false" ht="15" hidden="false" customHeight="false" outlineLevel="0" collapsed="false">
      <c r="A1006" s="8"/>
      <c r="B1006" s="10" t="str">
        <f aca="false">IF(A1006="","",IFERROR(VLOOKUP(A1006,DonHang!$A$2:$C$500,3,FALSE()),"mã đơn chưa có"))</f>
        <v/>
      </c>
      <c r="C1006" s="8"/>
      <c r="D1006" s="8"/>
      <c r="E1006" s="8"/>
      <c r="F1006" s="13"/>
      <c r="G1006" s="14"/>
      <c r="H1006" s="8"/>
      <c r="I1006" s="11" t="str">
        <f aca="false">IF(OR(F1006="",G1006=""),"",ROUND(F1006*G1006,0))</f>
        <v/>
      </c>
    </row>
    <row r="1007" customFormat="false" ht="15" hidden="false" customHeight="false" outlineLevel="0" collapsed="false">
      <c r="A1007" s="8"/>
      <c r="B1007" s="10" t="str">
        <f aca="false">IF(A1007="","",IFERROR(VLOOKUP(A1007,DonHang!$A$2:$C$500,3,FALSE()),"mã đơn chưa có"))</f>
        <v/>
      </c>
      <c r="C1007" s="8"/>
      <c r="D1007" s="8"/>
      <c r="E1007" s="8"/>
      <c r="F1007" s="13"/>
      <c r="G1007" s="14"/>
      <c r="H1007" s="8"/>
      <c r="I1007" s="11" t="str">
        <f aca="false">IF(OR(F1007="",G1007=""),"",ROUND(F1007*G1007,0))</f>
        <v/>
      </c>
    </row>
    <row r="1008" customFormat="false" ht="15" hidden="false" customHeight="false" outlineLevel="0" collapsed="false">
      <c r="A1008" s="8"/>
      <c r="B1008" s="10" t="str">
        <f aca="false">IF(A1008="","",IFERROR(VLOOKUP(A1008,DonHang!$A$2:$C$500,3,FALSE()),"mã đơn chưa có"))</f>
        <v/>
      </c>
      <c r="C1008" s="8"/>
      <c r="D1008" s="8"/>
      <c r="E1008" s="8"/>
      <c r="F1008" s="13"/>
      <c r="G1008" s="14"/>
      <c r="H1008" s="8"/>
      <c r="I1008" s="11" t="str">
        <f aca="false">IF(OR(F1008="",G1008=""),"",ROUND(F1008*G1008,0))</f>
        <v/>
      </c>
    </row>
    <row r="1009" customFormat="false" ht="15" hidden="false" customHeight="false" outlineLevel="0" collapsed="false">
      <c r="A1009" s="8"/>
      <c r="B1009" s="10" t="str">
        <f aca="false">IF(A1009="","",IFERROR(VLOOKUP(A1009,DonHang!$A$2:$C$500,3,FALSE()),"mã đơn chưa có"))</f>
        <v/>
      </c>
      <c r="C1009" s="8"/>
      <c r="D1009" s="8"/>
      <c r="E1009" s="8"/>
      <c r="F1009" s="13"/>
      <c r="G1009" s="14"/>
      <c r="H1009" s="8"/>
      <c r="I1009" s="11" t="str">
        <f aca="false">IF(OR(F1009="",G1009=""),"",ROUND(F1009*G1009,0))</f>
        <v/>
      </c>
    </row>
    <row r="1010" customFormat="false" ht="15" hidden="false" customHeight="false" outlineLevel="0" collapsed="false">
      <c r="A1010" s="8"/>
      <c r="B1010" s="10" t="str">
        <f aca="false">IF(A1010="","",IFERROR(VLOOKUP(A1010,DonHang!$A$2:$C$500,3,FALSE()),"mã đơn chưa có"))</f>
        <v/>
      </c>
      <c r="C1010" s="8"/>
      <c r="D1010" s="8"/>
      <c r="E1010" s="8"/>
      <c r="F1010" s="13"/>
      <c r="G1010" s="14"/>
      <c r="H1010" s="8"/>
      <c r="I1010" s="11" t="str">
        <f aca="false">IF(OR(F1010="",G1010=""),"",ROUND(F1010*G1010,0))</f>
        <v/>
      </c>
    </row>
    <row r="1011" customFormat="false" ht="15" hidden="false" customHeight="false" outlineLevel="0" collapsed="false">
      <c r="A1011" s="8"/>
      <c r="B1011" s="10" t="str">
        <f aca="false">IF(A1011="","",IFERROR(VLOOKUP(A1011,DonHang!$A$2:$C$500,3,FALSE()),"mã đơn chưa có"))</f>
        <v/>
      </c>
      <c r="C1011" s="8"/>
      <c r="D1011" s="8"/>
      <c r="E1011" s="8"/>
      <c r="F1011" s="13"/>
      <c r="G1011" s="14"/>
      <c r="H1011" s="8"/>
      <c r="I1011" s="11" t="str">
        <f aca="false">IF(OR(F1011="",G1011=""),"",ROUND(F1011*G1011,0))</f>
        <v/>
      </c>
    </row>
    <row r="1012" customFormat="false" ht="15" hidden="false" customHeight="false" outlineLevel="0" collapsed="false">
      <c r="A1012" s="8"/>
      <c r="B1012" s="10" t="str">
        <f aca="false">IF(A1012="","",IFERROR(VLOOKUP(A1012,DonHang!$A$2:$C$500,3,FALSE()),"mã đơn chưa có"))</f>
        <v/>
      </c>
      <c r="C1012" s="8"/>
      <c r="D1012" s="8"/>
      <c r="E1012" s="8"/>
      <c r="F1012" s="13"/>
      <c r="G1012" s="14"/>
      <c r="H1012" s="8"/>
      <c r="I1012" s="11" t="str">
        <f aca="false">IF(OR(F1012="",G1012=""),"",ROUND(F1012*G1012,0))</f>
        <v/>
      </c>
    </row>
    <row r="1013" customFormat="false" ht="15" hidden="false" customHeight="false" outlineLevel="0" collapsed="false">
      <c r="A1013" s="8"/>
      <c r="B1013" s="10" t="str">
        <f aca="false">IF(A1013="","",IFERROR(VLOOKUP(A1013,DonHang!$A$2:$C$500,3,FALSE()),"mã đơn chưa có"))</f>
        <v/>
      </c>
      <c r="C1013" s="8"/>
      <c r="D1013" s="8"/>
      <c r="E1013" s="8"/>
      <c r="F1013" s="13"/>
      <c r="G1013" s="14"/>
      <c r="H1013" s="8"/>
      <c r="I1013" s="11" t="str">
        <f aca="false">IF(OR(F1013="",G1013=""),"",ROUND(F1013*G1013,0))</f>
        <v/>
      </c>
    </row>
    <row r="1014" customFormat="false" ht="15" hidden="false" customHeight="false" outlineLevel="0" collapsed="false">
      <c r="A1014" s="8"/>
      <c r="B1014" s="10" t="str">
        <f aca="false">IF(A1014="","",IFERROR(VLOOKUP(A1014,DonHang!$A$2:$C$500,3,FALSE()),"mã đơn chưa có"))</f>
        <v/>
      </c>
      <c r="C1014" s="8"/>
      <c r="D1014" s="8"/>
      <c r="E1014" s="8"/>
      <c r="F1014" s="13"/>
      <c r="G1014" s="14"/>
      <c r="H1014" s="8"/>
      <c r="I1014" s="11" t="str">
        <f aca="false">IF(OR(F1014="",G1014=""),"",ROUND(F1014*G1014,0))</f>
        <v/>
      </c>
    </row>
    <row r="1015" customFormat="false" ht="15" hidden="false" customHeight="false" outlineLevel="0" collapsed="false">
      <c r="A1015" s="8"/>
      <c r="B1015" s="10" t="str">
        <f aca="false">IF(A1015="","",IFERROR(VLOOKUP(A1015,DonHang!$A$2:$C$500,3,FALSE()),"mã đơn chưa có"))</f>
        <v/>
      </c>
      <c r="C1015" s="8"/>
      <c r="D1015" s="8"/>
      <c r="E1015" s="8"/>
      <c r="F1015" s="13"/>
      <c r="G1015" s="14"/>
      <c r="H1015" s="8"/>
      <c r="I1015" s="11" t="str">
        <f aca="false">IF(OR(F1015="",G1015=""),"",ROUND(F1015*G1015,0))</f>
        <v/>
      </c>
    </row>
    <row r="1016" customFormat="false" ht="15" hidden="false" customHeight="false" outlineLevel="0" collapsed="false">
      <c r="A1016" s="8"/>
      <c r="B1016" s="10" t="str">
        <f aca="false">IF(A1016="","",IFERROR(VLOOKUP(A1016,DonHang!$A$2:$C$500,3,FALSE()),"mã đơn chưa có"))</f>
        <v/>
      </c>
      <c r="C1016" s="8"/>
      <c r="D1016" s="8"/>
      <c r="E1016" s="8"/>
      <c r="F1016" s="13"/>
      <c r="G1016" s="14"/>
      <c r="H1016" s="8"/>
      <c r="I1016" s="11" t="str">
        <f aca="false">IF(OR(F1016="",G1016=""),"",ROUND(F1016*G1016,0))</f>
        <v/>
      </c>
    </row>
    <row r="1017" customFormat="false" ht="15" hidden="false" customHeight="false" outlineLevel="0" collapsed="false">
      <c r="A1017" s="8"/>
      <c r="B1017" s="10" t="str">
        <f aca="false">IF(A1017="","",IFERROR(VLOOKUP(A1017,DonHang!$A$2:$C$500,3,FALSE()),"mã đơn chưa có"))</f>
        <v/>
      </c>
      <c r="C1017" s="8"/>
      <c r="D1017" s="8"/>
      <c r="E1017" s="8"/>
      <c r="F1017" s="13"/>
      <c r="G1017" s="14"/>
      <c r="H1017" s="8"/>
      <c r="I1017" s="11" t="str">
        <f aca="false">IF(OR(F1017="",G1017=""),"",ROUND(F1017*G1017,0))</f>
        <v/>
      </c>
    </row>
    <row r="1018" customFormat="false" ht="15" hidden="false" customHeight="false" outlineLevel="0" collapsed="false">
      <c r="A1018" s="8"/>
      <c r="B1018" s="10" t="str">
        <f aca="false">IF(A1018="","",IFERROR(VLOOKUP(A1018,DonHang!$A$2:$C$500,3,FALSE()),"mã đơn chưa có"))</f>
        <v/>
      </c>
      <c r="C1018" s="8"/>
      <c r="D1018" s="8"/>
      <c r="E1018" s="8"/>
      <c r="F1018" s="13"/>
      <c r="G1018" s="14"/>
      <c r="H1018" s="8"/>
      <c r="I1018" s="11" t="str">
        <f aca="false">IF(OR(F1018="",G1018=""),"",ROUND(F1018*G1018,0))</f>
        <v/>
      </c>
    </row>
    <row r="1019" customFormat="false" ht="15" hidden="false" customHeight="false" outlineLevel="0" collapsed="false">
      <c r="A1019" s="8"/>
      <c r="B1019" s="10" t="str">
        <f aca="false">IF(A1019="","",IFERROR(VLOOKUP(A1019,DonHang!$A$2:$C$500,3,FALSE()),"mã đơn chưa có"))</f>
        <v/>
      </c>
      <c r="C1019" s="8"/>
      <c r="D1019" s="8"/>
      <c r="E1019" s="8"/>
      <c r="F1019" s="13"/>
      <c r="G1019" s="14"/>
      <c r="H1019" s="8"/>
      <c r="I1019" s="11" t="str">
        <f aca="false">IF(OR(F1019="",G1019=""),"",ROUND(F1019*G1019,0))</f>
        <v/>
      </c>
    </row>
    <row r="1020" customFormat="false" ht="15" hidden="false" customHeight="false" outlineLevel="0" collapsed="false">
      <c r="A1020" s="8"/>
      <c r="B1020" s="10" t="str">
        <f aca="false">IF(A1020="","",IFERROR(VLOOKUP(A1020,DonHang!$A$2:$C$500,3,FALSE()),"mã đơn chưa có"))</f>
        <v/>
      </c>
      <c r="C1020" s="8"/>
      <c r="D1020" s="8"/>
      <c r="E1020" s="8"/>
      <c r="F1020" s="13"/>
      <c r="G1020" s="14"/>
      <c r="H1020" s="8"/>
      <c r="I1020" s="11" t="str">
        <f aca="false">IF(OR(F1020="",G1020=""),"",ROUND(F1020*G1020,0))</f>
        <v/>
      </c>
    </row>
    <row r="1021" customFormat="false" ht="15" hidden="false" customHeight="false" outlineLevel="0" collapsed="false">
      <c r="A1021" s="8"/>
      <c r="B1021" s="10" t="str">
        <f aca="false">IF(A1021="","",IFERROR(VLOOKUP(A1021,DonHang!$A$2:$C$500,3,FALSE()),"mã đơn chưa có"))</f>
        <v/>
      </c>
      <c r="C1021" s="8"/>
      <c r="D1021" s="8"/>
      <c r="E1021" s="8"/>
      <c r="F1021" s="13"/>
      <c r="G1021" s="14"/>
      <c r="H1021" s="8"/>
      <c r="I1021" s="11" t="str">
        <f aca="false">IF(OR(F1021="",G1021=""),"",ROUND(F1021*G1021,0))</f>
        <v/>
      </c>
    </row>
    <row r="1022" customFormat="false" ht="15" hidden="false" customHeight="false" outlineLevel="0" collapsed="false">
      <c r="A1022" s="8"/>
      <c r="B1022" s="10" t="str">
        <f aca="false">IF(A1022="","",IFERROR(VLOOKUP(A1022,DonHang!$A$2:$C$500,3,FALSE()),"mã đơn chưa có"))</f>
        <v/>
      </c>
      <c r="C1022" s="8"/>
      <c r="D1022" s="8"/>
      <c r="E1022" s="8"/>
      <c r="F1022" s="13"/>
      <c r="G1022" s="14"/>
      <c r="H1022" s="8"/>
      <c r="I1022" s="11" t="str">
        <f aca="false">IF(OR(F1022="",G1022=""),"",ROUND(F1022*G1022,0))</f>
        <v/>
      </c>
    </row>
    <row r="1023" customFormat="false" ht="15" hidden="false" customHeight="false" outlineLevel="0" collapsed="false">
      <c r="A1023" s="8"/>
      <c r="B1023" s="10" t="str">
        <f aca="false">IF(A1023="","",IFERROR(VLOOKUP(A1023,DonHang!$A$2:$C$500,3,FALSE()),"mã đơn chưa có"))</f>
        <v/>
      </c>
      <c r="C1023" s="8"/>
      <c r="D1023" s="8"/>
      <c r="E1023" s="8"/>
      <c r="F1023" s="13"/>
      <c r="G1023" s="14"/>
      <c r="H1023" s="8"/>
      <c r="I1023" s="11" t="str">
        <f aca="false">IF(OR(F1023="",G1023=""),"",ROUND(F1023*G1023,0))</f>
        <v/>
      </c>
    </row>
    <row r="1024" customFormat="false" ht="15" hidden="false" customHeight="false" outlineLevel="0" collapsed="false">
      <c r="A1024" s="8"/>
      <c r="B1024" s="10" t="str">
        <f aca="false">IF(A1024="","",IFERROR(VLOOKUP(A1024,DonHang!$A$2:$C$500,3,FALSE()),"mã đơn chưa có"))</f>
        <v/>
      </c>
      <c r="C1024" s="8"/>
      <c r="D1024" s="8"/>
      <c r="E1024" s="8"/>
      <c r="F1024" s="13"/>
      <c r="G1024" s="14"/>
      <c r="H1024" s="8"/>
      <c r="I1024" s="11" t="str">
        <f aca="false">IF(OR(F1024="",G1024=""),"",ROUND(F1024*G1024,0))</f>
        <v/>
      </c>
    </row>
    <row r="1025" customFormat="false" ht="15" hidden="false" customHeight="false" outlineLevel="0" collapsed="false">
      <c r="A1025" s="8"/>
      <c r="B1025" s="10" t="str">
        <f aca="false">IF(A1025="","",IFERROR(VLOOKUP(A1025,DonHang!$A$2:$C$500,3,FALSE()),"mã đơn chưa có"))</f>
        <v/>
      </c>
      <c r="C1025" s="8"/>
      <c r="D1025" s="8"/>
      <c r="E1025" s="8"/>
      <c r="F1025" s="13"/>
      <c r="G1025" s="14"/>
      <c r="H1025" s="8"/>
      <c r="I1025" s="11" t="str">
        <f aca="false">IF(OR(F1025="",G1025=""),"",ROUND(F1025*G1025,0))</f>
        <v/>
      </c>
    </row>
    <row r="1026" customFormat="false" ht="15" hidden="false" customHeight="false" outlineLevel="0" collapsed="false">
      <c r="A1026" s="8"/>
      <c r="B1026" s="10" t="str">
        <f aca="false">IF(A1026="","",IFERROR(VLOOKUP(A1026,DonHang!$A$2:$C$500,3,FALSE()),"mã đơn chưa có"))</f>
        <v/>
      </c>
      <c r="C1026" s="8"/>
      <c r="D1026" s="8"/>
      <c r="E1026" s="8"/>
      <c r="F1026" s="13"/>
      <c r="G1026" s="14"/>
      <c r="H1026" s="8"/>
      <c r="I1026" s="11" t="str">
        <f aca="false">IF(OR(F1026="",G1026=""),"",ROUND(F1026*G1026,0))</f>
        <v/>
      </c>
    </row>
    <row r="1027" customFormat="false" ht="15" hidden="false" customHeight="false" outlineLevel="0" collapsed="false">
      <c r="A1027" s="8"/>
      <c r="B1027" s="10" t="str">
        <f aca="false">IF(A1027="","",IFERROR(VLOOKUP(A1027,DonHang!$A$2:$C$500,3,FALSE()),"mã đơn chưa có"))</f>
        <v/>
      </c>
      <c r="C1027" s="8"/>
      <c r="D1027" s="8"/>
      <c r="E1027" s="8"/>
      <c r="F1027" s="13"/>
      <c r="G1027" s="14"/>
      <c r="H1027" s="8"/>
      <c r="I1027" s="11" t="str">
        <f aca="false">IF(OR(F1027="",G1027=""),"",ROUND(F1027*G1027,0))</f>
        <v/>
      </c>
    </row>
    <row r="1028" customFormat="false" ht="15" hidden="false" customHeight="false" outlineLevel="0" collapsed="false">
      <c r="A1028" s="8"/>
      <c r="B1028" s="10" t="str">
        <f aca="false">IF(A1028="","",IFERROR(VLOOKUP(A1028,DonHang!$A$2:$C$500,3,FALSE()),"mã đơn chưa có"))</f>
        <v/>
      </c>
      <c r="C1028" s="8"/>
      <c r="D1028" s="8"/>
      <c r="E1028" s="8"/>
      <c r="F1028" s="13"/>
      <c r="G1028" s="14"/>
      <c r="H1028" s="8"/>
      <c r="I1028" s="11" t="str">
        <f aca="false">IF(OR(F1028="",G1028=""),"",ROUND(F1028*G1028,0))</f>
        <v/>
      </c>
    </row>
    <row r="1029" customFormat="false" ht="15" hidden="false" customHeight="false" outlineLevel="0" collapsed="false">
      <c r="A1029" s="8"/>
      <c r="B1029" s="10" t="str">
        <f aca="false">IF(A1029="","",IFERROR(VLOOKUP(A1029,DonHang!$A$2:$C$500,3,FALSE()),"mã đơn chưa có"))</f>
        <v/>
      </c>
      <c r="C1029" s="8"/>
      <c r="D1029" s="8"/>
      <c r="E1029" s="8"/>
      <c r="F1029" s="13"/>
      <c r="G1029" s="14"/>
      <c r="H1029" s="8"/>
      <c r="I1029" s="11" t="str">
        <f aca="false">IF(OR(F1029="",G1029=""),"",ROUND(F1029*G1029,0))</f>
        <v/>
      </c>
    </row>
    <row r="1030" customFormat="false" ht="15" hidden="false" customHeight="false" outlineLevel="0" collapsed="false">
      <c r="A1030" s="8"/>
      <c r="B1030" s="10" t="str">
        <f aca="false">IF(A1030="","",IFERROR(VLOOKUP(A1030,DonHang!$A$2:$C$500,3,FALSE()),"mã đơn chưa có"))</f>
        <v/>
      </c>
      <c r="C1030" s="8"/>
      <c r="D1030" s="8"/>
      <c r="E1030" s="8"/>
      <c r="F1030" s="13"/>
      <c r="G1030" s="14"/>
      <c r="H1030" s="8"/>
      <c r="I1030" s="11" t="str">
        <f aca="false">IF(OR(F1030="",G1030=""),"",ROUND(F1030*G1030,0))</f>
        <v/>
      </c>
    </row>
    <row r="1031" customFormat="false" ht="15" hidden="false" customHeight="false" outlineLevel="0" collapsed="false">
      <c r="A1031" s="8"/>
      <c r="B1031" s="10" t="str">
        <f aca="false">IF(A1031="","",IFERROR(VLOOKUP(A1031,DonHang!$A$2:$C$500,3,FALSE()),"mã đơn chưa có"))</f>
        <v/>
      </c>
      <c r="C1031" s="8"/>
      <c r="D1031" s="8"/>
      <c r="E1031" s="8"/>
      <c r="F1031" s="13"/>
      <c r="G1031" s="14"/>
      <c r="H1031" s="8"/>
      <c r="I1031" s="11" t="str">
        <f aca="false">IF(OR(F1031="",G1031=""),"",ROUND(F1031*G1031,0))</f>
        <v/>
      </c>
    </row>
    <row r="1032" customFormat="false" ht="15" hidden="false" customHeight="false" outlineLevel="0" collapsed="false">
      <c r="A1032" s="8"/>
      <c r="B1032" s="10" t="str">
        <f aca="false">IF(A1032="","",IFERROR(VLOOKUP(A1032,DonHang!$A$2:$C$500,3,FALSE()),"mã đơn chưa có"))</f>
        <v/>
      </c>
      <c r="C1032" s="8"/>
      <c r="D1032" s="8"/>
      <c r="E1032" s="8"/>
      <c r="F1032" s="13"/>
      <c r="G1032" s="14"/>
      <c r="H1032" s="8"/>
      <c r="I1032" s="11" t="str">
        <f aca="false">IF(OR(F1032="",G1032=""),"",ROUND(F1032*G1032,0))</f>
        <v/>
      </c>
    </row>
    <row r="1033" customFormat="false" ht="15" hidden="false" customHeight="false" outlineLevel="0" collapsed="false">
      <c r="A1033" s="8"/>
      <c r="B1033" s="10" t="str">
        <f aca="false">IF(A1033="","",IFERROR(VLOOKUP(A1033,DonHang!$A$2:$C$500,3,FALSE()),"mã đơn chưa có"))</f>
        <v/>
      </c>
      <c r="C1033" s="8"/>
      <c r="D1033" s="8"/>
      <c r="E1033" s="8"/>
      <c r="F1033" s="13"/>
      <c r="G1033" s="14"/>
      <c r="H1033" s="8"/>
      <c r="I1033" s="11" t="str">
        <f aca="false">IF(OR(F1033="",G1033=""),"",ROUND(F1033*G1033,0))</f>
        <v/>
      </c>
    </row>
    <row r="1034" customFormat="false" ht="15" hidden="false" customHeight="false" outlineLevel="0" collapsed="false">
      <c r="A1034" s="8"/>
      <c r="B1034" s="10" t="str">
        <f aca="false">IF(A1034="","",IFERROR(VLOOKUP(A1034,DonHang!$A$2:$C$500,3,FALSE()),"mã đơn chưa có"))</f>
        <v/>
      </c>
      <c r="C1034" s="8"/>
      <c r="D1034" s="8"/>
      <c r="E1034" s="8"/>
      <c r="F1034" s="13"/>
      <c r="G1034" s="14"/>
      <c r="H1034" s="8"/>
      <c r="I1034" s="11" t="str">
        <f aca="false">IF(OR(F1034="",G1034=""),"",ROUND(F1034*G1034,0))</f>
        <v/>
      </c>
    </row>
    <row r="1035" customFormat="false" ht="15" hidden="false" customHeight="false" outlineLevel="0" collapsed="false">
      <c r="A1035" s="8"/>
      <c r="B1035" s="10" t="str">
        <f aca="false">IF(A1035="","",IFERROR(VLOOKUP(A1035,DonHang!$A$2:$C$500,3,FALSE()),"mã đơn chưa có"))</f>
        <v/>
      </c>
      <c r="C1035" s="8"/>
      <c r="D1035" s="8"/>
      <c r="E1035" s="8"/>
      <c r="F1035" s="13"/>
      <c r="G1035" s="14"/>
      <c r="H1035" s="8"/>
      <c r="I1035" s="11" t="str">
        <f aca="false">IF(OR(F1035="",G1035=""),"",ROUND(F1035*G1035,0))</f>
        <v/>
      </c>
    </row>
    <row r="1036" customFormat="false" ht="15" hidden="false" customHeight="false" outlineLevel="0" collapsed="false">
      <c r="A1036" s="8"/>
      <c r="B1036" s="10" t="str">
        <f aca="false">IF(A1036="","",IFERROR(VLOOKUP(A1036,DonHang!$A$2:$C$500,3,FALSE()),"mã đơn chưa có"))</f>
        <v/>
      </c>
      <c r="C1036" s="8"/>
      <c r="D1036" s="8"/>
      <c r="E1036" s="8"/>
      <c r="F1036" s="13"/>
      <c r="G1036" s="14"/>
      <c r="H1036" s="8"/>
      <c r="I1036" s="11" t="str">
        <f aca="false">IF(OR(F1036="",G1036=""),"",ROUND(F1036*G1036,0))</f>
        <v/>
      </c>
    </row>
    <row r="1037" customFormat="false" ht="15" hidden="false" customHeight="false" outlineLevel="0" collapsed="false">
      <c r="A1037" s="8"/>
      <c r="B1037" s="10" t="str">
        <f aca="false">IF(A1037="","",IFERROR(VLOOKUP(A1037,DonHang!$A$2:$C$500,3,FALSE()),"mã đơn chưa có"))</f>
        <v/>
      </c>
      <c r="C1037" s="8"/>
      <c r="D1037" s="8"/>
      <c r="E1037" s="8"/>
      <c r="F1037" s="13"/>
      <c r="G1037" s="14"/>
      <c r="H1037" s="8"/>
      <c r="I1037" s="11" t="str">
        <f aca="false">IF(OR(F1037="",G1037=""),"",ROUND(F1037*G1037,0))</f>
        <v/>
      </c>
    </row>
    <row r="1038" customFormat="false" ht="15" hidden="false" customHeight="false" outlineLevel="0" collapsed="false">
      <c r="A1038" s="8"/>
      <c r="B1038" s="10" t="str">
        <f aca="false">IF(A1038="","",IFERROR(VLOOKUP(A1038,DonHang!$A$2:$C$500,3,FALSE()),"mã đơn chưa có"))</f>
        <v/>
      </c>
      <c r="C1038" s="8"/>
      <c r="D1038" s="8"/>
      <c r="E1038" s="8"/>
      <c r="F1038" s="13"/>
      <c r="G1038" s="14"/>
      <c r="H1038" s="8"/>
      <c r="I1038" s="11" t="str">
        <f aca="false">IF(OR(F1038="",G1038=""),"",ROUND(F1038*G1038,0))</f>
        <v/>
      </c>
    </row>
    <row r="1039" customFormat="false" ht="15" hidden="false" customHeight="false" outlineLevel="0" collapsed="false">
      <c r="A1039" s="8"/>
      <c r="B1039" s="10" t="str">
        <f aca="false">IF(A1039="","",IFERROR(VLOOKUP(A1039,DonHang!$A$2:$C$500,3,FALSE()),"mã đơn chưa có"))</f>
        <v/>
      </c>
      <c r="C1039" s="8"/>
      <c r="D1039" s="8"/>
      <c r="E1039" s="8"/>
      <c r="F1039" s="13"/>
      <c r="G1039" s="14"/>
      <c r="H1039" s="8"/>
      <c r="I1039" s="11" t="str">
        <f aca="false">IF(OR(F1039="",G1039=""),"",ROUND(F1039*G1039,0))</f>
        <v/>
      </c>
    </row>
    <row r="1040" customFormat="false" ht="15" hidden="false" customHeight="false" outlineLevel="0" collapsed="false">
      <c r="A1040" s="8"/>
      <c r="B1040" s="10" t="str">
        <f aca="false">IF(A1040="","",IFERROR(VLOOKUP(A1040,DonHang!$A$2:$C$500,3,FALSE()),"mã đơn chưa có"))</f>
        <v/>
      </c>
      <c r="C1040" s="8"/>
      <c r="D1040" s="8"/>
      <c r="E1040" s="8"/>
      <c r="F1040" s="13"/>
      <c r="G1040" s="14"/>
      <c r="H1040" s="8"/>
      <c r="I1040" s="11" t="str">
        <f aca="false">IF(OR(F1040="",G1040=""),"",ROUND(F1040*G1040,0))</f>
        <v/>
      </c>
    </row>
    <row r="1041" customFormat="false" ht="15" hidden="false" customHeight="false" outlineLevel="0" collapsed="false">
      <c r="A1041" s="8"/>
      <c r="B1041" s="10" t="str">
        <f aca="false">IF(A1041="","",IFERROR(VLOOKUP(A1041,DonHang!$A$2:$C$500,3,FALSE()),"mã đơn chưa có"))</f>
        <v/>
      </c>
      <c r="C1041" s="8"/>
      <c r="D1041" s="8"/>
      <c r="E1041" s="8"/>
      <c r="F1041" s="13"/>
      <c r="G1041" s="14"/>
      <c r="H1041" s="8"/>
      <c r="I1041" s="11" t="str">
        <f aca="false">IF(OR(F1041="",G1041=""),"",ROUND(F1041*G1041,0))</f>
        <v/>
      </c>
    </row>
    <row r="1042" customFormat="false" ht="15" hidden="false" customHeight="false" outlineLevel="0" collapsed="false">
      <c r="A1042" s="8"/>
      <c r="B1042" s="10" t="str">
        <f aca="false">IF(A1042="","",IFERROR(VLOOKUP(A1042,DonHang!$A$2:$C$500,3,FALSE()),"mã đơn chưa có"))</f>
        <v/>
      </c>
      <c r="C1042" s="8"/>
      <c r="D1042" s="8"/>
      <c r="E1042" s="8"/>
      <c r="F1042" s="13"/>
      <c r="G1042" s="14"/>
      <c r="H1042" s="8"/>
      <c r="I1042" s="11" t="str">
        <f aca="false">IF(OR(F1042="",G1042=""),"",ROUND(F1042*G1042,0))</f>
        <v/>
      </c>
    </row>
    <row r="1043" customFormat="false" ht="15" hidden="false" customHeight="false" outlineLevel="0" collapsed="false">
      <c r="A1043" s="8"/>
      <c r="B1043" s="10" t="str">
        <f aca="false">IF(A1043="","",IFERROR(VLOOKUP(A1043,DonHang!$A$2:$C$500,3,FALSE()),"mã đơn chưa có"))</f>
        <v/>
      </c>
      <c r="C1043" s="8"/>
      <c r="D1043" s="8"/>
      <c r="E1043" s="8"/>
      <c r="F1043" s="13"/>
      <c r="G1043" s="14"/>
      <c r="H1043" s="8"/>
      <c r="I1043" s="11" t="str">
        <f aca="false">IF(OR(F1043="",G1043=""),"",ROUND(F1043*G1043,0))</f>
        <v/>
      </c>
    </row>
    <row r="1044" customFormat="false" ht="15" hidden="false" customHeight="false" outlineLevel="0" collapsed="false">
      <c r="A1044" s="8"/>
      <c r="B1044" s="10" t="str">
        <f aca="false">IF(A1044="","",IFERROR(VLOOKUP(A1044,DonHang!$A$2:$C$500,3,FALSE()),"mã đơn chưa có"))</f>
        <v/>
      </c>
      <c r="C1044" s="8"/>
      <c r="D1044" s="8"/>
      <c r="E1044" s="8"/>
      <c r="F1044" s="13"/>
      <c r="G1044" s="14"/>
      <c r="H1044" s="8"/>
      <c r="I1044" s="11" t="str">
        <f aca="false">IF(OR(F1044="",G1044=""),"",ROUND(F1044*G1044,0))</f>
        <v/>
      </c>
    </row>
    <row r="1045" customFormat="false" ht="15" hidden="false" customHeight="false" outlineLevel="0" collapsed="false">
      <c r="A1045" s="8"/>
      <c r="B1045" s="10" t="str">
        <f aca="false">IF(A1045="","",IFERROR(VLOOKUP(A1045,DonHang!$A$2:$C$500,3,FALSE()),"mã đơn chưa có"))</f>
        <v/>
      </c>
      <c r="C1045" s="8"/>
      <c r="D1045" s="8"/>
      <c r="E1045" s="8"/>
      <c r="F1045" s="13"/>
      <c r="G1045" s="14"/>
      <c r="H1045" s="8"/>
      <c r="I1045" s="11" t="str">
        <f aca="false">IF(OR(F1045="",G1045=""),"",ROUND(F1045*G1045,0))</f>
        <v/>
      </c>
    </row>
    <row r="1046" customFormat="false" ht="15" hidden="false" customHeight="false" outlineLevel="0" collapsed="false">
      <c r="A1046" s="8"/>
      <c r="B1046" s="10" t="str">
        <f aca="false">IF(A1046="","",IFERROR(VLOOKUP(A1046,DonHang!$A$2:$C$500,3,FALSE()),"mã đơn chưa có"))</f>
        <v/>
      </c>
      <c r="C1046" s="8"/>
      <c r="D1046" s="8"/>
      <c r="E1046" s="8"/>
      <c r="F1046" s="13"/>
      <c r="G1046" s="14"/>
      <c r="H1046" s="8"/>
      <c r="I1046" s="11" t="str">
        <f aca="false">IF(OR(F1046="",G1046=""),"",ROUND(F1046*G1046,0))</f>
        <v/>
      </c>
    </row>
    <row r="1047" customFormat="false" ht="15" hidden="false" customHeight="false" outlineLevel="0" collapsed="false">
      <c r="A1047" s="8"/>
      <c r="B1047" s="10" t="str">
        <f aca="false">IF(A1047="","",IFERROR(VLOOKUP(A1047,DonHang!$A$2:$C$500,3,FALSE()),"mã đơn chưa có"))</f>
        <v/>
      </c>
      <c r="C1047" s="8"/>
      <c r="D1047" s="8"/>
      <c r="E1047" s="8"/>
      <c r="F1047" s="13"/>
      <c r="G1047" s="14"/>
      <c r="H1047" s="8"/>
      <c r="I1047" s="11" t="str">
        <f aca="false">IF(OR(F1047="",G1047=""),"",ROUND(F1047*G1047,0))</f>
        <v/>
      </c>
    </row>
    <row r="1048" customFormat="false" ht="15" hidden="false" customHeight="false" outlineLevel="0" collapsed="false">
      <c r="A1048" s="8"/>
      <c r="B1048" s="10" t="str">
        <f aca="false">IF(A1048="","",IFERROR(VLOOKUP(A1048,DonHang!$A$2:$C$500,3,FALSE()),"mã đơn chưa có"))</f>
        <v/>
      </c>
      <c r="C1048" s="8"/>
      <c r="D1048" s="8"/>
      <c r="E1048" s="8"/>
      <c r="F1048" s="13"/>
      <c r="G1048" s="14"/>
      <c r="H1048" s="8"/>
      <c r="I1048" s="11" t="str">
        <f aca="false">IF(OR(F1048="",G1048=""),"",ROUND(F1048*G1048,0))</f>
        <v/>
      </c>
    </row>
    <row r="1049" customFormat="false" ht="15" hidden="false" customHeight="false" outlineLevel="0" collapsed="false">
      <c r="A1049" s="8"/>
      <c r="B1049" s="10" t="str">
        <f aca="false">IF(A1049="","",IFERROR(VLOOKUP(A1049,DonHang!$A$2:$C$500,3,FALSE()),"mã đơn chưa có"))</f>
        <v/>
      </c>
      <c r="C1049" s="8"/>
      <c r="D1049" s="8"/>
      <c r="E1049" s="8"/>
      <c r="F1049" s="13"/>
      <c r="G1049" s="14"/>
      <c r="H1049" s="8"/>
      <c r="I1049" s="11" t="str">
        <f aca="false">IF(OR(F1049="",G1049=""),"",ROUND(F1049*G1049,0))</f>
        <v/>
      </c>
    </row>
    <row r="1050" customFormat="false" ht="15" hidden="false" customHeight="false" outlineLevel="0" collapsed="false">
      <c r="A1050" s="8"/>
      <c r="B1050" s="10" t="str">
        <f aca="false">IF(A1050="","",IFERROR(VLOOKUP(A1050,DonHang!$A$2:$C$500,3,FALSE()),"mã đơn chưa có"))</f>
        <v/>
      </c>
      <c r="C1050" s="8"/>
      <c r="D1050" s="8"/>
      <c r="E1050" s="8"/>
      <c r="F1050" s="13"/>
      <c r="G1050" s="14"/>
      <c r="H1050" s="8"/>
      <c r="I1050" s="11" t="str">
        <f aca="false">IF(OR(F1050="",G1050=""),"",ROUND(F1050*G1050,0))</f>
        <v/>
      </c>
    </row>
    <row r="1051" customFormat="false" ht="15" hidden="false" customHeight="false" outlineLevel="0" collapsed="false">
      <c r="A1051" s="8"/>
      <c r="B1051" s="10" t="str">
        <f aca="false">IF(A1051="","",IFERROR(VLOOKUP(A1051,DonHang!$A$2:$C$500,3,FALSE()),"mã đơn chưa có"))</f>
        <v/>
      </c>
      <c r="C1051" s="8"/>
      <c r="D1051" s="8"/>
      <c r="E1051" s="8"/>
      <c r="F1051" s="13"/>
      <c r="G1051" s="14"/>
      <c r="H1051" s="8"/>
      <c r="I1051" s="11" t="str">
        <f aca="false">IF(OR(F1051="",G1051=""),"",ROUND(F1051*G1051,0))</f>
        <v/>
      </c>
    </row>
    <row r="1052" customFormat="false" ht="15" hidden="false" customHeight="false" outlineLevel="0" collapsed="false">
      <c r="A1052" s="8"/>
      <c r="B1052" s="10" t="str">
        <f aca="false">IF(A1052="","",IFERROR(VLOOKUP(A1052,DonHang!$A$2:$C$500,3,FALSE()),"mã đơn chưa có"))</f>
        <v/>
      </c>
      <c r="C1052" s="8"/>
      <c r="D1052" s="8"/>
      <c r="E1052" s="8"/>
      <c r="F1052" s="13"/>
      <c r="G1052" s="14"/>
      <c r="H1052" s="8"/>
      <c r="I1052" s="11" t="str">
        <f aca="false">IF(OR(F1052="",G1052=""),"",ROUND(F1052*G1052,0))</f>
        <v/>
      </c>
    </row>
    <row r="1053" customFormat="false" ht="15" hidden="false" customHeight="false" outlineLevel="0" collapsed="false">
      <c r="A1053" s="8"/>
      <c r="B1053" s="10" t="str">
        <f aca="false">IF(A1053="","",IFERROR(VLOOKUP(A1053,DonHang!$A$2:$C$500,3,FALSE()),"mã đơn chưa có"))</f>
        <v/>
      </c>
      <c r="C1053" s="8"/>
      <c r="D1053" s="8"/>
      <c r="E1053" s="8"/>
      <c r="F1053" s="13"/>
      <c r="G1053" s="14"/>
      <c r="H1053" s="8"/>
      <c r="I1053" s="11" t="str">
        <f aca="false">IF(OR(F1053="",G1053=""),"",ROUND(F1053*G1053,0))</f>
        <v/>
      </c>
    </row>
    <row r="1054" customFormat="false" ht="15" hidden="false" customHeight="false" outlineLevel="0" collapsed="false">
      <c r="A1054" s="8"/>
      <c r="B1054" s="10" t="str">
        <f aca="false">IF(A1054="","",IFERROR(VLOOKUP(A1054,DonHang!$A$2:$C$500,3,FALSE()),"mã đơn chưa có"))</f>
        <v/>
      </c>
      <c r="C1054" s="8"/>
      <c r="D1054" s="8"/>
      <c r="E1054" s="8"/>
      <c r="F1054" s="13"/>
      <c r="G1054" s="14"/>
      <c r="H1054" s="8"/>
      <c r="I1054" s="11" t="str">
        <f aca="false">IF(OR(F1054="",G1054=""),"",ROUND(F1054*G1054,0))</f>
        <v/>
      </c>
    </row>
    <row r="1055" customFormat="false" ht="15" hidden="false" customHeight="false" outlineLevel="0" collapsed="false">
      <c r="A1055" s="8"/>
      <c r="B1055" s="10" t="str">
        <f aca="false">IF(A1055="","",IFERROR(VLOOKUP(A1055,DonHang!$A$2:$C$500,3,FALSE()),"mã đơn chưa có"))</f>
        <v/>
      </c>
      <c r="C1055" s="8"/>
      <c r="D1055" s="8"/>
      <c r="E1055" s="8"/>
      <c r="F1055" s="13"/>
      <c r="G1055" s="14"/>
      <c r="H1055" s="8"/>
      <c r="I1055" s="11" t="str">
        <f aca="false">IF(OR(F1055="",G1055=""),"",ROUND(F1055*G1055,0))</f>
        <v/>
      </c>
    </row>
    <row r="1056" customFormat="false" ht="15" hidden="false" customHeight="false" outlineLevel="0" collapsed="false">
      <c r="A1056" s="8"/>
      <c r="B1056" s="10" t="str">
        <f aca="false">IF(A1056="","",IFERROR(VLOOKUP(A1056,DonHang!$A$2:$C$500,3,FALSE()),"mã đơn chưa có"))</f>
        <v/>
      </c>
      <c r="C1056" s="8"/>
      <c r="D1056" s="8"/>
      <c r="E1056" s="8"/>
      <c r="F1056" s="13"/>
      <c r="G1056" s="14"/>
      <c r="H1056" s="8"/>
      <c r="I1056" s="11" t="str">
        <f aca="false">IF(OR(F1056="",G1056=""),"",ROUND(F1056*G1056,0))</f>
        <v/>
      </c>
    </row>
    <row r="1057" customFormat="false" ht="15" hidden="false" customHeight="false" outlineLevel="0" collapsed="false">
      <c r="A1057" s="8"/>
      <c r="B1057" s="10" t="str">
        <f aca="false">IF(A1057="","",IFERROR(VLOOKUP(A1057,DonHang!$A$2:$C$500,3,FALSE()),"mã đơn chưa có"))</f>
        <v/>
      </c>
      <c r="C1057" s="8"/>
      <c r="D1057" s="8"/>
      <c r="E1057" s="8"/>
      <c r="F1057" s="13"/>
      <c r="G1057" s="14"/>
      <c r="H1057" s="8"/>
      <c r="I1057" s="11" t="str">
        <f aca="false">IF(OR(F1057="",G1057=""),"",ROUND(F1057*G1057,0))</f>
        <v/>
      </c>
    </row>
    <row r="1058" customFormat="false" ht="15" hidden="false" customHeight="false" outlineLevel="0" collapsed="false">
      <c r="A1058" s="8"/>
      <c r="B1058" s="10" t="str">
        <f aca="false">IF(A1058="","",IFERROR(VLOOKUP(A1058,DonHang!$A$2:$C$500,3,FALSE()),"mã đơn chưa có"))</f>
        <v/>
      </c>
      <c r="C1058" s="8"/>
      <c r="D1058" s="8"/>
      <c r="E1058" s="8"/>
      <c r="F1058" s="13"/>
      <c r="G1058" s="14"/>
      <c r="H1058" s="8"/>
      <c r="I1058" s="11" t="str">
        <f aca="false">IF(OR(F1058="",G1058=""),"",ROUND(F1058*G1058,0))</f>
        <v/>
      </c>
    </row>
    <row r="1059" customFormat="false" ht="15" hidden="false" customHeight="false" outlineLevel="0" collapsed="false">
      <c r="A1059" s="8"/>
      <c r="B1059" s="10" t="str">
        <f aca="false">IF(A1059="","",IFERROR(VLOOKUP(A1059,DonHang!$A$2:$C$500,3,FALSE()),"mã đơn chưa có"))</f>
        <v/>
      </c>
      <c r="C1059" s="8"/>
      <c r="D1059" s="8"/>
      <c r="E1059" s="8"/>
      <c r="F1059" s="13"/>
      <c r="G1059" s="14"/>
      <c r="H1059" s="8"/>
      <c r="I1059" s="11" t="str">
        <f aca="false">IF(OR(F1059="",G1059=""),"",ROUND(F1059*G1059,0))</f>
        <v/>
      </c>
    </row>
    <row r="1060" customFormat="false" ht="15" hidden="false" customHeight="false" outlineLevel="0" collapsed="false">
      <c r="A1060" s="8"/>
      <c r="B1060" s="10" t="str">
        <f aca="false">IF(A1060="","",IFERROR(VLOOKUP(A1060,DonHang!$A$2:$C$500,3,FALSE()),"mã đơn chưa có"))</f>
        <v/>
      </c>
      <c r="C1060" s="8"/>
      <c r="D1060" s="8"/>
      <c r="E1060" s="8"/>
      <c r="F1060" s="13"/>
      <c r="G1060" s="14"/>
      <c r="H1060" s="8"/>
      <c r="I1060" s="11" t="str">
        <f aca="false">IF(OR(F1060="",G1060=""),"",ROUND(F1060*G1060,0))</f>
        <v/>
      </c>
    </row>
    <row r="1061" customFormat="false" ht="15" hidden="false" customHeight="false" outlineLevel="0" collapsed="false">
      <c r="A1061" s="8"/>
      <c r="B1061" s="10" t="str">
        <f aca="false">IF(A1061="","",IFERROR(VLOOKUP(A1061,DonHang!$A$2:$C$500,3,FALSE()),"mã đơn chưa có"))</f>
        <v/>
      </c>
      <c r="C1061" s="8"/>
      <c r="D1061" s="8"/>
      <c r="E1061" s="8"/>
      <c r="F1061" s="13"/>
      <c r="G1061" s="14"/>
      <c r="H1061" s="8"/>
      <c r="I1061" s="11" t="str">
        <f aca="false">IF(OR(F1061="",G1061=""),"",ROUND(F1061*G1061,0))</f>
        <v/>
      </c>
    </row>
    <row r="1062" customFormat="false" ht="15" hidden="false" customHeight="false" outlineLevel="0" collapsed="false">
      <c r="A1062" s="8"/>
      <c r="B1062" s="10" t="str">
        <f aca="false">IF(A1062="","",IFERROR(VLOOKUP(A1062,DonHang!$A$2:$C$500,3,FALSE()),"mã đơn chưa có"))</f>
        <v/>
      </c>
      <c r="C1062" s="8"/>
      <c r="D1062" s="8"/>
      <c r="E1062" s="8"/>
      <c r="F1062" s="13"/>
      <c r="G1062" s="14"/>
      <c r="H1062" s="8"/>
      <c r="I1062" s="11" t="str">
        <f aca="false">IF(OR(F1062="",G1062=""),"",ROUND(F1062*G1062,0))</f>
        <v/>
      </c>
    </row>
    <row r="1063" customFormat="false" ht="15" hidden="false" customHeight="false" outlineLevel="0" collapsed="false">
      <c r="A1063" s="8"/>
      <c r="B1063" s="10" t="str">
        <f aca="false">IF(A1063="","",IFERROR(VLOOKUP(A1063,DonHang!$A$2:$C$500,3,FALSE()),"mã đơn chưa có"))</f>
        <v/>
      </c>
      <c r="C1063" s="8"/>
      <c r="D1063" s="8"/>
      <c r="E1063" s="8"/>
      <c r="F1063" s="13"/>
      <c r="G1063" s="14"/>
      <c r="H1063" s="8"/>
      <c r="I1063" s="11" t="str">
        <f aca="false">IF(OR(F1063="",G1063=""),"",ROUND(F1063*G1063,0))</f>
        <v/>
      </c>
    </row>
    <row r="1064" customFormat="false" ht="15" hidden="false" customHeight="false" outlineLevel="0" collapsed="false">
      <c r="A1064" s="8"/>
      <c r="B1064" s="10" t="str">
        <f aca="false">IF(A1064="","",IFERROR(VLOOKUP(A1064,DonHang!$A$2:$C$500,3,FALSE()),"mã đơn chưa có"))</f>
        <v/>
      </c>
      <c r="C1064" s="8"/>
      <c r="D1064" s="8"/>
      <c r="E1064" s="8"/>
      <c r="F1064" s="13"/>
      <c r="G1064" s="14"/>
      <c r="H1064" s="8"/>
      <c r="I1064" s="11" t="str">
        <f aca="false">IF(OR(F1064="",G1064=""),"",ROUND(F1064*G1064,0))</f>
        <v/>
      </c>
    </row>
    <row r="1065" customFormat="false" ht="15" hidden="false" customHeight="false" outlineLevel="0" collapsed="false">
      <c r="A1065" s="8"/>
      <c r="B1065" s="10" t="str">
        <f aca="false">IF(A1065="","",IFERROR(VLOOKUP(A1065,DonHang!$A$2:$C$500,3,FALSE()),"mã đơn chưa có"))</f>
        <v/>
      </c>
      <c r="C1065" s="8"/>
      <c r="D1065" s="8"/>
      <c r="E1065" s="8"/>
      <c r="F1065" s="13"/>
      <c r="G1065" s="14"/>
      <c r="H1065" s="8"/>
      <c r="I1065" s="11" t="str">
        <f aca="false">IF(OR(F1065="",G1065=""),"",ROUND(F1065*G1065,0))</f>
        <v/>
      </c>
    </row>
    <row r="1066" customFormat="false" ht="15" hidden="false" customHeight="false" outlineLevel="0" collapsed="false">
      <c r="A1066" s="8"/>
      <c r="B1066" s="10" t="str">
        <f aca="false">IF(A1066="","",IFERROR(VLOOKUP(A1066,DonHang!$A$2:$C$500,3,FALSE()),"mã đơn chưa có"))</f>
        <v/>
      </c>
      <c r="C1066" s="8"/>
      <c r="D1066" s="8"/>
      <c r="E1066" s="8"/>
      <c r="F1066" s="13"/>
      <c r="G1066" s="14"/>
      <c r="H1066" s="8"/>
      <c r="I1066" s="11" t="str">
        <f aca="false">IF(OR(F1066="",G1066=""),"",ROUND(F1066*G1066,0))</f>
        <v/>
      </c>
    </row>
    <row r="1067" customFormat="false" ht="15" hidden="false" customHeight="false" outlineLevel="0" collapsed="false">
      <c r="A1067" s="8"/>
      <c r="B1067" s="10" t="str">
        <f aca="false">IF(A1067="","",IFERROR(VLOOKUP(A1067,DonHang!$A$2:$C$500,3,FALSE()),"mã đơn chưa có"))</f>
        <v/>
      </c>
      <c r="C1067" s="8"/>
      <c r="D1067" s="8"/>
      <c r="E1067" s="8"/>
      <c r="F1067" s="13"/>
      <c r="G1067" s="14"/>
      <c r="H1067" s="8"/>
      <c r="I1067" s="11" t="str">
        <f aca="false">IF(OR(F1067="",G1067=""),"",ROUND(F1067*G1067,0))</f>
        <v/>
      </c>
    </row>
    <row r="1068" customFormat="false" ht="15" hidden="false" customHeight="false" outlineLevel="0" collapsed="false">
      <c r="A1068" s="8"/>
      <c r="B1068" s="10" t="str">
        <f aca="false">IF(A1068="","",IFERROR(VLOOKUP(A1068,DonHang!$A$2:$C$500,3,FALSE()),"mã đơn chưa có"))</f>
        <v/>
      </c>
      <c r="C1068" s="8"/>
      <c r="D1068" s="8"/>
      <c r="E1068" s="8"/>
      <c r="F1068" s="13"/>
      <c r="G1068" s="14"/>
      <c r="H1068" s="8"/>
      <c r="I1068" s="11" t="str">
        <f aca="false">IF(OR(F1068="",G1068=""),"",ROUND(F1068*G1068,0))</f>
        <v/>
      </c>
    </row>
    <row r="1069" customFormat="false" ht="15" hidden="false" customHeight="false" outlineLevel="0" collapsed="false">
      <c r="A1069" s="8"/>
      <c r="B1069" s="10" t="str">
        <f aca="false">IF(A1069="","",IFERROR(VLOOKUP(A1069,DonHang!$A$2:$C$500,3,FALSE()),"mã đơn chưa có"))</f>
        <v/>
      </c>
      <c r="C1069" s="8"/>
      <c r="D1069" s="8"/>
      <c r="E1069" s="8"/>
      <c r="F1069" s="13"/>
      <c r="G1069" s="14"/>
      <c r="H1069" s="8"/>
      <c r="I1069" s="11" t="str">
        <f aca="false">IF(OR(F1069="",G1069=""),"",ROUND(F1069*G1069,0))</f>
        <v/>
      </c>
    </row>
    <row r="1070" customFormat="false" ht="15" hidden="false" customHeight="false" outlineLevel="0" collapsed="false">
      <c r="A1070" s="8"/>
      <c r="B1070" s="10" t="str">
        <f aca="false">IF(A1070="","",IFERROR(VLOOKUP(A1070,DonHang!$A$2:$C$500,3,FALSE()),"mã đơn chưa có"))</f>
        <v/>
      </c>
      <c r="C1070" s="8"/>
      <c r="D1070" s="8"/>
      <c r="E1070" s="8"/>
      <c r="F1070" s="13"/>
      <c r="G1070" s="14"/>
      <c r="H1070" s="8"/>
      <c r="I1070" s="11" t="str">
        <f aca="false">IF(OR(F1070="",G1070=""),"",ROUND(F1070*G1070,0))</f>
        <v/>
      </c>
    </row>
    <row r="1071" customFormat="false" ht="15" hidden="false" customHeight="false" outlineLevel="0" collapsed="false">
      <c r="A1071" s="8"/>
      <c r="B1071" s="10" t="str">
        <f aca="false">IF(A1071="","",IFERROR(VLOOKUP(A1071,DonHang!$A$2:$C$500,3,FALSE()),"mã đơn chưa có"))</f>
        <v/>
      </c>
      <c r="C1071" s="8"/>
      <c r="D1071" s="8"/>
      <c r="E1071" s="8"/>
      <c r="F1071" s="13"/>
      <c r="G1071" s="14"/>
      <c r="H1071" s="8"/>
      <c r="I1071" s="11" t="str">
        <f aca="false">IF(OR(F1071="",G1071=""),"",ROUND(F1071*G1071,0))</f>
        <v/>
      </c>
    </row>
    <row r="1072" customFormat="false" ht="15" hidden="false" customHeight="false" outlineLevel="0" collapsed="false">
      <c r="A1072" s="8"/>
      <c r="B1072" s="10" t="str">
        <f aca="false">IF(A1072="","",IFERROR(VLOOKUP(A1072,DonHang!$A$2:$C$500,3,FALSE()),"mã đơn chưa có"))</f>
        <v/>
      </c>
      <c r="C1072" s="8"/>
      <c r="D1072" s="8"/>
      <c r="E1072" s="8"/>
      <c r="F1072" s="13"/>
      <c r="G1072" s="14"/>
      <c r="H1072" s="8"/>
      <c r="I1072" s="11" t="str">
        <f aca="false">IF(OR(F1072="",G1072=""),"",ROUND(F1072*G1072,0))</f>
        <v/>
      </c>
    </row>
    <row r="1073" customFormat="false" ht="15" hidden="false" customHeight="false" outlineLevel="0" collapsed="false">
      <c r="A1073" s="8"/>
      <c r="B1073" s="10" t="str">
        <f aca="false">IF(A1073="","",IFERROR(VLOOKUP(A1073,DonHang!$A$2:$C$500,3,FALSE()),"mã đơn chưa có"))</f>
        <v/>
      </c>
      <c r="C1073" s="8"/>
      <c r="D1073" s="8"/>
      <c r="E1073" s="8"/>
      <c r="F1073" s="13"/>
      <c r="G1073" s="14"/>
      <c r="H1073" s="8"/>
      <c r="I1073" s="11" t="str">
        <f aca="false">IF(OR(F1073="",G1073=""),"",ROUND(F1073*G1073,0))</f>
        <v/>
      </c>
    </row>
    <row r="1074" customFormat="false" ht="15" hidden="false" customHeight="false" outlineLevel="0" collapsed="false">
      <c r="A1074" s="8"/>
      <c r="B1074" s="10" t="str">
        <f aca="false">IF(A1074="","",IFERROR(VLOOKUP(A1074,DonHang!$A$2:$C$500,3,FALSE()),"mã đơn chưa có"))</f>
        <v/>
      </c>
      <c r="C1074" s="8"/>
      <c r="D1074" s="8"/>
      <c r="E1074" s="8"/>
      <c r="F1074" s="13"/>
      <c r="G1074" s="14"/>
      <c r="H1074" s="8"/>
      <c r="I1074" s="11" t="str">
        <f aca="false">IF(OR(F1074="",G1074=""),"",ROUND(F1074*G1074,0))</f>
        <v/>
      </c>
    </row>
    <row r="1075" customFormat="false" ht="15" hidden="false" customHeight="false" outlineLevel="0" collapsed="false">
      <c r="A1075" s="8"/>
      <c r="B1075" s="10" t="str">
        <f aca="false">IF(A1075="","",IFERROR(VLOOKUP(A1075,DonHang!$A$2:$C$500,3,FALSE()),"mã đơn chưa có"))</f>
        <v/>
      </c>
      <c r="C1075" s="8"/>
      <c r="D1075" s="8"/>
      <c r="E1075" s="8"/>
      <c r="F1075" s="13"/>
      <c r="G1075" s="14"/>
      <c r="H1075" s="8"/>
      <c r="I1075" s="11" t="str">
        <f aca="false">IF(OR(F1075="",G1075=""),"",ROUND(F1075*G1075,0))</f>
        <v/>
      </c>
    </row>
    <row r="1076" customFormat="false" ht="15" hidden="false" customHeight="false" outlineLevel="0" collapsed="false">
      <c r="A1076" s="8"/>
      <c r="B1076" s="10" t="str">
        <f aca="false">IF(A1076="","",IFERROR(VLOOKUP(A1076,DonHang!$A$2:$C$500,3,FALSE()),"mã đơn chưa có"))</f>
        <v/>
      </c>
      <c r="C1076" s="8"/>
      <c r="D1076" s="8"/>
      <c r="E1076" s="8"/>
      <c r="F1076" s="13"/>
      <c r="G1076" s="14"/>
      <c r="H1076" s="8"/>
      <c r="I1076" s="11" t="str">
        <f aca="false">IF(OR(F1076="",G1076=""),"",ROUND(F1076*G1076,0))</f>
        <v/>
      </c>
    </row>
    <row r="1077" customFormat="false" ht="15" hidden="false" customHeight="false" outlineLevel="0" collapsed="false">
      <c r="A1077" s="8"/>
      <c r="B1077" s="10" t="str">
        <f aca="false">IF(A1077="","",IFERROR(VLOOKUP(A1077,DonHang!$A$2:$C$500,3,FALSE()),"mã đơn chưa có"))</f>
        <v/>
      </c>
      <c r="C1077" s="8"/>
      <c r="D1077" s="8"/>
      <c r="E1077" s="8"/>
      <c r="F1077" s="13"/>
      <c r="G1077" s="14"/>
      <c r="H1077" s="8"/>
      <c r="I1077" s="11" t="str">
        <f aca="false">IF(OR(F1077="",G1077=""),"",ROUND(F1077*G1077,0))</f>
        <v/>
      </c>
    </row>
    <row r="1078" customFormat="false" ht="15" hidden="false" customHeight="false" outlineLevel="0" collapsed="false">
      <c r="A1078" s="8"/>
      <c r="B1078" s="10" t="str">
        <f aca="false">IF(A1078="","",IFERROR(VLOOKUP(A1078,DonHang!$A$2:$C$500,3,FALSE()),"mã đơn chưa có"))</f>
        <v/>
      </c>
      <c r="C1078" s="8"/>
      <c r="D1078" s="8"/>
      <c r="E1078" s="8"/>
      <c r="F1078" s="13"/>
      <c r="G1078" s="14"/>
      <c r="H1078" s="8"/>
      <c r="I1078" s="11" t="str">
        <f aca="false">IF(OR(F1078="",G1078=""),"",ROUND(F1078*G1078,0))</f>
        <v/>
      </c>
    </row>
    <row r="1079" customFormat="false" ht="15" hidden="false" customHeight="false" outlineLevel="0" collapsed="false">
      <c r="A1079" s="8"/>
      <c r="B1079" s="10" t="str">
        <f aca="false">IF(A1079="","",IFERROR(VLOOKUP(A1079,DonHang!$A$2:$C$500,3,FALSE()),"mã đơn chưa có"))</f>
        <v/>
      </c>
      <c r="C1079" s="8"/>
      <c r="D1079" s="8"/>
      <c r="E1079" s="8"/>
      <c r="F1079" s="13"/>
      <c r="G1079" s="14"/>
      <c r="H1079" s="8"/>
      <c r="I1079" s="11" t="str">
        <f aca="false">IF(OR(F1079="",G1079=""),"",ROUND(F1079*G1079,0))</f>
        <v/>
      </c>
    </row>
    <row r="1080" customFormat="false" ht="15" hidden="false" customHeight="false" outlineLevel="0" collapsed="false">
      <c r="A1080" s="8"/>
      <c r="B1080" s="10" t="str">
        <f aca="false">IF(A1080="","",IFERROR(VLOOKUP(A1080,DonHang!$A$2:$C$500,3,FALSE()),"mã đơn chưa có"))</f>
        <v/>
      </c>
      <c r="C1080" s="8"/>
      <c r="D1080" s="8"/>
      <c r="E1080" s="8"/>
      <c r="F1080" s="13"/>
      <c r="G1080" s="14"/>
      <c r="H1080" s="8"/>
      <c r="I1080" s="11" t="str">
        <f aca="false">IF(OR(F1080="",G1080=""),"",ROUND(F1080*G1080,0))</f>
        <v/>
      </c>
    </row>
    <row r="1081" customFormat="false" ht="15" hidden="false" customHeight="false" outlineLevel="0" collapsed="false">
      <c r="A1081" s="8"/>
      <c r="B1081" s="10" t="str">
        <f aca="false">IF(A1081="","",IFERROR(VLOOKUP(A1081,DonHang!$A$2:$C$500,3,FALSE()),"mã đơn chưa có"))</f>
        <v/>
      </c>
      <c r="C1081" s="8"/>
      <c r="D1081" s="8"/>
      <c r="E1081" s="8"/>
      <c r="F1081" s="13"/>
      <c r="G1081" s="14"/>
      <c r="H1081" s="8"/>
      <c r="I1081" s="11" t="str">
        <f aca="false">IF(OR(F1081="",G1081=""),"",ROUND(F1081*G1081,0))</f>
        <v/>
      </c>
    </row>
    <row r="1082" customFormat="false" ht="15" hidden="false" customHeight="false" outlineLevel="0" collapsed="false">
      <c r="A1082" s="8"/>
      <c r="B1082" s="10" t="str">
        <f aca="false">IF(A1082="","",IFERROR(VLOOKUP(A1082,DonHang!$A$2:$C$500,3,FALSE()),"mã đơn chưa có"))</f>
        <v/>
      </c>
      <c r="C1082" s="8"/>
      <c r="D1082" s="8"/>
      <c r="E1082" s="8"/>
      <c r="F1082" s="13"/>
      <c r="G1082" s="14"/>
      <c r="H1082" s="8"/>
      <c r="I1082" s="11" t="str">
        <f aca="false">IF(OR(F1082="",G1082=""),"",ROUND(F1082*G1082,0))</f>
        <v/>
      </c>
    </row>
    <row r="1083" customFormat="false" ht="15" hidden="false" customHeight="false" outlineLevel="0" collapsed="false">
      <c r="A1083" s="8"/>
      <c r="B1083" s="10" t="str">
        <f aca="false">IF(A1083="","",IFERROR(VLOOKUP(A1083,DonHang!$A$2:$C$500,3,FALSE()),"mã đơn chưa có"))</f>
        <v/>
      </c>
      <c r="C1083" s="8"/>
      <c r="D1083" s="8"/>
      <c r="E1083" s="8"/>
      <c r="F1083" s="13"/>
      <c r="G1083" s="14"/>
      <c r="H1083" s="8"/>
      <c r="I1083" s="11" t="str">
        <f aca="false">IF(OR(F1083="",G1083=""),"",ROUND(F1083*G1083,0))</f>
        <v/>
      </c>
    </row>
    <row r="1084" customFormat="false" ht="15" hidden="false" customHeight="false" outlineLevel="0" collapsed="false">
      <c r="A1084" s="8"/>
      <c r="B1084" s="10" t="str">
        <f aca="false">IF(A1084="","",IFERROR(VLOOKUP(A1084,DonHang!$A$2:$C$500,3,FALSE()),"mã đơn chưa có"))</f>
        <v/>
      </c>
      <c r="C1084" s="8"/>
      <c r="D1084" s="8"/>
      <c r="E1084" s="8"/>
      <c r="F1084" s="13"/>
      <c r="G1084" s="14"/>
      <c r="H1084" s="8"/>
      <c r="I1084" s="11" t="str">
        <f aca="false">IF(OR(F1084="",G1084=""),"",ROUND(F1084*G1084,0))</f>
        <v/>
      </c>
    </row>
    <row r="1085" customFormat="false" ht="15" hidden="false" customHeight="false" outlineLevel="0" collapsed="false">
      <c r="A1085" s="8"/>
      <c r="B1085" s="10" t="str">
        <f aca="false">IF(A1085="","",IFERROR(VLOOKUP(A1085,DonHang!$A$2:$C$500,3,FALSE()),"mã đơn chưa có"))</f>
        <v/>
      </c>
      <c r="C1085" s="8"/>
      <c r="D1085" s="8"/>
      <c r="E1085" s="8"/>
      <c r="F1085" s="13"/>
      <c r="G1085" s="14"/>
      <c r="H1085" s="8"/>
      <c r="I1085" s="11" t="str">
        <f aca="false">IF(OR(F1085="",G1085=""),"",ROUND(F1085*G1085,0))</f>
        <v/>
      </c>
    </row>
    <row r="1086" customFormat="false" ht="15" hidden="false" customHeight="false" outlineLevel="0" collapsed="false">
      <c r="A1086" s="8"/>
      <c r="B1086" s="10" t="str">
        <f aca="false">IF(A1086="","",IFERROR(VLOOKUP(A1086,DonHang!$A$2:$C$500,3,FALSE()),"mã đơn chưa có"))</f>
        <v/>
      </c>
      <c r="C1086" s="8"/>
      <c r="D1086" s="8"/>
      <c r="E1086" s="8"/>
      <c r="F1086" s="13"/>
      <c r="G1086" s="14"/>
      <c r="H1086" s="8"/>
      <c r="I1086" s="11" t="str">
        <f aca="false">IF(OR(F1086="",G1086=""),"",ROUND(F1086*G1086,0))</f>
        <v/>
      </c>
    </row>
    <row r="1087" customFormat="false" ht="15" hidden="false" customHeight="false" outlineLevel="0" collapsed="false">
      <c r="A1087" s="8"/>
      <c r="B1087" s="10" t="str">
        <f aca="false">IF(A1087="","",IFERROR(VLOOKUP(A1087,DonHang!$A$2:$C$500,3,FALSE()),"mã đơn chưa có"))</f>
        <v/>
      </c>
      <c r="C1087" s="8"/>
      <c r="D1087" s="8"/>
      <c r="E1087" s="8"/>
      <c r="F1087" s="13"/>
      <c r="G1087" s="14"/>
      <c r="H1087" s="8"/>
      <c r="I1087" s="11" t="str">
        <f aca="false">IF(OR(F1087="",G1087=""),"",ROUND(F1087*G1087,0))</f>
        <v/>
      </c>
    </row>
    <row r="1088" customFormat="false" ht="15" hidden="false" customHeight="false" outlineLevel="0" collapsed="false">
      <c r="A1088" s="8"/>
      <c r="B1088" s="10" t="str">
        <f aca="false">IF(A1088="","",IFERROR(VLOOKUP(A1088,DonHang!$A$2:$C$500,3,FALSE()),"mã đơn chưa có"))</f>
        <v/>
      </c>
      <c r="C1088" s="8"/>
      <c r="D1088" s="8"/>
      <c r="E1088" s="8"/>
      <c r="F1088" s="13"/>
      <c r="G1088" s="14"/>
      <c r="H1088" s="8"/>
      <c r="I1088" s="11" t="str">
        <f aca="false">IF(OR(F1088="",G1088=""),"",ROUND(F1088*G1088,0))</f>
        <v/>
      </c>
    </row>
    <row r="1089" customFormat="false" ht="15" hidden="false" customHeight="false" outlineLevel="0" collapsed="false">
      <c r="A1089" s="8"/>
      <c r="B1089" s="10" t="str">
        <f aca="false">IF(A1089="","",IFERROR(VLOOKUP(A1089,DonHang!$A$2:$C$500,3,FALSE()),"mã đơn chưa có"))</f>
        <v/>
      </c>
      <c r="C1089" s="8"/>
      <c r="D1089" s="8"/>
      <c r="E1089" s="8"/>
      <c r="F1089" s="13"/>
      <c r="G1089" s="14"/>
      <c r="H1089" s="8"/>
      <c r="I1089" s="11" t="str">
        <f aca="false">IF(OR(F1089="",G1089=""),"",ROUND(F1089*G1089,0))</f>
        <v/>
      </c>
    </row>
    <row r="1090" customFormat="false" ht="15" hidden="false" customHeight="false" outlineLevel="0" collapsed="false">
      <c r="A1090" s="8"/>
      <c r="B1090" s="10" t="str">
        <f aca="false">IF(A1090="","",IFERROR(VLOOKUP(A1090,DonHang!$A$2:$C$500,3,FALSE()),"mã đơn chưa có"))</f>
        <v/>
      </c>
      <c r="C1090" s="8"/>
      <c r="D1090" s="8"/>
      <c r="E1090" s="8"/>
      <c r="F1090" s="13"/>
      <c r="G1090" s="14"/>
      <c r="H1090" s="8"/>
      <c r="I1090" s="11" t="str">
        <f aca="false">IF(OR(F1090="",G1090=""),"",ROUND(F1090*G1090,0))</f>
        <v/>
      </c>
    </row>
    <row r="1091" customFormat="false" ht="15" hidden="false" customHeight="false" outlineLevel="0" collapsed="false">
      <c r="A1091" s="8"/>
      <c r="B1091" s="10" t="str">
        <f aca="false">IF(A1091="","",IFERROR(VLOOKUP(A1091,DonHang!$A$2:$C$500,3,FALSE()),"mã đơn chưa có"))</f>
        <v/>
      </c>
      <c r="C1091" s="8"/>
      <c r="D1091" s="8"/>
      <c r="E1091" s="8"/>
      <c r="F1091" s="13"/>
      <c r="G1091" s="14"/>
      <c r="H1091" s="8"/>
      <c r="I1091" s="11" t="str">
        <f aca="false">IF(OR(F1091="",G1091=""),"",ROUND(F1091*G1091,0))</f>
        <v/>
      </c>
    </row>
    <row r="1092" customFormat="false" ht="15" hidden="false" customHeight="false" outlineLevel="0" collapsed="false">
      <c r="A1092" s="8"/>
      <c r="B1092" s="10" t="str">
        <f aca="false">IF(A1092="","",IFERROR(VLOOKUP(A1092,DonHang!$A$2:$C$500,3,FALSE()),"mã đơn chưa có"))</f>
        <v/>
      </c>
      <c r="C1092" s="8"/>
      <c r="D1092" s="8"/>
      <c r="E1092" s="8"/>
      <c r="F1092" s="13"/>
      <c r="G1092" s="14"/>
      <c r="H1092" s="8"/>
      <c r="I1092" s="11" t="str">
        <f aca="false">IF(OR(F1092="",G1092=""),"",ROUND(F1092*G1092,0))</f>
        <v/>
      </c>
    </row>
    <row r="1093" customFormat="false" ht="15" hidden="false" customHeight="false" outlineLevel="0" collapsed="false">
      <c r="A1093" s="8"/>
      <c r="B1093" s="10" t="str">
        <f aca="false">IF(A1093="","",IFERROR(VLOOKUP(A1093,DonHang!$A$2:$C$500,3,FALSE()),"mã đơn chưa có"))</f>
        <v/>
      </c>
      <c r="C1093" s="8"/>
      <c r="D1093" s="8"/>
      <c r="E1093" s="8"/>
      <c r="F1093" s="13"/>
      <c r="G1093" s="14"/>
      <c r="H1093" s="8"/>
      <c r="I1093" s="11" t="str">
        <f aca="false">IF(OR(F1093="",G1093=""),"",ROUND(F1093*G1093,0))</f>
        <v/>
      </c>
    </row>
    <row r="1094" customFormat="false" ht="15" hidden="false" customHeight="false" outlineLevel="0" collapsed="false">
      <c r="A1094" s="8"/>
      <c r="B1094" s="10" t="str">
        <f aca="false">IF(A1094="","",IFERROR(VLOOKUP(A1094,DonHang!$A$2:$C$500,3,FALSE()),"mã đơn chưa có"))</f>
        <v/>
      </c>
      <c r="C1094" s="8"/>
      <c r="D1094" s="8"/>
      <c r="E1094" s="8"/>
      <c r="F1094" s="13"/>
      <c r="G1094" s="14"/>
      <c r="H1094" s="8"/>
      <c r="I1094" s="11" t="str">
        <f aca="false">IF(OR(F1094="",G1094=""),"",ROUND(F1094*G1094,0))</f>
        <v/>
      </c>
    </row>
    <row r="1095" customFormat="false" ht="15" hidden="false" customHeight="false" outlineLevel="0" collapsed="false">
      <c r="A1095" s="8"/>
      <c r="B1095" s="10" t="str">
        <f aca="false">IF(A1095="","",IFERROR(VLOOKUP(A1095,DonHang!$A$2:$C$500,3,FALSE()),"mã đơn chưa có"))</f>
        <v/>
      </c>
      <c r="C1095" s="8"/>
      <c r="D1095" s="8"/>
      <c r="E1095" s="8"/>
      <c r="F1095" s="13"/>
      <c r="G1095" s="14"/>
      <c r="H1095" s="8"/>
      <c r="I1095" s="11" t="str">
        <f aca="false">IF(OR(F1095="",G1095=""),"",ROUND(F1095*G1095,0))</f>
        <v/>
      </c>
    </row>
    <row r="1096" customFormat="false" ht="15" hidden="false" customHeight="false" outlineLevel="0" collapsed="false">
      <c r="A1096" s="8"/>
      <c r="B1096" s="10" t="str">
        <f aca="false">IF(A1096="","",IFERROR(VLOOKUP(A1096,DonHang!$A$2:$C$500,3,FALSE()),"mã đơn chưa có"))</f>
        <v/>
      </c>
      <c r="C1096" s="8"/>
      <c r="D1096" s="8"/>
      <c r="E1096" s="8"/>
      <c r="F1096" s="13"/>
      <c r="G1096" s="14"/>
      <c r="H1096" s="8"/>
      <c r="I1096" s="11" t="str">
        <f aca="false">IF(OR(F1096="",G1096=""),"",ROUND(F1096*G1096,0))</f>
        <v/>
      </c>
    </row>
    <row r="1097" customFormat="false" ht="15" hidden="false" customHeight="false" outlineLevel="0" collapsed="false">
      <c r="A1097" s="8"/>
      <c r="B1097" s="10" t="str">
        <f aca="false">IF(A1097="","",IFERROR(VLOOKUP(A1097,DonHang!$A$2:$C$500,3,FALSE()),"mã đơn chưa có"))</f>
        <v/>
      </c>
      <c r="C1097" s="8"/>
      <c r="D1097" s="8"/>
      <c r="E1097" s="8"/>
      <c r="F1097" s="13"/>
      <c r="G1097" s="14"/>
      <c r="H1097" s="8"/>
      <c r="I1097" s="11" t="str">
        <f aca="false">IF(OR(F1097="",G1097=""),"",ROUND(F1097*G1097,0))</f>
        <v/>
      </c>
    </row>
    <row r="1098" customFormat="false" ht="15" hidden="false" customHeight="false" outlineLevel="0" collapsed="false">
      <c r="A1098" s="8"/>
      <c r="B1098" s="10" t="str">
        <f aca="false">IF(A1098="","",IFERROR(VLOOKUP(A1098,DonHang!$A$2:$C$500,3,FALSE()),"mã đơn chưa có"))</f>
        <v/>
      </c>
      <c r="C1098" s="8"/>
      <c r="D1098" s="8"/>
      <c r="E1098" s="8"/>
      <c r="F1098" s="13"/>
      <c r="G1098" s="14"/>
      <c r="H1098" s="8"/>
      <c r="I1098" s="11" t="str">
        <f aca="false">IF(OR(F1098="",G1098=""),"",ROUND(F1098*G1098,0))</f>
        <v/>
      </c>
    </row>
    <row r="1099" customFormat="false" ht="15" hidden="false" customHeight="false" outlineLevel="0" collapsed="false">
      <c r="A1099" s="8"/>
      <c r="B1099" s="10" t="str">
        <f aca="false">IF(A1099="","",IFERROR(VLOOKUP(A1099,DonHang!$A$2:$C$500,3,FALSE()),"mã đơn chưa có"))</f>
        <v/>
      </c>
      <c r="C1099" s="8"/>
      <c r="D1099" s="8"/>
      <c r="E1099" s="8"/>
      <c r="F1099" s="13"/>
      <c r="G1099" s="14"/>
      <c r="H1099" s="8"/>
      <c r="I1099" s="11" t="str">
        <f aca="false">IF(OR(F1099="",G1099=""),"",ROUND(F1099*G1099,0))</f>
        <v/>
      </c>
    </row>
    <row r="1100" customFormat="false" ht="15" hidden="false" customHeight="false" outlineLevel="0" collapsed="false">
      <c r="A1100" s="8"/>
      <c r="B1100" s="10" t="str">
        <f aca="false">IF(A1100="","",IFERROR(VLOOKUP(A1100,DonHang!$A$2:$C$500,3,FALSE()),"mã đơn chưa có"))</f>
        <v/>
      </c>
      <c r="C1100" s="8"/>
      <c r="D1100" s="8"/>
      <c r="E1100" s="8"/>
      <c r="F1100" s="13"/>
      <c r="G1100" s="14"/>
      <c r="H1100" s="8"/>
      <c r="I1100" s="11" t="str">
        <f aca="false">IF(OR(F1100="",G1100=""),"",ROUND(F1100*G1100,0))</f>
        <v/>
      </c>
    </row>
    <row r="1101" customFormat="false" ht="15" hidden="false" customHeight="false" outlineLevel="0" collapsed="false">
      <c r="A1101" s="8"/>
      <c r="B1101" s="10" t="str">
        <f aca="false">IF(A1101="","",IFERROR(VLOOKUP(A1101,DonHang!$A$2:$C$500,3,FALSE()),"mã đơn chưa có"))</f>
        <v/>
      </c>
      <c r="C1101" s="8"/>
      <c r="D1101" s="8"/>
      <c r="E1101" s="8"/>
      <c r="F1101" s="13"/>
      <c r="G1101" s="14"/>
      <c r="H1101" s="8"/>
      <c r="I1101" s="11" t="str">
        <f aca="false">IF(OR(F1101="",G1101=""),"",ROUND(F1101*G1101,0))</f>
        <v/>
      </c>
    </row>
    <row r="1102" customFormat="false" ht="15" hidden="false" customHeight="false" outlineLevel="0" collapsed="false">
      <c r="A1102" s="8"/>
      <c r="B1102" s="10" t="str">
        <f aca="false">IF(A1102="","",IFERROR(VLOOKUP(A1102,DonHang!$A$2:$C$500,3,FALSE()),"mã đơn chưa có"))</f>
        <v/>
      </c>
      <c r="C1102" s="8"/>
      <c r="D1102" s="8"/>
      <c r="E1102" s="8"/>
      <c r="F1102" s="13"/>
      <c r="G1102" s="14"/>
      <c r="H1102" s="8"/>
      <c r="I1102" s="11" t="str">
        <f aca="false">IF(OR(F1102="",G1102=""),"",ROUND(F1102*G1102,0))</f>
        <v/>
      </c>
    </row>
    <row r="1103" customFormat="false" ht="15" hidden="false" customHeight="false" outlineLevel="0" collapsed="false">
      <c r="A1103" s="8"/>
      <c r="B1103" s="10" t="str">
        <f aca="false">IF(A1103="","",IFERROR(VLOOKUP(A1103,DonHang!$A$2:$C$500,3,FALSE()),"mã đơn chưa có"))</f>
        <v/>
      </c>
      <c r="C1103" s="8"/>
      <c r="D1103" s="8"/>
      <c r="E1103" s="8"/>
      <c r="F1103" s="13"/>
      <c r="G1103" s="14"/>
      <c r="H1103" s="8"/>
      <c r="I1103" s="11" t="str">
        <f aca="false">IF(OR(F1103="",G1103=""),"",ROUND(F1103*G1103,0))</f>
        <v/>
      </c>
    </row>
    <row r="1104" customFormat="false" ht="15" hidden="false" customHeight="false" outlineLevel="0" collapsed="false">
      <c r="A1104" s="8"/>
      <c r="B1104" s="10" t="str">
        <f aca="false">IF(A1104="","",IFERROR(VLOOKUP(A1104,DonHang!$A$2:$C$500,3,FALSE()),"mã đơn chưa có"))</f>
        <v/>
      </c>
      <c r="C1104" s="8"/>
      <c r="D1104" s="8"/>
      <c r="E1104" s="8"/>
      <c r="F1104" s="13"/>
      <c r="G1104" s="14"/>
      <c r="H1104" s="8"/>
      <c r="I1104" s="11" t="str">
        <f aca="false">IF(OR(F1104="",G1104=""),"",ROUND(F1104*G1104,0))</f>
        <v/>
      </c>
    </row>
    <row r="1105" customFormat="false" ht="15" hidden="false" customHeight="false" outlineLevel="0" collapsed="false">
      <c r="A1105" s="8"/>
      <c r="B1105" s="10" t="str">
        <f aca="false">IF(A1105="","",IFERROR(VLOOKUP(A1105,DonHang!$A$2:$C$500,3,FALSE()),"mã đơn chưa có"))</f>
        <v/>
      </c>
      <c r="C1105" s="8"/>
      <c r="D1105" s="8"/>
      <c r="E1105" s="8"/>
      <c r="F1105" s="13"/>
      <c r="G1105" s="14"/>
      <c r="H1105" s="8"/>
      <c r="I1105" s="11" t="str">
        <f aca="false">IF(OR(F1105="",G1105=""),"",ROUND(F1105*G1105,0))</f>
        <v/>
      </c>
    </row>
    <row r="1106" customFormat="false" ht="15" hidden="false" customHeight="false" outlineLevel="0" collapsed="false">
      <c r="A1106" s="8"/>
      <c r="B1106" s="10" t="str">
        <f aca="false">IF(A1106="","",IFERROR(VLOOKUP(A1106,DonHang!$A$2:$C$500,3,FALSE()),"mã đơn chưa có"))</f>
        <v/>
      </c>
      <c r="C1106" s="8"/>
      <c r="D1106" s="8"/>
      <c r="E1106" s="8"/>
      <c r="F1106" s="13"/>
      <c r="G1106" s="14"/>
      <c r="H1106" s="8"/>
      <c r="I1106" s="11" t="str">
        <f aca="false">IF(OR(F1106="",G1106=""),"",ROUND(F1106*G1106,0))</f>
        <v/>
      </c>
    </row>
    <row r="1107" customFormat="false" ht="15" hidden="false" customHeight="false" outlineLevel="0" collapsed="false">
      <c r="A1107" s="8"/>
      <c r="B1107" s="10" t="str">
        <f aca="false">IF(A1107="","",IFERROR(VLOOKUP(A1107,DonHang!$A$2:$C$500,3,FALSE()),"mã đơn chưa có"))</f>
        <v/>
      </c>
      <c r="C1107" s="8"/>
      <c r="D1107" s="8"/>
      <c r="E1107" s="8"/>
      <c r="F1107" s="13"/>
      <c r="G1107" s="14"/>
      <c r="H1107" s="8"/>
      <c r="I1107" s="11" t="str">
        <f aca="false">IF(OR(F1107="",G1107=""),"",ROUND(F1107*G1107,0))</f>
        <v/>
      </c>
    </row>
    <row r="1108" customFormat="false" ht="15" hidden="false" customHeight="false" outlineLevel="0" collapsed="false">
      <c r="A1108" s="8"/>
      <c r="B1108" s="10" t="str">
        <f aca="false">IF(A1108="","",IFERROR(VLOOKUP(A1108,DonHang!$A$2:$C$500,3,FALSE()),"mã đơn chưa có"))</f>
        <v/>
      </c>
      <c r="C1108" s="8"/>
      <c r="D1108" s="8"/>
      <c r="E1108" s="8"/>
      <c r="F1108" s="13"/>
      <c r="G1108" s="14"/>
      <c r="H1108" s="8"/>
      <c r="I1108" s="11" t="str">
        <f aca="false">IF(OR(F1108="",G1108=""),"",ROUND(F1108*G1108,0))</f>
        <v/>
      </c>
    </row>
    <row r="1109" customFormat="false" ht="15" hidden="false" customHeight="false" outlineLevel="0" collapsed="false">
      <c r="A1109" s="8"/>
      <c r="B1109" s="10" t="str">
        <f aca="false">IF(A1109="","",IFERROR(VLOOKUP(A1109,DonHang!$A$2:$C$500,3,FALSE()),"mã đơn chưa có"))</f>
        <v/>
      </c>
      <c r="C1109" s="8"/>
      <c r="D1109" s="8"/>
      <c r="E1109" s="8"/>
      <c r="F1109" s="13"/>
      <c r="G1109" s="14"/>
      <c r="H1109" s="8"/>
      <c r="I1109" s="11" t="str">
        <f aca="false">IF(OR(F1109="",G1109=""),"",ROUND(F1109*G1109,0))</f>
        <v/>
      </c>
    </row>
    <row r="1110" customFormat="false" ht="15" hidden="false" customHeight="false" outlineLevel="0" collapsed="false">
      <c r="A1110" s="8"/>
      <c r="B1110" s="10" t="str">
        <f aca="false">IF(A1110="","",IFERROR(VLOOKUP(A1110,DonHang!$A$2:$C$500,3,FALSE()),"mã đơn chưa có"))</f>
        <v/>
      </c>
      <c r="C1110" s="8"/>
      <c r="D1110" s="8"/>
      <c r="E1110" s="8"/>
      <c r="F1110" s="13"/>
      <c r="G1110" s="14"/>
      <c r="H1110" s="8"/>
      <c r="I1110" s="11" t="str">
        <f aca="false">IF(OR(F1110="",G1110=""),"",ROUND(F1110*G1110,0))</f>
        <v/>
      </c>
    </row>
    <row r="1111" customFormat="false" ht="15" hidden="false" customHeight="false" outlineLevel="0" collapsed="false">
      <c r="A1111" s="8"/>
      <c r="B1111" s="10" t="str">
        <f aca="false">IF(A1111="","",IFERROR(VLOOKUP(A1111,DonHang!$A$2:$C$500,3,FALSE()),"mã đơn chưa có"))</f>
        <v/>
      </c>
      <c r="C1111" s="8"/>
      <c r="D1111" s="8"/>
      <c r="E1111" s="8"/>
      <c r="F1111" s="13"/>
      <c r="G1111" s="14"/>
      <c r="H1111" s="8"/>
      <c r="I1111" s="11" t="str">
        <f aca="false">IF(OR(F1111="",G1111=""),"",ROUND(F1111*G1111,0))</f>
        <v/>
      </c>
    </row>
    <row r="1112" customFormat="false" ht="15" hidden="false" customHeight="false" outlineLevel="0" collapsed="false">
      <c r="A1112" s="8"/>
      <c r="B1112" s="10" t="str">
        <f aca="false">IF(A1112="","",IFERROR(VLOOKUP(A1112,DonHang!$A$2:$C$500,3,FALSE()),"mã đơn chưa có"))</f>
        <v/>
      </c>
      <c r="C1112" s="8"/>
      <c r="D1112" s="8"/>
      <c r="E1112" s="8"/>
      <c r="F1112" s="13"/>
      <c r="G1112" s="14"/>
      <c r="H1112" s="8"/>
      <c r="I1112" s="11" t="str">
        <f aca="false">IF(OR(F1112="",G1112=""),"",ROUND(F1112*G1112,0))</f>
        <v/>
      </c>
    </row>
    <row r="1113" customFormat="false" ht="15" hidden="false" customHeight="false" outlineLevel="0" collapsed="false">
      <c r="A1113" s="8"/>
      <c r="B1113" s="10" t="str">
        <f aca="false">IF(A1113="","",IFERROR(VLOOKUP(A1113,DonHang!$A$2:$C$500,3,FALSE()),"mã đơn chưa có"))</f>
        <v/>
      </c>
      <c r="C1113" s="8"/>
      <c r="D1113" s="8"/>
      <c r="E1113" s="8"/>
      <c r="F1113" s="13"/>
      <c r="G1113" s="14"/>
      <c r="H1113" s="8"/>
      <c r="I1113" s="11" t="str">
        <f aca="false">IF(OR(F1113="",G1113=""),"",ROUND(F1113*G1113,0))</f>
        <v/>
      </c>
    </row>
    <row r="1114" customFormat="false" ht="15" hidden="false" customHeight="false" outlineLevel="0" collapsed="false">
      <c r="A1114" s="8"/>
      <c r="B1114" s="10" t="str">
        <f aca="false">IF(A1114="","",IFERROR(VLOOKUP(A1114,DonHang!$A$2:$C$500,3,FALSE()),"mã đơn chưa có"))</f>
        <v/>
      </c>
      <c r="C1114" s="8"/>
      <c r="D1114" s="8"/>
      <c r="E1114" s="8"/>
      <c r="F1114" s="13"/>
      <c r="G1114" s="14"/>
      <c r="H1114" s="8"/>
      <c r="I1114" s="11" t="str">
        <f aca="false">IF(OR(F1114="",G1114=""),"",ROUND(F1114*G1114,0))</f>
        <v/>
      </c>
    </row>
    <row r="1115" customFormat="false" ht="15" hidden="false" customHeight="false" outlineLevel="0" collapsed="false">
      <c r="A1115" s="8"/>
      <c r="B1115" s="10" t="str">
        <f aca="false">IF(A1115="","",IFERROR(VLOOKUP(A1115,DonHang!$A$2:$C$500,3,FALSE()),"mã đơn chưa có"))</f>
        <v/>
      </c>
      <c r="C1115" s="8"/>
      <c r="D1115" s="8"/>
      <c r="E1115" s="8"/>
      <c r="F1115" s="13"/>
      <c r="G1115" s="14"/>
      <c r="H1115" s="8"/>
      <c r="I1115" s="11" t="str">
        <f aca="false">IF(OR(F1115="",G1115=""),"",ROUND(F1115*G1115,0))</f>
        <v/>
      </c>
    </row>
    <row r="1116" customFormat="false" ht="15" hidden="false" customHeight="false" outlineLevel="0" collapsed="false">
      <c r="A1116" s="8"/>
      <c r="B1116" s="10" t="str">
        <f aca="false">IF(A1116="","",IFERROR(VLOOKUP(A1116,DonHang!$A$2:$C$500,3,FALSE()),"mã đơn chưa có"))</f>
        <v/>
      </c>
      <c r="C1116" s="8"/>
      <c r="D1116" s="8"/>
      <c r="E1116" s="8"/>
      <c r="F1116" s="13"/>
      <c r="G1116" s="14"/>
      <c r="H1116" s="8"/>
      <c r="I1116" s="11" t="str">
        <f aca="false">IF(OR(F1116="",G1116=""),"",ROUND(F1116*G1116,0))</f>
        <v/>
      </c>
    </row>
    <row r="1117" customFormat="false" ht="15" hidden="false" customHeight="false" outlineLevel="0" collapsed="false">
      <c r="A1117" s="8"/>
      <c r="B1117" s="10" t="str">
        <f aca="false">IF(A1117="","",IFERROR(VLOOKUP(A1117,DonHang!$A$2:$C$500,3,FALSE()),"mã đơn chưa có"))</f>
        <v/>
      </c>
      <c r="C1117" s="8"/>
      <c r="D1117" s="8"/>
      <c r="E1117" s="8"/>
      <c r="F1117" s="13"/>
      <c r="G1117" s="14"/>
      <c r="H1117" s="8"/>
      <c r="I1117" s="11" t="str">
        <f aca="false">IF(OR(F1117="",G1117=""),"",ROUND(F1117*G1117,0))</f>
        <v/>
      </c>
    </row>
    <row r="1118" customFormat="false" ht="15" hidden="false" customHeight="false" outlineLevel="0" collapsed="false">
      <c r="A1118" s="8"/>
      <c r="B1118" s="10" t="str">
        <f aca="false">IF(A1118="","",IFERROR(VLOOKUP(A1118,DonHang!$A$2:$C$500,3,FALSE()),"mã đơn chưa có"))</f>
        <v/>
      </c>
      <c r="C1118" s="8"/>
      <c r="D1118" s="8"/>
      <c r="E1118" s="8"/>
      <c r="F1118" s="13"/>
      <c r="G1118" s="14"/>
      <c r="H1118" s="8"/>
      <c r="I1118" s="11" t="str">
        <f aca="false">IF(OR(F1118="",G1118=""),"",ROUND(F1118*G1118,0))</f>
        <v/>
      </c>
    </row>
    <row r="1119" customFormat="false" ht="15" hidden="false" customHeight="false" outlineLevel="0" collapsed="false">
      <c r="A1119" s="8"/>
      <c r="B1119" s="10" t="str">
        <f aca="false">IF(A1119="","",IFERROR(VLOOKUP(A1119,DonHang!$A$2:$C$500,3,FALSE()),"mã đơn chưa có"))</f>
        <v/>
      </c>
      <c r="C1119" s="8"/>
      <c r="D1119" s="8"/>
      <c r="E1119" s="8"/>
      <c r="F1119" s="13"/>
      <c r="G1119" s="14"/>
      <c r="H1119" s="8"/>
      <c r="I1119" s="11" t="str">
        <f aca="false">IF(OR(F1119="",G1119=""),"",ROUND(F1119*G1119,0))</f>
        <v/>
      </c>
    </row>
    <row r="1120" customFormat="false" ht="15" hidden="false" customHeight="false" outlineLevel="0" collapsed="false">
      <c r="A1120" s="8"/>
      <c r="B1120" s="10" t="str">
        <f aca="false">IF(A1120="","",IFERROR(VLOOKUP(A1120,DonHang!$A$2:$C$500,3,FALSE()),"mã đơn chưa có"))</f>
        <v/>
      </c>
      <c r="C1120" s="8"/>
      <c r="D1120" s="8"/>
      <c r="E1120" s="8"/>
      <c r="F1120" s="13"/>
      <c r="G1120" s="14"/>
      <c r="H1120" s="8"/>
      <c r="I1120" s="11" t="str">
        <f aca="false">IF(OR(F1120="",G1120=""),"",ROUND(F1120*G1120,0))</f>
        <v/>
      </c>
    </row>
    <row r="1121" customFormat="false" ht="15" hidden="false" customHeight="false" outlineLevel="0" collapsed="false">
      <c r="A1121" s="8"/>
      <c r="B1121" s="10" t="str">
        <f aca="false">IF(A1121="","",IFERROR(VLOOKUP(A1121,DonHang!$A$2:$C$500,3,FALSE()),"mã đơn chưa có"))</f>
        <v/>
      </c>
      <c r="C1121" s="8"/>
      <c r="D1121" s="8"/>
      <c r="E1121" s="8"/>
      <c r="F1121" s="13"/>
      <c r="G1121" s="14"/>
      <c r="H1121" s="8"/>
      <c r="I1121" s="11" t="str">
        <f aca="false">IF(OR(F1121="",G1121=""),"",ROUND(F1121*G1121,0))</f>
        <v/>
      </c>
    </row>
    <row r="1122" customFormat="false" ht="15" hidden="false" customHeight="false" outlineLevel="0" collapsed="false">
      <c r="A1122" s="8"/>
      <c r="B1122" s="10" t="str">
        <f aca="false">IF(A1122="","",IFERROR(VLOOKUP(A1122,DonHang!$A$2:$C$500,3,FALSE()),"mã đơn chưa có"))</f>
        <v/>
      </c>
      <c r="C1122" s="8"/>
      <c r="D1122" s="8"/>
      <c r="E1122" s="8"/>
      <c r="F1122" s="13"/>
      <c r="G1122" s="14"/>
      <c r="H1122" s="8"/>
      <c r="I1122" s="11" t="str">
        <f aca="false">IF(OR(F1122="",G1122=""),"",ROUND(F1122*G1122,0))</f>
        <v/>
      </c>
    </row>
    <row r="1123" customFormat="false" ht="15" hidden="false" customHeight="false" outlineLevel="0" collapsed="false">
      <c r="A1123" s="8"/>
      <c r="B1123" s="10" t="str">
        <f aca="false">IF(A1123="","",IFERROR(VLOOKUP(A1123,DonHang!$A$2:$C$500,3,FALSE()),"mã đơn chưa có"))</f>
        <v/>
      </c>
      <c r="C1123" s="8"/>
      <c r="D1123" s="8"/>
      <c r="E1123" s="8"/>
      <c r="F1123" s="13"/>
      <c r="G1123" s="14"/>
      <c r="H1123" s="8"/>
      <c r="I1123" s="11" t="str">
        <f aca="false">IF(OR(F1123="",G1123=""),"",ROUND(F1123*G1123,0))</f>
        <v/>
      </c>
    </row>
    <row r="1124" customFormat="false" ht="15" hidden="false" customHeight="false" outlineLevel="0" collapsed="false">
      <c r="A1124" s="8"/>
      <c r="B1124" s="10" t="str">
        <f aca="false">IF(A1124="","",IFERROR(VLOOKUP(A1124,DonHang!$A$2:$C$500,3,FALSE()),"mã đơn chưa có"))</f>
        <v/>
      </c>
      <c r="C1124" s="8"/>
      <c r="D1124" s="8"/>
      <c r="E1124" s="8"/>
      <c r="F1124" s="13"/>
      <c r="G1124" s="14"/>
      <c r="H1124" s="8"/>
      <c r="I1124" s="11" t="str">
        <f aca="false">IF(OR(F1124="",G1124=""),"",ROUND(F1124*G1124,0))</f>
        <v/>
      </c>
    </row>
    <row r="1125" customFormat="false" ht="15" hidden="false" customHeight="false" outlineLevel="0" collapsed="false">
      <c r="A1125" s="8"/>
      <c r="B1125" s="10" t="str">
        <f aca="false">IF(A1125="","",IFERROR(VLOOKUP(A1125,DonHang!$A$2:$C$500,3,FALSE()),"mã đơn chưa có"))</f>
        <v/>
      </c>
      <c r="C1125" s="8"/>
      <c r="D1125" s="8"/>
      <c r="E1125" s="8"/>
      <c r="F1125" s="13"/>
      <c r="G1125" s="14"/>
      <c r="H1125" s="8"/>
      <c r="I1125" s="11" t="str">
        <f aca="false">IF(OR(F1125="",G1125=""),"",ROUND(F1125*G1125,0))</f>
        <v/>
      </c>
    </row>
    <row r="1126" customFormat="false" ht="15" hidden="false" customHeight="false" outlineLevel="0" collapsed="false">
      <c r="A1126" s="8"/>
      <c r="B1126" s="10" t="str">
        <f aca="false">IF(A1126="","",IFERROR(VLOOKUP(A1126,DonHang!$A$2:$C$500,3,FALSE()),"mã đơn chưa có"))</f>
        <v/>
      </c>
      <c r="C1126" s="8"/>
      <c r="D1126" s="8"/>
      <c r="E1126" s="8"/>
      <c r="F1126" s="13"/>
      <c r="G1126" s="14"/>
      <c r="H1126" s="8"/>
      <c r="I1126" s="11" t="str">
        <f aca="false">IF(OR(F1126="",G1126=""),"",ROUND(F1126*G1126,0))</f>
        <v/>
      </c>
    </row>
    <row r="1127" customFormat="false" ht="15" hidden="false" customHeight="false" outlineLevel="0" collapsed="false">
      <c r="A1127" s="8"/>
      <c r="B1127" s="10" t="str">
        <f aca="false">IF(A1127="","",IFERROR(VLOOKUP(A1127,DonHang!$A$2:$C$500,3,FALSE()),"mã đơn chưa có"))</f>
        <v/>
      </c>
      <c r="C1127" s="8"/>
      <c r="D1127" s="8"/>
      <c r="E1127" s="8"/>
      <c r="F1127" s="13"/>
      <c r="G1127" s="14"/>
      <c r="H1127" s="8"/>
      <c r="I1127" s="11" t="str">
        <f aca="false">IF(OR(F1127="",G1127=""),"",ROUND(F1127*G1127,0))</f>
        <v/>
      </c>
    </row>
    <row r="1128" customFormat="false" ht="15" hidden="false" customHeight="false" outlineLevel="0" collapsed="false">
      <c r="A1128" s="8"/>
      <c r="B1128" s="10" t="str">
        <f aca="false">IF(A1128="","",IFERROR(VLOOKUP(A1128,DonHang!$A$2:$C$500,3,FALSE()),"mã đơn chưa có"))</f>
        <v/>
      </c>
      <c r="C1128" s="8"/>
      <c r="D1128" s="8"/>
      <c r="E1128" s="8"/>
      <c r="F1128" s="13"/>
      <c r="G1128" s="14"/>
      <c r="H1128" s="8"/>
      <c r="I1128" s="11" t="str">
        <f aca="false">IF(OR(F1128="",G1128=""),"",ROUND(F1128*G1128,0))</f>
        <v/>
      </c>
    </row>
    <row r="1129" customFormat="false" ht="15" hidden="false" customHeight="false" outlineLevel="0" collapsed="false">
      <c r="A1129" s="8"/>
      <c r="B1129" s="10" t="str">
        <f aca="false">IF(A1129="","",IFERROR(VLOOKUP(A1129,DonHang!$A$2:$C$500,3,FALSE()),"mã đơn chưa có"))</f>
        <v/>
      </c>
      <c r="C1129" s="8"/>
      <c r="D1129" s="8"/>
      <c r="E1129" s="8"/>
      <c r="F1129" s="13"/>
      <c r="G1129" s="14"/>
      <c r="H1129" s="8"/>
      <c r="I1129" s="11" t="str">
        <f aca="false">IF(OR(F1129="",G1129=""),"",ROUND(F1129*G1129,0))</f>
        <v/>
      </c>
    </row>
    <row r="1130" customFormat="false" ht="15" hidden="false" customHeight="false" outlineLevel="0" collapsed="false">
      <c r="A1130" s="8"/>
      <c r="B1130" s="10" t="str">
        <f aca="false">IF(A1130="","",IFERROR(VLOOKUP(A1130,DonHang!$A$2:$C$500,3,FALSE()),"mã đơn chưa có"))</f>
        <v/>
      </c>
      <c r="C1130" s="8"/>
      <c r="D1130" s="8"/>
      <c r="E1130" s="8"/>
      <c r="F1130" s="13"/>
      <c r="G1130" s="14"/>
      <c r="H1130" s="8"/>
      <c r="I1130" s="11" t="str">
        <f aca="false">IF(OR(F1130="",G1130=""),"",ROUND(F1130*G1130,0))</f>
        <v/>
      </c>
    </row>
    <row r="1131" customFormat="false" ht="15" hidden="false" customHeight="false" outlineLevel="0" collapsed="false">
      <c r="A1131" s="8"/>
      <c r="B1131" s="10" t="str">
        <f aca="false">IF(A1131="","",IFERROR(VLOOKUP(A1131,DonHang!$A$2:$C$500,3,FALSE()),"mã đơn chưa có"))</f>
        <v/>
      </c>
      <c r="C1131" s="8"/>
      <c r="D1131" s="8"/>
      <c r="E1131" s="8"/>
      <c r="F1131" s="13"/>
      <c r="G1131" s="14"/>
      <c r="H1131" s="8"/>
      <c r="I1131" s="11" t="str">
        <f aca="false">IF(OR(F1131="",G1131=""),"",ROUND(F1131*G1131,0))</f>
        <v/>
      </c>
    </row>
    <row r="1132" customFormat="false" ht="15" hidden="false" customHeight="false" outlineLevel="0" collapsed="false">
      <c r="A1132" s="8"/>
      <c r="B1132" s="10" t="str">
        <f aca="false">IF(A1132="","",IFERROR(VLOOKUP(A1132,DonHang!$A$2:$C$500,3,FALSE()),"mã đơn chưa có"))</f>
        <v/>
      </c>
      <c r="C1132" s="8"/>
      <c r="D1132" s="8"/>
      <c r="E1132" s="8"/>
      <c r="F1132" s="13"/>
      <c r="G1132" s="14"/>
      <c r="H1132" s="8"/>
      <c r="I1132" s="11" t="str">
        <f aca="false">IF(OR(F1132="",G1132=""),"",ROUND(F1132*G1132,0))</f>
        <v/>
      </c>
    </row>
    <row r="1133" customFormat="false" ht="15" hidden="false" customHeight="false" outlineLevel="0" collapsed="false">
      <c r="A1133" s="8"/>
      <c r="B1133" s="10" t="str">
        <f aca="false">IF(A1133="","",IFERROR(VLOOKUP(A1133,DonHang!$A$2:$C$500,3,FALSE()),"mã đơn chưa có"))</f>
        <v/>
      </c>
      <c r="C1133" s="8"/>
      <c r="D1133" s="8"/>
      <c r="E1133" s="8"/>
      <c r="F1133" s="13"/>
      <c r="G1133" s="14"/>
      <c r="H1133" s="8"/>
      <c r="I1133" s="11" t="str">
        <f aca="false">IF(OR(F1133="",G1133=""),"",ROUND(F1133*G1133,0))</f>
        <v/>
      </c>
    </row>
    <row r="1134" customFormat="false" ht="15" hidden="false" customHeight="false" outlineLevel="0" collapsed="false">
      <c r="A1134" s="8"/>
      <c r="B1134" s="10" t="str">
        <f aca="false">IF(A1134="","",IFERROR(VLOOKUP(A1134,DonHang!$A$2:$C$500,3,FALSE()),"mã đơn chưa có"))</f>
        <v/>
      </c>
      <c r="C1134" s="8"/>
      <c r="D1134" s="8"/>
      <c r="E1134" s="8"/>
      <c r="F1134" s="13"/>
      <c r="G1134" s="14"/>
      <c r="H1134" s="8"/>
      <c r="I1134" s="11" t="str">
        <f aca="false">IF(OR(F1134="",G1134=""),"",ROUND(F1134*G1134,0))</f>
        <v/>
      </c>
    </row>
    <row r="1135" customFormat="false" ht="15" hidden="false" customHeight="false" outlineLevel="0" collapsed="false">
      <c r="A1135" s="8"/>
      <c r="B1135" s="10" t="str">
        <f aca="false">IF(A1135="","",IFERROR(VLOOKUP(A1135,DonHang!$A$2:$C$500,3,FALSE()),"mã đơn chưa có"))</f>
        <v/>
      </c>
      <c r="C1135" s="8"/>
      <c r="D1135" s="8"/>
      <c r="E1135" s="8"/>
      <c r="F1135" s="13"/>
      <c r="G1135" s="14"/>
      <c r="H1135" s="8"/>
      <c r="I1135" s="11" t="str">
        <f aca="false">IF(OR(F1135="",G1135=""),"",ROUND(F1135*G1135,0))</f>
        <v/>
      </c>
    </row>
    <row r="1136" customFormat="false" ht="15" hidden="false" customHeight="false" outlineLevel="0" collapsed="false">
      <c r="A1136" s="8"/>
      <c r="B1136" s="10" t="str">
        <f aca="false">IF(A1136="","",IFERROR(VLOOKUP(A1136,DonHang!$A$2:$C$500,3,FALSE()),"mã đơn chưa có"))</f>
        <v/>
      </c>
      <c r="C1136" s="8"/>
      <c r="D1136" s="8"/>
      <c r="E1136" s="8"/>
      <c r="F1136" s="13"/>
      <c r="G1136" s="14"/>
      <c r="H1136" s="8"/>
      <c r="I1136" s="11" t="str">
        <f aca="false">IF(OR(F1136="",G1136=""),"",ROUND(F1136*G1136,0))</f>
        <v/>
      </c>
    </row>
    <row r="1137" customFormat="false" ht="15" hidden="false" customHeight="false" outlineLevel="0" collapsed="false">
      <c r="A1137" s="8"/>
      <c r="B1137" s="10" t="str">
        <f aca="false">IF(A1137="","",IFERROR(VLOOKUP(A1137,DonHang!$A$2:$C$500,3,FALSE()),"mã đơn chưa có"))</f>
        <v/>
      </c>
      <c r="C1137" s="8"/>
      <c r="D1137" s="8"/>
      <c r="E1137" s="8"/>
      <c r="F1137" s="13"/>
      <c r="G1137" s="14"/>
      <c r="H1137" s="8"/>
      <c r="I1137" s="11" t="str">
        <f aca="false">IF(OR(F1137="",G1137=""),"",ROUND(F1137*G1137,0))</f>
        <v/>
      </c>
    </row>
    <row r="1138" customFormat="false" ht="15" hidden="false" customHeight="false" outlineLevel="0" collapsed="false">
      <c r="A1138" s="8"/>
      <c r="B1138" s="10" t="str">
        <f aca="false">IF(A1138="","",IFERROR(VLOOKUP(A1138,DonHang!$A$2:$C$500,3,FALSE()),"mã đơn chưa có"))</f>
        <v/>
      </c>
      <c r="C1138" s="8"/>
      <c r="D1138" s="8"/>
      <c r="E1138" s="8"/>
      <c r="F1138" s="13"/>
      <c r="G1138" s="14"/>
      <c r="H1138" s="8"/>
      <c r="I1138" s="11" t="str">
        <f aca="false">IF(OR(F1138="",G1138=""),"",ROUND(F1138*G1138,0))</f>
        <v/>
      </c>
    </row>
    <row r="1139" customFormat="false" ht="15" hidden="false" customHeight="false" outlineLevel="0" collapsed="false">
      <c r="A1139" s="8"/>
      <c r="B1139" s="10" t="str">
        <f aca="false">IF(A1139="","",IFERROR(VLOOKUP(A1139,DonHang!$A$2:$C$500,3,FALSE()),"mã đơn chưa có"))</f>
        <v/>
      </c>
      <c r="C1139" s="8"/>
      <c r="D1139" s="8"/>
      <c r="E1139" s="8"/>
      <c r="F1139" s="13"/>
      <c r="G1139" s="14"/>
      <c r="H1139" s="8"/>
      <c r="I1139" s="11" t="str">
        <f aca="false">IF(OR(F1139="",G1139=""),"",ROUND(F1139*G1139,0))</f>
        <v/>
      </c>
    </row>
    <row r="1140" customFormat="false" ht="15" hidden="false" customHeight="false" outlineLevel="0" collapsed="false">
      <c r="A1140" s="8"/>
      <c r="B1140" s="10" t="str">
        <f aca="false">IF(A1140="","",IFERROR(VLOOKUP(A1140,DonHang!$A$2:$C$500,3,FALSE()),"mã đơn chưa có"))</f>
        <v/>
      </c>
      <c r="C1140" s="8"/>
      <c r="D1140" s="8"/>
      <c r="E1140" s="8"/>
      <c r="F1140" s="13"/>
      <c r="G1140" s="14"/>
      <c r="H1140" s="8"/>
      <c r="I1140" s="11" t="str">
        <f aca="false">IF(OR(F1140="",G1140=""),"",ROUND(F1140*G1140,0))</f>
        <v/>
      </c>
    </row>
    <row r="1141" customFormat="false" ht="15" hidden="false" customHeight="false" outlineLevel="0" collapsed="false">
      <c r="A1141" s="8"/>
      <c r="B1141" s="10" t="str">
        <f aca="false">IF(A1141="","",IFERROR(VLOOKUP(A1141,DonHang!$A$2:$C$500,3,FALSE()),"mã đơn chưa có"))</f>
        <v/>
      </c>
      <c r="C1141" s="8"/>
      <c r="D1141" s="8"/>
      <c r="E1141" s="8"/>
      <c r="F1141" s="13"/>
      <c r="G1141" s="14"/>
      <c r="H1141" s="8"/>
      <c r="I1141" s="11" t="str">
        <f aca="false">IF(OR(F1141="",G1141=""),"",ROUND(F1141*G1141,0))</f>
        <v/>
      </c>
    </row>
    <row r="1142" customFormat="false" ht="15" hidden="false" customHeight="false" outlineLevel="0" collapsed="false">
      <c r="A1142" s="8"/>
      <c r="B1142" s="10" t="str">
        <f aca="false">IF(A1142="","",IFERROR(VLOOKUP(A1142,DonHang!$A$2:$C$500,3,FALSE()),"mã đơn chưa có"))</f>
        <v/>
      </c>
      <c r="C1142" s="8"/>
      <c r="D1142" s="8"/>
      <c r="E1142" s="8"/>
      <c r="F1142" s="13"/>
      <c r="G1142" s="14"/>
      <c r="H1142" s="8"/>
      <c r="I1142" s="11" t="str">
        <f aca="false">IF(OR(F1142="",G1142=""),"",ROUND(F1142*G1142,0))</f>
        <v/>
      </c>
    </row>
    <row r="1143" customFormat="false" ht="15" hidden="false" customHeight="false" outlineLevel="0" collapsed="false">
      <c r="A1143" s="8"/>
      <c r="B1143" s="10" t="str">
        <f aca="false">IF(A1143="","",IFERROR(VLOOKUP(A1143,DonHang!$A$2:$C$500,3,FALSE()),"mã đơn chưa có"))</f>
        <v/>
      </c>
      <c r="C1143" s="8"/>
      <c r="D1143" s="8"/>
      <c r="E1143" s="8"/>
      <c r="F1143" s="13"/>
      <c r="G1143" s="14"/>
      <c r="H1143" s="8"/>
      <c r="I1143" s="11" t="str">
        <f aca="false">IF(OR(F1143="",G1143=""),"",ROUND(F1143*G1143,0))</f>
        <v/>
      </c>
    </row>
    <row r="1144" customFormat="false" ht="15" hidden="false" customHeight="false" outlineLevel="0" collapsed="false">
      <c r="A1144" s="8"/>
      <c r="B1144" s="10" t="str">
        <f aca="false">IF(A1144="","",IFERROR(VLOOKUP(A1144,DonHang!$A$2:$C$500,3,FALSE()),"mã đơn chưa có"))</f>
        <v/>
      </c>
      <c r="C1144" s="8"/>
      <c r="D1144" s="8"/>
      <c r="E1144" s="8"/>
      <c r="F1144" s="13"/>
      <c r="G1144" s="14"/>
      <c r="H1144" s="8"/>
      <c r="I1144" s="11" t="str">
        <f aca="false">IF(OR(F1144="",G1144=""),"",ROUND(F1144*G1144,0))</f>
        <v/>
      </c>
    </row>
    <row r="1145" customFormat="false" ht="15" hidden="false" customHeight="false" outlineLevel="0" collapsed="false">
      <c r="A1145" s="8"/>
      <c r="B1145" s="10" t="str">
        <f aca="false">IF(A1145="","",IFERROR(VLOOKUP(A1145,DonHang!$A$2:$C$500,3,FALSE()),"mã đơn chưa có"))</f>
        <v/>
      </c>
      <c r="C1145" s="8"/>
      <c r="D1145" s="8"/>
      <c r="E1145" s="8"/>
      <c r="F1145" s="13"/>
      <c r="G1145" s="14"/>
      <c r="H1145" s="8"/>
      <c r="I1145" s="11" t="str">
        <f aca="false">IF(OR(F1145="",G1145=""),"",ROUND(F1145*G1145,0))</f>
        <v/>
      </c>
    </row>
    <row r="1146" customFormat="false" ht="15" hidden="false" customHeight="false" outlineLevel="0" collapsed="false">
      <c r="A1146" s="8"/>
      <c r="B1146" s="10" t="str">
        <f aca="false">IF(A1146="","",IFERROR(VLOOKUP(A1146,DonHang!$A$2:$C$500,3,FALSE()),"mã đơn chưa có"))</f>
        <v/>
      </c>
      <c r="C1146" s="8"/>
      <c r="D1146" s="8"/>
      <c r="E1146" s="8"/>
      <c r="F1146" s="13"/>
      <c r="G1146" s="14"/>
      <c r="H1146" s="8"/>
      <c r="I1146" s="11" t="str">
        <f aca="false">IF(OR(F1146="",G1146=""),"",ROUND(F1146*G1146,0))</f>
        <v/>
      </c>
    </row>
    <row r="1147" customFormat="false" ht="15" hidden="false" customHeight="false" outlineLevel="0" collapsed="false">
      <c r="A1147" s="8"/>
      <c r="B1147" s="10" t="str">
        <f aca="false">IF(A1147="","",IFERROR(VLOOKUP(A1147,DonHang!$A$2:$C$500,3,FALSE()),"mã đơn chưa có"))</f>
        <v/>
      </c>
      <c r="C1147" s="8"/>
      <c r="D1147" s="8"/>
      <c r="E1147" s="8"/>
      <c r="F1147" s="13"/>
      <c r="G1147" s="14"/>
      <c r="H1147" s="8"/>
      <c r="I1147" s="11" t="str">
        <f aca="false">IF(OR(F1147="",G1147=""),"",ROUND(F1147*G1147,0))</f>
        <v/>
      </c>
    </row>
    <row r="1148" customFormat="false" ht="15" hidden="false" customHeight="false" outlineLevel="0" collapsed="false">
      <c r="A1148" s="8"/>
      <c r="B1148" s="10" t="str">
        <f aca="false">IF(A1148="","",IFERROR(VLOOKUP(A1148,DonHang!$A$2:$C$500,3,FALSE()),"mã đơn chưa có"))</f>
        <v/>
      </c>
      <c r="C1148" s="8"/>
      <c r="D1148" s="8"/>
      <c r="E1148" s="8"/>
      <c r="F1148" s="13"/>
      <c r="G1148" s="14"/>
      <c r="H1148" s="8"/>
      <c r="I1148" s="11" t="str">
        <f aca="false">IF(OR(F1148="",G1148=""),"",ROUND(F1148*G1148,0))</f>
        <v/>
      </c>
    </row>
    <row r="1149" customFormat="false" ht="15" hidden="false" customHeight="false" outlineLevel="0" collapsed="false">
      <c r="A1149" s="8"/>
      <c r="B1149" s="10" t="str">
        <f aca="false">IF(A1149="","",IFERROR(VLOOKUP(A1149,DonHang!$A$2:$C$500,3,FALSE()),"mã đơn chưa có"))</f>
        <v/>
      </c>
      <c r="C1149" s="8"/>
      <c r="D1149" s="8"/>
      <c r="E1149" s="8"/>
      <c r="F1149" s="13"/>
      <c r="G1149" s="14"/>
      <c r="H1149" s="8"/>
      <c r="I1149" s="11" t="str">
        <f aca="false">IF(OR(F1149="",G1149=""),"",ROUND(F1149*G1149,0))</f>
        <v/>
      </c>
    </row>
    <row r="1150" customFormat="false" ht="15" hidden="false" customHeight="false" outlineLevel="0" collapsed="false">
      <c r="A1150" s="8"/>
      <c r="B1150" s="10" t="str">
        <f aca="false">IF(A1150="","",IFERROR(VLOOKUP(A1150,DonHang!$A$2:$C$500,3,FALSE()),"mã đơn chưa có"))</f>
        <v/>
      </c>
      <c r="C1150" s="8"/>
      <c r="D1150" s="8"/>
      <c r="E1150" s="8"/>
      <c r="F1150" s="13"/>
      <c r="G1150" s="14"/>
      <c r="H1150" s="8"/>
      <c r="I1150" s="11" t="str">
        <f aca="false">IF(OR(F1150="",G1150=""),"",ROUND(F1150*G1150,0))</f>
        <v/>
      </c>
    </row>
    <row r="1151" customFormat="false" ht="15" hidden="false" customHeight="false" outlineLevel="0" collapsed="false">
      <c r="A1151" s="8"/>
      <c r="B1151" s="10" t="str">
        <f aca="false">IF(A1151="","",IFERROR(VLOOKUP(A1151,DonHang!$A$2:$C$500,3,FALSE()),"mã đơn chưa có"))</f>
        <v/>
      </c>
      <c r="C1151" s="8"/>
      <c r="D1151" s="8"/>
      <c r="E1151" s="8"/>
      <c r="F1151" s="13"/>
      <c r="G1151" s="14"/>
      <c r="H1151" s="8"/>
      <c r="I1151" s="11" t="str">
        <f aca="false">IF(OR(F1151="",G1151=""),"",ROUND(F1151*G1151,0))</f>
        <v/>
      </c>
    </row>
    <row r="1152" customFormat="false" ht="15" hidden="false" customHeight="false" outlineLevel="0" collapsed="false">
      <c r="A1152" s="8"/>
      <c r="B1152" s="10" t="str">
        <f aca="false">IF(A1152="","",IFERROR(VLOOKUP(A1152,DonHang!$A$2:$C$500,3,FALSE()),"mã đơn chưa có"))</f>
        <v/>
      </c>
      <c r="C1152" s="8"/>
      <c r="D1152" s="8"/>
      <c r="E1152" s="8"/>
      <c r="F1152" s="13"/>
      <c r="G1152" s="14"/>
      <c r="H1152" s="8"/>
      <c r="I1152" s="11" t="str">
        <f aca="false">IF(OR(F1152="",G1152=""),"",ROUND(F1152*G1152,0))</f>
        <v/>
      </c>
    </row>
    <row r="1153" customFormat="false" ht="15" hidden="false" customHeight="false" outlineLevel="0" collapsed="false">
      <c r="A1153" s="8"/>
      <c r="B1153" s="10" t="str">
        <f aca="false">IF(A1153="","",IFERROR(VLOOKUP(A1153,DonHang!$A$2:$C$500,3,FALSE()),"mã đơn chưa có"))</f>
        <v/>
      </c>
      <c r="C1153" s="8"/>
      <c r="D1153" s="8"/>
      <c r="E1153" s="8"/>
      <c r="F1153" s="13"/>
      <c r="G1153" s="14"/>
      <c r="H1153" s="8"/>
      <c r="I1153" s="11" t="str">
        <f aca="false">IF(OR(F1153="",G1153=""),"",ROUND(F1153*G1153,0))</f>
        <v/>
      </c>
    </row>
    <row r="1154" customFormat="false" ht="15" hidden="false" customHeight="false" outlineLevel="0" collapsed="false">
      <c r="A1154" s="8"/>
      <c r="B1154" s="10" t="str">
        <f aca="false">IF(A1154="","",IFERROR(VLOOKUP(A1154,DonHang!$A$2:$C$500,3,FALSE()),"mã đơn chưa có"))</f>
        <v/>
      </c>
      <c r="C1154" s="8"/>
      <c r="D1154" s="8"/>
      <c r="E1154" s="8"/>
      <c r="F1154" s="13"/>
      <c r="G1154" s="14"/>
      <c r="H1154" s="8"/>
      <c r="I1154" s="11" t="str">
        <f aca="false">IF(OR(F1154="",G1154=""),"",ROUND(F1154*G1154,0))</f>
        <v/>
      </c>
    </row>
    <row r="1155" customFormat="false" ht="15" hidden="false" customHeight="false" outlineLevel="0" collapsed="false">
      <c r="A1155" s="8"/>
      <c r="B1155" s="10" t="str">
        <f aca="false">IF(A1155="","",IFERROR(VLOOKUP(A1155,DonHang!$A$2:$C$500,3,FALSE()),"mã đơn chưa có"))</f>
        <v/>
      </c>
      <c r="C1155" s="8"/>
      <c r="D1155" s="8"/>
      <c r="E1155" s="8"/>
      <c r="F1155" s="13"/>
      <c r="G1155" s="14"/>
      <c r="H1155" s="8"/>
      <c r="I1155" s="11" t="str">
        <f aca="false">IF(OR(F1155="",G1155=""),"",ROUND(F1155*G1155,0))</f>
        <v/>
      </c>
    </row>
    <row r="1156" customFormat="false" ht="15" hidden="false" customHeight="false" outlineLevel="0" collapsed="false">
      <c r="A1156" s="8"/>
      <c r="B1156" s="10" t="str">
        <f aca="false">IF(A1156="","",IFERROR(VLOOKUP(A1156,DonHang!$A$2:$C$500,3,FALSE()),"mã đơn chưa có"))</f>
        <v/>
      </c>
      <c r="C1156" s="8"/>
      <c r="D1156" s="8"/>
      <c r="E1156" s="8"/>
      <c r="F1156" s="13"/>
      <c r="G1156" s="14"/>
      <c r="H1156" s="8"/>
      <c r="I1156" s="11" t="str">
        <f aca="false">IF(OR(F1156="",G1156=""),"",ROUND(F1156*G1156,0))</f>
        <v/>
      </c>
    </row>
    <row r="1157" customFormat="false" ht="15" hidden="false" customHeight="false" outlineLevel="0" collapsed="false">
      <c r="A1157" s="8"/>
      <c r="B1157" s="10" t="str">
        <f aca="false">IF(A1157="","",IFERROR(VLOOKUP(A1157,DonHang!$A$2:$C$500,3,FALSE()),"mã đơn chưa có"))</f>
        <v/>
      </c>
      <c r="C1157" s="8"/>
      <c r="D1157" s="8"/>
      <c r="E1157" s="8"/>
      <c r="F1157" s="13"/>
      <c r="G1157" s="14"/>
      <c r="H1157" s="8"/>
      <c r="I1157" s="11" t="str">
        <f aca="false">IF(OR(F1157="",G1157=""),"",ROUND(F1157*G1157,0))</f>
        <v/>
      </c>
    </row>
    <row r="1158" customFormat="false" ht="15" hidden="false" customHeight="false" outlineLevel="0" collapsed="false">
      <c r="A1158" s="8"/>
      <c r="B1158" s="10" t="str">
        <f aca="false">IF(A1158="","",IFERROR(VLOOKUP(A1158,DonHang!$A$2:$C$500,3,FALSE()),"mã đơn chưa có"))</f>
        <v/>
      </c>
      <c r="C1158" s="8"/>
      <c r="D1158" s="8"/>
      <c r="E1158" s="8"/>
      <c r="F1158" s="13"/>
      <c r="G1158" s="14"/>
      <c r="H1158" s="8"/>
      <c r="I1158" s="11" t="str">
        <f aca="false">IF(OR(F1158="",G1158=""),"",ROUND(F1158*G1158,0))</f>
        <v/>
      </c>
    </row>
    <row r="1159" customFormat="false" ht="15" hidden="false" customHeight="false" outlineLevel="0" collapsed="false">
      <c r="A1159" s="8"/>
      <c r="B1159" s="10" t="str">
        <f aca="false">IF(A1159="","",IFERROR(VLOOKUP(A1159,DonHang!$A$2:$C$500,3,FALSE()),"mã đơn chưa có"))</f>
        <v/>
      </c>
      <c r="C1159" s="8"/>
      <c r="D1159" s="8"/>
      <c r="E1159" s="8"/>
      <c r="F1159" s="13"/>
      <c r="G1159" s="14"/>
      <c r="H1159" s="8"/>
      <c r="I1159" s="11" t="str">
        <f aca="false">IF(OR(F1159="",G1159=""),"",ROUND(F1159*G1159,0))</f>
        <v/>
      </c>
    </row>
    <row r="1160" customFormat="false" ht="15" hidden="false" customHeight="false" outlineLevel="0" collapsed="false">
      <c r="A1160" s="8"/>
      <c r="B1160" s="10" t="str">
        <f aca="false">IF(A1160="","",IFERROR(VLOOKUP(A1160,DonHang!$A$2:$C$500,3,FALSE()),"mã đơn chưa có"))</f>
        <v/>
      </c>
      <c r="C1160" s="8"/>
      <c r="D1160" s="8"/>
      <c r="E1160" s="8"/>
      <c r="F1160" s="13"/>
      <c r="G1160" s="14"/>
      <c r="H1160" s="8"/>
      <c r="I1160" s="11" t="str">
        <f aca="false">IF(OR(F1160="",G1160=""),"",ROUND(F1160*G1160,0))</f>
        <v/>
      </c>
    </row>
    <row r="1161" customFormat="false" ht="15" hidden="false" customHeight="false" outlineLevel="0" collapsed="false">
      <c r="A1161" s="8"/>
      <c r="B1161" s="10" t="str">
        <f aca="false">IF(A1161="","",IFERROR(VLOOKUP(A1161,DonHang!$A$2:$C$500,3,FALSE()),"mã đơn chưa có"))</f>
        <v/>
      </c>
      <c r="C1161" s="8"/>
      <c r="D1161" s="8"/>
      <c r="E1161" s="8"/>
      <c r="F1161" s="13"/>
      <c r="G1161" s="14"/>
      <c r="H1161" s="8"/>
      <c r="I1161" s="11" t="str">
        <f aca="false">IF(OR(F1161="",G1161=""),"",ROUND(F1161*G1161,0))</f>
        <v/>
      </c>
    </row>
    <row r="1162" customFormat="false" ht="15" hidden="false" customHeight="false" outlineLevel="0" collapsed="false">
      <c r="A1162" s="8"/>
      <c r="B1162" s="10" t="str">
        <f aca="false">IF(A1162="","",IFERROR(VLOOKUP(A1162,DonHang!$A$2:$C$500,3,FALSE()),"mã đơn chưa có"))</f>
        <v/>
      </c>
      <c r="C1162" s="8"/>
      <c r="D1162" s="8"/>
      <c r="E1162" s="8"/>
      <c r="F1162" s="13"/>
      <c r="G1162" s="14"/>
      <c r="H1162" s="8"/>
      <c r="I1162" s="11" t="str">
        <f aca="false">IF(OR(F1162="",G1162=""),"",ROUND(F1162*G1162,0))</f>
        <v/>
      </c>
    </row>
    <row r="1163" customFormat="false" ht="15" hidden="false" customHeight="false" outlineLevel="0" collapsed="false">
      <c r="A1163" s="8"/>
      <c r="B1163" s="10" t="str">
        <f aca="false">IF(A1163="","",IFERROR(VLOOKUP(A1163,DonHang!$A$2:$C$500,3,FALSE()),"mã đơn chưa có"))</f>
        <v/>
      </c>
      <c r="C1163" s="8"/>
      <c r="D1163" s="8"/>
      <c r="E1163" s="8"/>
      <c r="F1163" s="13"/>
      <c r="G1163" s="14"/>
      <c r="H1163" s="8"/>
      <c r="I1163" s="11" t="str">
        <f aca="false">IF(OR(F1163="",G1163=""),"",ROUND(F1163*G1163,0))</f>
        <v/>
      </c>
    </row>
    <row r="1164" customFormat="false" ht="15" hidden="false" customHeight="false" outlineLevel="0" collapsed="false">
      <c r="A1164" s="8"/>
      <c r="B1164" s="10" t="str">
        <f aca="false">IF(A1164="","",IFERROR(VLOOKUP(A1164,DonHang!$A$2:$C$500,3,FALSE()),"mã đơn chưa có"))</f>
        <v/>
      </c>
      <c r="C1164" s="8"/>
      <c r="D1164" s="8"/>
      <c r="E1164" s="8"/>
      <c r="F1164" s="13"/>
      <c r="G1164" s="14"/>
      <c r="H1164" s="8"/>
      <c r="I1164" s="11" t="str">
        <f aca="false">IF(OR(F1164="",G1164=""),"",ROUND(F1164*G1164,0))</f>
        <v/>
      </c>
    </row>
    <row r="1165" customFormat="false" ht="15" hidden="false" customHeight="false" outlineLevel="0" collapsed="false">
      <c r="A1165" s="8"/>
      <c r="B1165" s="10" t="str">
        <f aca="false">IF(A1165="","",IFERROR(VLOOKUP(A1165,DonHang!$A$2:$C$500,3,FALSE()),"mã đơn chưa có"))</f>
        <v/>
      </c>
      <c r="C1165" s="8"/>
      <c r="D1165" s="8"/>
      <c r="E1165" s="8"/>
      <c r="F1165" s="13"/>
      <c r="G1165" s="14"/>
      <c r="H1165" s="8"/>
      <c r="I1165" s="11" t="str">
        <f aca="false">IF(OR(F1165="",G1165=""),"",ROUND(F1165*G1165,0))</f>
        <v/>
      </c>
    </row>
    <row r="1166" customFormat="false" ht="15" hidden="false" customHeight="false" outlineLevel="0" collapsed="false">
      <c r="A1166" s="8"/>
      <c r="B1166" s="10" t="str">
        <f aca="false">IF(A1166="","",IFERROR(VLOOKUP(A1166,DonHang!$A$2:$C$500,3,FALSE()),"mã đơn chưa có"))</f>
        <v/>
      </c>
      <c r="C1166" s="8"/>
      <c r="D1166" s="8"/>
      <c r="E1166" s="8"/>
      <c r="F1166" s="13"/>
      <c r="G1166" s="14"/>
      <c r="H1166" s="8"/>
      <c r="I1166" s="11" t="str">
        <f aca="false">IF(OR(F1166="",G1166=""),"",ROUND(F1166*G1166,0))</f>
        <v/>
      </c>
    </row>
    <row r="1167" customFormat="false" ht="15" hidden="false" customHeight="false" outlineLevel="0" collapsed="false">
      <c r="A1167" s="8"/>
      <c r="B1167" s="10" t="str">
        <f aca="false">IF(A1167="","",IFERROR(VLOOKUP(A1167,DonHang!$A$2:$C$500,3,FALSE()),"mã đơn chưa có"))</f>
        <v/>
      </c>
      <c r="C1167" s="8"/>
      <c r="D1167" s="8"/>
      <c r="E1167" s="8"/>
      <c r="F1167" s="13"/>
      <c r="G1167" s="14"/>
      <c r="H1167" s="8"/>
      <c r="I1167" s="11" t="str">
        <f aca="false">IF(OR(F1167="",G1167=""),"",ROUND(F1167*G1167,0))</f>
        <v/>
      </c>
    </row>
    <row r="1168" customFormat="false" ht="15" hidden="false" customHeight="false" outlineLevel="0" collapsed="false">
      <c r="A1168" s="8"/>
      <c r="B1168" s="10" t="str">
        <f aca="false">IF(A1168="","",IFERROR(VLOOKUP(A1168,DonHang!$A$2:$C$500,3,FALSE()),"mã đơn chưa có"))</f>
        <v/>
      </c>
      <c r="C1168" s="8"/>
      <c r="D1168" s="8"/>
      <c r="E1168" s="8"/>
      <c r="F1168" s="13"/>
      <c r="G1168" s="14"/>
      <c r="H1168" s="8"/>
      <c r="I1168" s="11" t="str">
        <f aca="false">IF(OR(F1168="",G1168=""),"",ROUND(F1168*G1168,0))</f>
        <v/>
      </c>
    </row>
    <row r="1169" customFormat="false" ht="15" hidden="false" customHeight="false" outlineLevel="0" collapsed="false">
      <c r="A1169" s="8"/>
      <c r="B1169" s="10" t="str">
        <f aca="false">IF(A1169="","",IFERROR(VLOOKUP(A1169,DonHang!$A$2:$C$500,3,FALSE()),"mã đơn chưa có"))</f>
        <v/>
      </c>
      <c r="C1169" s="8"/>
      <c r="D1169" s="8"/>
      <c r="E1169" s="8"/>
      <c r="F1169" s="13"/>
      <c r="G1169" s="14"/>
      <c r="H1169" s="8"/>
      <c r="I1169" s="11" t="str">
        <f aca="false">IF(OR(F1169="",G1169=""),"",ROUND(F1169*G1169,0))</f>
        <v/>
      </c>
    </row>
    <row r="1170" customFormat="false" ht="15" hidden="false" customHeight="false" outlineLevel="0" collapsed="false">
      <c r="A1170" s="8"/>
      <c r="B1170" s="10" t="str">
        <f aca="false">IF(A1170="","",IFERROR(VLOOKUP(A1170,DonHang!$A$2:$C$500,3,FALSE()),"mã đơn chưa có"))</f>
        <v/>
      </c>
      <c r="C1170" s="8"/>
      <c r="D1170" s="8"/>
      <c r="E1170" s="8"/>
      <c r="F1170" s="13"/>
      <c r="G1170" s="14"/>
      <c r="H1170" s="8"/>
      <c r="I1170" s="11" t="str">
        <f aca="false">IF(OR(F1170="",G1170=""),"",ROUND(F1170*G1170,0))</f>
        <v/>
      </c>
    </row>
    <row r="1171" customFormat="false" ht="15" hidden="false" customHeight="false" outlineLevel="0" collapsed="false">
      <c r="A1171" s="8"/>
      <c r="B1171" s="10" t="str">
        <f aca="false">IF(A1171="","",IFERROR(VLOOKUP(A1171,DonHang!$A$2:$C$500,3,FALSE()),"mã đơn chưa có"))</f>
        <v/>
      </c>
      <c r="C1171" s="8"/>
      <c r="D1171" s="8"/>
      <c r="E1171" s="8"/>
      <c r="F1171" s="13"/>
      <c r="G1171" s="14"/>
      <c r="H1171" s="8"/>
      <c r="I1171" s="11" t="str">
        <f aca="false">IF(OR(F1171="",G1171=""),"",ROUND(F1171*G1171,0))</f>
        <v/>
      </c>
    </row>
    <row r="1172" customFormat="false" ht="15" hidden="false" customHeight="false" outlineLevel="0" collapsed="false">
      <c r="A1172" s="8"/>
      <c r="B1172" s="10" t="str">
        <f aca="false">IF(A1172="","",IFERROR(VLOOKUP(A1172,DonHang!$A$2:$C$500,3,FALSE()),"mã đơn chưa có"))</f>
        <v/>
      </c>
      <c r="C1172" s="8"/>
      <c r="D1172" s="8"/>
      <c r="E1172" s="8"/>
      <c r="F1172" s="13"/>
      <c r="G1172" s="14"/>
      <c r="H1172" s="8"/>
      <c r="I1172" s="11" t="str">
        <f aca="false">IF(OR(F1172="",G1172=""),"",ROUND(F1172*G1172,0))</f>
        <v/>
      </c>
    </row>
    <row r="1173" customFormat="false" ht="15" hidden="false" customHeight="false" outlineLevel="0" collapsed="false">
      <c r="A1173" s="8"/>
      <c r="B1173" s="10" t="str">
        <f aca="false">IF(A1173="","",IFERROR(VLOOKUP(A1173,DonHang!$A$2:$C$500,3,FALSE()),"mã đơn chưa có"))</f>
        <v/>
      </c>
      <c r="C1173" s="8"/>
      <c r="D1173" s="8"/>
      <c r="E1173" s="8"/>
      <c r="F1173" s="13"/>
      <c r="G1173" s="14"/>
      <c r="H1173" s="8"/>
      <c r="I1173" s="11" t="str">
        <f aca="false">IF(OR(F1173="",G1173=""),"",ROUND(F1173*G1173,0))</f>
        <v/>
      </c>
    </row>
    <row r="1174" customFormat="false" ht="15" hidden="false" customHeight="false" outlineLevel="0" collapsed="false">
      <c r="A1174" s="8"/>
      <c r="B1174" s="10" t="str">
        <f aca="false">IF(A1174="","",IFERROR(VLOOKUP(A1174,DonHang!$A$2:$C$500,3,FALSE()),"mã đơn chưa có"))</f>
        <v/>
      </c>
      <c r="C1174" s="8"/>
      <c r="D1174" s="8"/>
      <c r="E1174" s="8"/>
      <c r="F1174" s="13"/>
      <c r="G1174" s="14"/>
      <c r="H1174" s="8"/>
      <c r="I1174" s="11" t="str">
        <f aca="false">IF(OR(F1174="",G1174=""),"",ROUND(F1174*G1174,0))</f>
        <v/>
      </c>
    </row>
    <row r="1175" customFormat="false" ht="15" hidden="false" customHeight="false" outlineLevel="0" collapsed="false">
      <c r="A1175" s="8"/>
      <c r="B1175" s="10" t="str">
        <f aca="false">IF(A1175="","",IFERROR(VLOOKUP(A1175,DonHang!$A$2:$C$500,3,FALSE()),"mã đơn chưa có"))</f>
        <v/>
      </c>
      <c r="C1175" s="8"/>
      <c r="D1175" s="8"/>
      <c r="E1175" s="8"/>
      <c r="F1175" s="13"/>
      <c r="G1175" s="14"/>
      <c r="H1175" s="8"/>
      <c r="I1175" s="11" t="str">
        <f aca="false">IF(OR(F1175="",G1175=""),"",ROUND(F1175*G1175,0))</f>
        <v/>
      </c>
    </row>
    <row r="1176" customFormat="false" ht="15" hidden="false" customHeight="false" outlineLevel="0" collapsed="false">
      <c r="A1176" s="8"/>
      <c r="B1176" s="10" t="str">
        <f aca="false">IF(A1176="","",IFERROR(VLOOKUP(A1176,DonHang!$A$2:$C$500,3,FALSE()),"mã đơn chưa có"))</f>
        <v/>
      </c>
      <c r="C1176" s="8"/>
      <c r="D1176" s="8"/>
      <c r="E1176" s="8"/>
      <c r="F1176" s="13"/>
      <c r="G1176" s="14"/>
      <c r="H1176" s="8"/>
      <c r="I1176" s="11" t="str">
        <f aca="false">IF(OR(F1176="",G1176=""),"",ROUND(F1176*G1176,0))</f>
        <v/>
      </c>
    </row>
    <row r="1177" customFormat="false" ht="15" hidden="false" customHeight="false" outlineLevel="0" collapsed="false">
      <c r="A1177" s="8"/>
      <c r="B1177" s="10" t="str">
        <f aca="false">IF(A1177="","",IFERROR(VLOOKUP(A1177,DonHang!$A$2:$C$500,3,FALSE()),"mã đơn chưa có"))</f>
        <v/>
      </c>
      <c r="C1177" s="8"/>
      <c r="D1177" s="8"/>
      <c r="E1177" s="8"/>
      <c r="F1177" s="13"/>
      <c r="G1177" s="14"/>
      <c r="H1177" s="8"/>
      <c r="I1177" s="11" t="str">
        <f aca="false">IF(OR(F1177="",G1177=""),"",ROUND(F1177*G1177,0))</f>
        <v/>
      </c>
    </row>
    <row r="1178" customFormat="false" ht="15" hidden="false" customHeight="false" outlineLevel="0" collapsed="false">
      <c r="A1178" s="8"/>
      <c r="B1178" s="10" t="str">
        <f aca="false">IF(A1178="","",IFERROR(VLOOKUP(A1178,DonHang!$A$2:$C$500,3,FALSE()),"mã đơn chưa có"))</f>
        <v/>
      </c>
      <c r="C1178" s="8"/>
      <c r="D1178" s="8"/>
      <c r="E1178" s="8"/>
      <c r="F1178" s="13"/>
      <c r="G1178" s="14"/>
      <c r="H1178" s="8"/>
      <c r="I1178" s="11" t="str">
        <f aca="false">IF(OR(F1178="",G1178=""),"",ROUND(F1178*G1178,0))</f>
        <v/>
      </c>
    </row>
    <row r="1179" customFormat="false" ht="15" hidden="false" customHeight="false" outlineLevel="0" collapsed="false">
      <c r="A1179" s="8"/>
      <c r="B1179" s="10" t="str">
        <f aca="false">IF(A1179="","",IFERROR(VLOOKUP(A1179,DonHang!$A$2:$C$500,3,FALSE()),"mã đơn chưa có"))</f>
        <v/>
      </c>
      <c r="C1179" s="8"/>
      <c r="D1179" s="8"/>
      <c r="E1179" s="8"/>
      <c r="F1179" s="13"/>
      <c r="G1179" s="14"/>
      <c r="H1179" s="8"/>
      <c r="I1179" s="11" t="str">
        <f aca="false">IF(OR(F1179="",G1179=""),"",ROUND(F1179*G1179,0))</f>
        <v/>
      </c>
    </row>
    <row r="1180" customFormat="false" ht="15" hidden="false" customHeight="false" outlineLevel="0" collapsed="false">
      <c r="A1180" s="8"/>
      <c r="B1180" s="10" t="str">
        <f aca="false">IF(A1180="","",IFERROR(VLOOKUP(A1180,DonHang!$A$2:$C$500,3,FALSE()),"mã đơn chưa có"))</f>
        <v/>
      </c>
      <c r="C1180" s="8"/>
      <c r="D1180" s="8"/>
      <c r="E1180" s="8"/>
      <c r="F1180" s="13"/>
      <c r="G1180" s="14"/>
      <c r="H1180" s="8"/>
      <c r="I1180" s="11" t="str">
        <f aca="false">IF(OR(F1180="",G1180=""),"",ROUND(F1180*G1180,0))</f>
        <v/>
      </c>
    </row>
    <row r="1181" customFormat="false" ht="15" hidden="false" customHeight="false" outlineLevel="0" collapsed="false">
      <c r="A1181" s="8"/>
      <c r="B1181" s="10" t="str">
        <f aca="false">IF(A1181="","",IFERROR(VLOOKUP(A1181,DonHang!$A$2:$C$500,3,FALSE()),"mã đơn chưa có"))</f>
        <v/>
      </c>
      <c r="C1181" s="8"/>
      <c r="D1181" s="8"/>
      <c r="E1181" s="8"/>
      <c r="F1181" s="13"/>
      <c r="G1181" s="14"/>
      <c r="H1181" s="8"/>
      <c r="I1181" s="11" t="str">
        <f aca="false">IF(OR(F1181="",G1181=""),"",ROUND(F1181*G1181,0))</f>
        <v/>
      </c>
    </row>
    <row r="1182" customFormat="false" ht="15" hidden="false" customHeight="false" outlineLevel="0" collapsed="false">
      <c r="A1182" s="8"/>
      <c r="B1182" s="10" t="str">
        <f aca="false">IF(A1182="","",IFERROR(VLOOKUP(A1182,DonHang!$A$2:$C$500,3,FALSE()),"mã đơn chưa có"))</f>
        <v/>
      </c>
      <c r="C1182" s="8"/>
      <c r="D1182" s="8"/>
      <c r="E1182" s="8"/>
      <c r="F1182" s="13"/>
      <c r="G1182" s="14"/>
      <c r="H1182" s="8"/>
      <c r="I1182" s="11" t="str">
        <f aca="false">IF(OR(F1182="",G1182=""),"",ROUND(F1182*G1182,0))</f>
        <v/>
      </c>
    </row>
    <row r="1183" customFormat="false" ht="15" hidden="false" customHeight="false" outlineLevel="0" collapsed="false">
      <c r="A1183" s="8"/>
      <c r="B1183" s="10" t="str">
        <f aca="false">IF(A1183="","",IFERROR(VLOOKUP(A1183,DonHang!$A$2:$C$500,3,FALSE()),"mã đơn chưa có"))</f>
        <v/>
      </c>
      <c r="C1183" s="8"/>
      <c r="D1183" s="8"/>
      <c r="E1183" s="8"/>
      <c r="F1183" s="13"/>
      <c r="G1183" s="14"/>
      <c r="H1183" s="8"/>
      <c r="I1183" s="11" t="str">
        <f aca="false">IF(OR(F1183="",G1183=""),"",ROUND(F1183*G1183,0))</f>
        <v/>
      </c>
    </row>
    <row r="1184" customFormat="false" ht="15" hidden="false" customHeight="false" outlineLevel="0" collapsed="false">
      <c r="A1184" s="8"/>
      <c r="B1184" s="10" t="str">
        <f aca="false">IF(A1184="","",IFERROR(VLOOKUP(A1184,DonHang!$A$2:$C$500,3,FALSE()),"mã đơn chưa có"))</f>
        <v/>
      </c>
      <c r="C1184" s="8"/>
      <c r="D1184" s="8"/>
      <c r="E1184" s="8"/>
      <c r="F1184" s="13"/>
      <c r="G1184" s="14"/>
      <c r="H1184" s="8"/>
      <c r="I1184" s="11" t="str">
        <f aca="false">IF(OR(F1184="",G1184=""),"",ROUND(F1184*G1184,0))</f>
        <v/>
      </c>
    </row>
    <row r="1185" customFormat="false" ht="15" hidden="false" customHeight="false" outlineLevel="0" collapsed="false">
      <c r="A1185" s="8"/>
      <c r="B1185" s="10" t="str">
        <f aca="false">IF(A1185="","",IFERROR(VLOOKUP(A1185,DonHang!$A$2:$C$500,3,FALSE()),"mã đơn chưa có"))</f>
        <v/>
      </c>
      <c r="C1185" s="8"/>
      <c r="D1185" s="8"/>
      <c r="E1185" s="8"/>
      <c r="F1185" s="13"/>
      <c r="G1185" s="14"/>
      <c r="H1185" s="8"/>
      <c r="I1185" s="11" t="str">
        <f aca="false">IF(OR(F1185="",G1185=""),"",ROUND(F1185*G1185,0))</f>
        <v/>
      </c>
    </row>
    <row r="1186" customFormat="false" ht="15" hidden="false" customHeight="false" outlineLevel="0" collapsed="false">
      <c r="A1186" s="8"/>
      <c r="B1186" s="10" t="str">
        <f aca="false">IF(A1186="","",IFERROR(VLOOKUP(A1186,DonHang!$A$2:$C$500,3,FALSE()),"mã đơn chưa có"))</f>
        <v/>
      </c>
      <c r="C1186" s="8"/>
      <c r="D1186" s="8"/>
      <c r="E1186" s="8"/>
      <c r="F1186" s="13"/>
      <c r="G1186" s="14"/>
      <c r="H1186" s="8"/>
      <c r="I1186" s="11" t="str">
        <f aca="false">IF(OR(F1186="",G1186=""),"",ROUND(F1186*G1186,0))</f>
        <v/>
      </c>
    </row>
    <row r="1187" customFormat="false" ht="15" hidden="false" customHeight="false" outlineLevel="0" collapsed="false">
      <c r="A1187" s="8"/>
      <c r="B1187" s="10" t="str">
        <f aca="false">IF(A1187="","",IFERROR(VLOOKUP(A1187,DonHang!$A$2:$C$500,3,FALSE()),"mã đơn chưa có"))</f>
        <v/>
      </c>
      <c r="C1187" s="8"/>
      <c r="D1187" s="8"/>
      <c r="E1187" s="8"/>
      <c r="F1187" s="13"/>
      <c r="G1187" s="14"/>
      <c r="H1187" s="8"/>
      <c r="I1187" s="11" t="str">
        <f aca="false">IF(OR(F1187="",G1187=""),"",ROUND(F1187*G1187,0))</f>
        <v/>
      </c>
    </row>
    <row r="1188" customFormat="false" ht="15" hidden="false" customHeight="false" outlineLevel="0" collapsed="false">
      <c r="A1188" s="8"/>
      <c r="B1188" s="10" t="str">
        <f aca="false">IF(A1188="","",IFERROR(VLOOKUP(A1188,DonHang!$A$2:$C$500,3,FALSE()),"mã đơn chưa có"))</f>
        <v/>
      </c>
      <c r="C1188" s="8"/>
      <c r="D1188" s="8"/>
      <c r="E1188" s="8"/>
      <c r="F1188" s="13"/>
      <c r="G1188" s="14"/>
      <c r="H1188" s="8"/>
      <c r="I1188" s="11" t="str">
        <f aca="false">IF(OR(F1188="",G1188=""),"",ROUND(F1188*G1188,0))</f>
        <v/>
      </c>
    </row>
    <row r="1189" customFormat="false" ht="15" hidden="false" customHeight="false" outlineLevel="0" collapsed="false">
      <c r="A1189" s="8"/>
      <c r="B1189" s="10" t="str">
        <f aca="false">IF(A1189="","",IFERROR(VLOOKUP(A1189,DonHang!$A$2:$C$500,3,FALSE()),"mã đơn chưa có"))</f>
        <v/>
      </c>
      <c r="C1189" s="8"/>
      <c r="D1189" s="8"/>
      <c r="E1189" s="8"/>
      <c r="F1189" s="13"/>
      <c r="G1189" s="14"/>
      <c r="H1189" s="8"/>
      <c r="I1189" s="11" t="str">
        <f aca="false">IF(OR(F1189="",G1189=""),"",ROUND(F1189*G1189,0))</f>
        <v/>
      </c>
    </row>
    <row r="1190" customFormat="false" ht="15" hidden="false" customHeight="false" outlineLevel="0" collapsed="false">
      <c r="A1190" s="8"/>
      <c r="B1190" s="10" t="str">
        <f aca="false">IF(A1190="","",IFERROR(VLOOKUP(A1190,DonHang!$A$2:$C$500,3,FALSE()),"mã đơn chưa có"))</f>
        <v/>
      </c>
      <c r="C1190" s="8"/>
      <c r="D1190" s="8"/>
      <c r="E1190" s="8"/>
      <c r="F1190" s="13"/>
      <c r="G1190" s="14"/>
      <c r="H1190" s="8"/>
      <c r="I1190" s="11" t="str">
        <f aca="false">IF(OR(F1190="",G1190=""),"",ROUND(F1190*G1190,0))</f>
        <v/>
      </c>
    </row>
    <row r="1191" customFormat="false" ht="15" hidden="false" customHeight="false" outlineLevel="0" collapsed="false">
      <c r="A1191" s="8"/>
      <c r="B1191" s="10" t="str">
        <f aca="false">IF(A1191="","",IFERROR(VLOOKUP(A1191,DonHang!$A$2:$C$500,3,FALSE()),"mã đơn chưa có"))</f>
        <v/>
      </c>
      <c r="C1191" s="8"/>
      <c r="D1191" s="8"/>
      <c r="E1191" s="8"/>
      <c r="F1191" s="13"/>
      <c r="G1191" s="14"/>
      <c r="H1191" s="8"/>
      <c r="I1191" s="11" t="str">
        <f aca="false">IF(OR(F1191="",G1191=""),"",ROUND(F1191*G1191,0))</f>
        <v/>
      </c>
    </row>
    <row r="1192" customFormat="false" ht="15" hidden="false" customHeight="false" outlineLevel="0" collapsed="false">
      <c r="A1192" s="8"/>
      <c r="B1192" s="10" t="str">
        <f aca="false">IF(A1192="","",IFERROR(VLOOKUP(A1192,DonHang!$A$2:$C$500,3,FALSE()),"mã đơn chưa có"))</f>
        <v/>
      </c>
      <c r="C1192" s="8"/>
      <c r="D1192" s="8"/>
      <c r="E1192" s="8"/>
      <c r="F1192" s="13"/>
      <c r="G1192" s="14"/>
      <c r="H1192" s="8"/>
      <c r="I1192" s="11" t="str">
        <f aca="false">IF(OR(F1192="",G1192=""),"",ROUND(F1192*G1192,0))</f>
        <v/>
      </c>
    </row>
    <row r="1193" customFormat="false" ht="15" hidden="false" customHeight="false" outlineLevel="0" collapsed="false">
      <c r="A1193" s="8"/>
      <c r="B1193" s="10" t="str">
        <f aca="false">IF(A1193="","",IFERROR(VLOOKUP(A1193,DonHang!$A$2:$C$500,3,FALSE()),"mã đơn chưa có"))</f>
        <v/>
      </c>
      <c r="C1193" s="8"/>
      <c r="D1193" s="8"/>
      <c r="E1193" s="8"/>
      <c r="F1193" s="13"/>
      <c r="G1193" s="14"/>
      <c r="H1193" s="8"/>
      <c r="I1193" s="11" t="str">
        <f aca="false">IF(OR(F1193="",G1193=""),"",ROUND(F1193*G1193,0))</f>
        <v/>
      </c>
    </row>
    <row r="1194" customFormat="false" ht="15" hidden="false" customHeight="false" outlineLevel="0" collapsed="false">
      <c r="A1194" s="8"/>
      <c r="B1194" s="10" t="str">
        <f aca="false">IF(A1194="","",IFERROR(VLOOKUP(A1194,DonHang!$A$2:$C$500,3,FALSE()),"mã đơn chưa có"))</f>
        <v/>
      </c>
      <c r="C1194" s="8"/>
      <c r="D1194" s="8"/>
      <c r="E1194" s="8"/>
      <c r="F1194" s="13"/>
      <c r="G1194" s="14"/>
      <c r="H1194" s="8"/>
      <c r="I1194" s="11" t="str">
        <f aca="false">IF(OR(F1194="",G1194=""),"",ROUND(F1194*G1194,0))</f>
        <v/>
      </c>
    </row>
    <row r="1195" customFormat="false" ht="15" hidden="false" customHeight="false" outlineLevel="0" collapsed="false">
      <c r="A1195" s="8"/>
      <c r="B1195" s="10" t="str">
        <f aca="false">IF(A1195="","",IFERROR(VLOOKUP(A1195,DonHang!$A$2:$C$500,3,FALSE()),"mã đơn chưa có"))</f>
        <v/>
      </c>
      <c r="C1195" s="8"/>
      <c r="D1195" s="8"/>
      <c r="E1195" s="8"/>
      <c r="F1195" s="13"/>
      <c r="G1195" s="14"/>
      <c r="H1195" s="8"/>
      <c r="I1195" s="11" t="str">
        <f aca="false">IF(OR(F1195="",G1195=""),"",ROUND(F1195*G1195,0))</f>
        <v/>
      </c>
    </row>
    <row r="1196" customFormat="false" ht="15" hidden="false" customHeight="false" outlineLevel="0" collapsed="false">
      <c r="A1196" s="8"/>
      <c r="B1196" s="10" t="str">
        <f aca="false">IF(A1196="","",IFERROR(VLOOKUP(A1196,DonHang!$A$2:$C$500,3,FALSE()),"mã đơn chưa có"))</f>
        <v/>
      </c>
      <c r="C1196" s="8"/>
      <c r="D1196" s="8"/>
      <c r="E1196" s="8"/>
      <c r="F1196" s="13"/>
      <c r="G1196" s="14"/>
      <c r="H1196" s="8"/>
      <c r="I1196" s="11" t="str">
        <f aca="false">IF(OR(F1196="",G1196=""),"",ROUND(F1196*G1196,0))</f>
        <v/>
      </c>
    </row>
    <row r="1197" customFormat="false" ht="15" hidden="false" customHeight="false" outlineLevel="0" collapsed="false">
      <c r="A1197" s="8"/>
      <c r="B1197" s="10" t="str">
        <f aca="false">IF(A1197="","",IFERROR(VLOOKUP(A1197,DonHang!$A$2:$C$500,3,FALSE()),"mã đơn chưa có"))</f>
        <v/>
      </c>
      <c r="C1197" s="8"/>
      <c r="D1197" s="8"/>
      <c r="E1197" s="8"/>
      <c r="F1197" s="13"/>
      <c r="G1197" s="14"/>
      <c r="H1197" s="8"/>
      <c r="I1197" s="11" t="str">
        <f aca="false">IF(OR(F1197="",G1197=""),"",ROUND(F1197*G1197,0))</f>
        <v/>
      </c>
    </row>
    <row r="1198" customFormat="false" ht="15" hidden="false" customHeight="false" outlineLevel="0" collapsed="false">
      <c r="A1198" s="8"/>
      <c r="B1198" s="10" t="str">
        <f aca="false">IF(A1198="","",IFERROR(VLOOKUP(A1198,DonHang!$A$2:$C$500,3,FALSE()),"mã đơn chưa có"))</f>
        <v/>
      </c>
      <c r="C1198" s="8"/>
      <c r="D1198" s="8"/>
      <c r="E1198" s="8"/>
      <c r="F1198" s="13"/>
      <c r="G1198" s="14"/>
      <c r="H1198" s="8"/>
      <c r="I1198" s="11" t="str">
        <f aca="false">IF(OR(F1198="",G1198=""),"",ROUND(F1198*G1198,0))</f>
        <v/>
      </c>
    </row>
    <row r="1199" customFormat="false" ht="15" hidden="false" customHeight="false" outlineLevel="0" collapsed="false">
      <c r="A1199" s="8"/>
      <c r="B1199" s="10" t="str">
        <f aca="false">IF(A1199="","",IFERROR(VLOOKUP(A1199,DonHang!$A$2:$C$500,3,FALSE()),"mã đơn chưa có"))</f>
        <v/>
      </c>
      <c r="C1199" s="8"/>
      <c r="D1199" s="8"/>
      <c r="E1199" s="8"/>
      <c r="F1199" s="13"/>
      <c r="G1199" s="14"/>
      <c r="H1199" s="8"/>
      <c r="I1199" s="11" t="str">
        <f aca="false">IF(OR(F1199="",G1199=""),"",ROUND(F1199*G1199,0))</f>
        <v/>
      </c>
    </row>
    <row r="1200" customFormat="false" ht="15" hidden="false" customHeight="false" outlineLevel="0" collapsed="false">
      <c r="A1200" s="8"/>
      <c r="B1200" s="10" t="str">
        <f aca="false">IF(A1200="","",IFERROR(VLOOKUP(A1200,DonHang!$A$2:$C$500,3,FALSE()),"mã đơn chưa có"))</f>
        <v/>
      </c>
      <c r="C1200" s="8"/>
      <c r="D1200" s="8"/>
      <c r="E1200" s="8"/>
      <c r="F1200" s="13"/>
      <c r="G1200" s="14"/>
      <c r="H1200" s="8"/>
      <c r="I1200" s="11" t="str">
        <f aca="false">IF(OR(F1200="",G1200=""),"",ROUND(F1200*G1200,0))</f>
        <v/>
      </c>
    </row>
    <row r="1201" customFormat="false" ht="15" hidden="false" customHeight="false" outlineLevel="0" collapsed="false">
      <c r="A1201" s="8"/>
      <c r="B1201" s="10" t="str">
        <f aca="false">IF(A1201="","",IFERROR(VLOOKUP(A1201,DonHang!$A$2:$C$500,3,FALSE()),"mã đơn chưa có"))</f>
        <v/>
      </c>
      <c r="C1201" s="8"/>
      <c r="D1201" s="8"/>
      <c r="E1201" s="8"/>
      <c r="F1201" s="13"/>
      <c r="G1201" s="14"/>
      <c r="H1201" s="8"/>
      <c r="I1201" s="11" t="str">
        <f aca="false">IF(OR(F1201="",G1201=""),"",ROUND(F1201*G1201,0))</f>
        <v/>
      </c>
    </row>
    <row r="1202" customFormat="false" ht="15" hidden="false" customHeight="false" outlineLevel="0" collapsed="false">
      <c r="A1202" s="8"/>
      <c r="B1202" s="10" t="str">
        <f aca="false">IF(A1202="","",IFERROR(VLOOKUP(A1202,DonHang!$A$2:$C$500,3,FALSE()),"mã đơn chưa có"))</f>
        <v/>
      </c>
      <c r="C1202" s="8"/>
      <c r="D1202" s="8"/>
      <c r="E1202" s="8"/>
      <c r="F1202" s="13"/>
      <c r="G1202" s="14"/>
      <c r="H1202" s="8"/>
      <c r="I1202" s="11" t="str">
        <f aca="false">IF(OR(F1202="",G1202=""),"",ROUND(F1202*G1202,0))</f>
        <v/>
      </c>
    </row>
    <row r="1203" customFormat="false" ht="15" hidden="false" customHeight="false" outlineLevel="0" collapsed="false">
      <c r="A1203" s="8"/>
      <c r="B1203" s="10" t="str">
        <f aca="false">IF(A1203="","",IFERROR(VLOOKUP(A1203,DonHang!$A$2:$C$500,3,FALSE()),"mã đơn chưa có"))</f>
        <v/>
      </c>
      <c r="C1203" s="8"/>
      <c r="D1203" s="8"/>
      <c r="E1203" s="8"/>
      <c r="F1203" s="13"/>
      <c r="G1203" s="14"/>
      <c r="H1203" s="8"/>
      <c r="I1203" s="11" t="str">
        <f aca="false">IF(OR(F1203="",G1203=""),"",ROUND(F1203*G1203,0))</f>
        <v/>
      </c>
    </row>
    <row r="1204" customFormat="false" ht="15" hidden="false" customHeight="false" outlineLevel="0" collapsed="false">
      <c r="A1204" s="8"/>
      <c r="B1204" s="10" t="str">
        <f aca="false">IF(A1204="","",IFERROR(VLOOKUP(A1204,DonHang!$A$2:$C$500,3,FALSE()),"mã đơn chưa có"))</f>
        <v/>
      </c>
      <c r="C1204" s="8"/>
      <c r="D1204" s="8"/>
      <c r="E1204" s="8"/>
      <c r="F1204" s="13"/>
      <c r="G1204" s="14"/>
      <c r="H1204" s="8"/>
      <c r="I1204" s="11" t="str">
        <f aca="false">IF(OR(F1204="",G1204=""),"",ROUND(F1204*G1204,0))</f>
        <v/>
      </c>
    </row>
    <row r="1205" customFormat="false" ht="15" hidden="false" customHeight="false" outlineLevel="0" collapsed="false">
      <c r="A1205" s="8"/>
      <c r="B1205" s="10" t="str">
        <f aca="false">IF(A1205="","",IFERROR(VLOOKUP(A1205,DonHang!$A$2:$C$500,3,FALSE()),"mã đơn chưa có"))</f>
        <v/>
      </c>
      <c r="C1205" s="8"/>
      <c r="D1205" s="8"/>
      <c r="E1205" s="8"/>
      <c r="F1205" s="13"/>
      <c r="G1205" s="14"/>
      <c r="H1205" s="8"/>
      <c r="I1205" s="11" t="str">
        <f aca="false">IF(OR(F1205="",G1205=""),"",ROUND(F1205*G1205,0))</f>
        <v/>
      </c>
    </row>
    <row r="1206" customFormat="false" ht="15" hidden="false" customHeight="false" outlineLevel="0" collapsed="false">
      <c r="A1206" s="8"/>
      <c r="B1206" s="10" t="str">
        <f aca="false">IF(A1206="","",IFERROR(VLOOKUP(A1206,DonHang!$A$2:$C$500,3,FALSE()),"mã đơn chưa có"))</f>
        <v/>
      </c>
      <c r="C1206" s="8"/>
      <c r="D1206" s="8"/>
      <c r="E1206" s="8"/>
      <c r="F1206" s="13"/>
      <c r="G1206" s="14"/>
      <c r="H1206" s="8"/>
      <c r="I1206" s="11" t="str">
        <f aca="false">IF(OR(F1206="",G1206=""),"",ROUND(F1206*G1206,0))</f>
        <v/>
      </c>
    </row>
    <row r="1207" customFormat="false" ht="15" hidden="false" customHeight="false" outlineLevel="0" collapsed="false">
      <c r="A1207" s="8"/>
      <c r="B1207" s="10" t="str">
        <f aca="false">IF(A1207="","",IFERROR(VLOOKUP(A1207,DonHang!$A$2:$C$500,3,FALSE()),"mã đơn chưa có"))</f>
        <v/>
      </c>
      <c r="C1207" s="8"/>
      <c r="D1207" s="8"/>
      <c r="E1207" s="8"/>
      <c r="F1207" s="13"/>
      <c r="G1207" s="14"/>
      <c r="H1207" s="8"/>
      <c r="I1207" s="11" t="str">
        <f aca="false">IF(OR(F1207="",G1207=""),"",ROUND(F1207*G1207,0))</f>
        <v/>
      </c>
    </row>
    <row r="1208" customFormat="false" ht="15" hidden="false" customHeight="false" outlineLevel="0" collapsed="false">
      <c r="A1208" s="8"/>
      <c r="B1208" s="10" t="str">
        <f aca="false">IF(A1208="","",IFERROR(VLOOKUP(A1208,DonHang!$A$2:$C$500,3,FALSE()),"mã đơn chưa có"))</f>
        <v/>
      </c>
      <c r="C1208" s="8"/>
      <c r="D1208" s="8"/>
      <c r="E1208" s="8"/>
      <c r="F1208" s="13"/>
      <c r="G1208" s="14"/>
      <c r="H1208" s="8"/>
      <c r="I1208" s="11" t="str">
        <f aca="false">IF(OR(F1208="",G1208=""),"",ROUND(F1208*G1208,0))</f>
        <v/>
      </c>
    </row>
    <row r="1209" customFormat="false" ht="15" hidden="false" customHeight="false" outlineLevel="0" collapsed="false">
      <c r="A1209" s="8"/>
      <c r="B1209" s="10" t="str">
        <f aca="false">IF(A1209="","",IFERROR(VLOOKUP(A1209,DonHang!$A$2:$C$500,3,FALSE()),"mã đơn chưa có"))</f>
        <v/>
      </c>
      <c r="C1209" s="8"/>
      <c r="D1209" s="8"/>
      <c r="E1209" s="8"/>
      <c r="F1209" s="13"/>
      <c r="G1209" s="14"/>
      <c r="H1209" s="8"/>
      <c r="I1209" s="11" t="str">
        <f aca="false">IF(OR(F1209="",G1209=""),"",ROUND(F1209*G1209,0))</f>
        <v/>
      </c>
    </row>
    <row r="1210" customFormat="false" ht="15" hidden="false" customHeight="false" outlineLevel="0" collapsed="false">
      <c r="A1210" s="8"/>
      <c r="B1210" s="10" t="str">
        <f aca="false">IF(A1210="","",IFERROR(VLOOKUP(A1210,DonHang!$A$2:$C$500,3,FALSE()),"mã đơn chưa có"))</f>
        <v/>
      </c>
      <c r="C1210" s="8"/>
      <c r="D1210" s="8"/>
      <c r="E1210" s="8"/>
      <c r="F1210" s="13"/>
      <c r="G1210" s="14"/>
      <c r="H1210" s="8"/>
      <c r="I1210" s="11" t="str">
        <f aca="false">IF(OR(F1210="",G1210=""),"",ROUND(F1210*G1210,0))</f>
        <v/>
      </c>
    </row>
    <row r="1211" customFormat="false" ht="15" hidden="false" customHeight="false" outlineLevel="0" collapsed="false">
      <c r="A1211" s="8"/>
      <c r="B1211" s="10" t="str">
        <f aca="false">IF(A1211="","",IFERROR(VLOOKUP(A1211,DonHang!$A$2:$C$500,3,FALSE()),"mã đơn chưa có"))</f>
        <v/>
      </c>
      <c r="C1211" s="8"/>
      <c r="D1211" s="8"/>
      <c r="E1211" s="8"/>
      <c r="F1211" s="13"/>
      <c r="G1211" s="14"/>
      <c r="H1211" s="8"/>
      <c r="I1211" s="11" t="str">
        <f aca="false">IF(OR(F1211="",G1211=""),"",ROUND(F1211*G1211,0))</f>
        <v/>
      </c>
    </row>
    <row r="1212" customFormat="false" ht="15" hidden="false" customHeight="false" outlineLevel="0" collapsed="false">
      <c r="A1212" s="8"/>
      <c r="B1212" s="10" t="str">
        <f aca="false">IF(A1212="","",IFERROR(VLOOKUP(A1212,DonHang!$A$2:$C$500,3,FALSE()),"mã đơn chưa có"))</f>
        <v/>
      </c>
      <c r="C1212" s="8"/>
      <c r="D1212" s="8"/>
      <c r="E1212" s="8"/>
      <c r="F1212" s="13"/>
      <c r="G1212" s="14"/>
      <c r="H1212" s="8"/>
      <c r="I1212" s="11" t="str">
        <f aca="false">IF(OR(F1212="",G1212=""),"",ROUND(F1212*G1212,0))</f>
        <v/>
      </c>
    </row>
    <row r="1213" customFormat="false" ht="15" hidden="false" customHeight="false" outlineLevel="0" collapsed="false">
      <c r="A1213" s="8"/>
      <c r="B1213" s="10" t="str">
        <f aca="false">IF(A1213="","",IFERROR(VLOOKUP(A1213,DonHang!$A$2:$C$500,3,FALSE()),"mã đơn chưa có"))</f>
        <v/>
      </c>
      <c r="C1213" s="8"/>
      <c r="D1213" s="8"/>
      <c r="E1213" s="8"/>
      <c r="F1213" s="13"/>
      <c r="G1213" s="14"/>
      <c r="H1213" s="8"/>
      <c r="I1213" s="11" t="str">
        <f aca="false">IF(OR(F1213="",G1213=""),"",ROUND(F1213*G1213,0))</f>
        <v/>
      </c>
    </row>
    <row r="1214" customFormat="false" ht="15" hidden="false" customHeight="false" outlineLevel="0" collapsed="false">
      <c r="A1214" s="8"/>
      <c r="B1214" s="10" t="str">
        <f aca="false">IF(A1214="","",IFERROR(VLOOKUP(A1214,DonHang!$A$2:$C$500,3,FALSE()),"mã đơn chưa có"))</f>
        <v/>
      </c>
      <c r="C1214" s="8"/>
      <c r="D1214" s="8"/>
      <c r="E1214" s="8"/>
      <c r="F1214" s="13"/>
      <c r="G1214" s="14"/>
      <c r="H1214" s="8"/>
      <c r="I1214" s="11" t="str">
        <f aca="false">IF(OR(F1214="",G1214=""),"",ROUND(F1214*G1214,0))</f>
        <v/>
      </c>
    </row>
    <row r="1215" customFormat="false" ht="15" hidden="false" customHeight="false" outlineLevel="0" collapsed="false">
      <c r="A1215" s="8"/>
      <c r="B1215" s="10" t="str">
        <f aca="false">IF(A1215="","",IFERROR(VLOOKUP(A1215,DonHang!$A$2:$C$500,3,FALSE()),"mã đơn chưa có"))</f>
        <v/>
      </c>
      <c r="C1215" s="8"/>
      <c r="D1215" s="8"/>
      <c r="E1215" s="8"/>
      <c r="F1215" s="13"/>
      <c r="G1215" s="14"/>
      <c r="H1215" s="8"/>
      <c r="I1215" s="11" t="str">
        <f aca="false">IF(OR(F1215="",G1215=""),"",ROUND(F1215*G1215,0))</f>
        <v/>
      </c>
    </row>
    <row r="1216" customFormat="false" ht="15" hidden="false" customHeight="false" outlineLevel="0" collapsed="false">
      <c r="A1216" s="8"/>
      <c r="B1216" s="10" t="str">
        <f aca="false">IF(A1216="","",IFERROR(VLOOKUP(A1216,DonHang!$A$2:$C$500,3,FALSE()),"mã đơn chưa có"))</f>
        <v/>
      </c>
      <c r="C1216" s="8"/>
      <c r="D1216" s="8"/>
      <c r="E1216" s="8"/>
      <c r="F1216" s="13"/>
      <c r="G1216" s="14"/>
      <c r="H1216" s="8"/>
      <c r="I1216" s="11" t="str">
        <f aca="false">IF(OR(F1216="",G1216=""),"",ROUND(F1216*G1216,0))</f>
        <v/>
      </c>
    </row>
    <row r="1217" customFormat="false" ht="15" hidden="false" customHeight="false" outlineLevel="0" collapsed="false">
      <c r="A1217" s="8"/>
      <c r="B1217" s="10" t="str">
        <f aca="false">IF(A1217="","",IFERROR(VLOOKUP(A1217,DonHang!$A$2:$C$500,3,FALSE()),"mã đơn chưa có"))</f>
        <v/>
      </c>
      <c r="C1217" s="8"/>
      <c r="D1217" s="8"/>
      <c r="E1217" s="8"/>
      <c r="F1217" s="13"/>
      <c r="G1217" s="14"/>
      <c r="H1217" s="8"/>
      <c r="I1217" s="11" t="str">
        <f aca="false">IF(OR(F1217="",G1217=""),"",ROUND(F1217*G1217,0))</f>
        <v/>
      </c>
    </row>
    <row r="1218" customFormat="false" ht="15" hidden="false" customHeight="false" outlineLevel="0" collapsed="false">
      <c r="A1218" s="8"/>
      <c r="B1218" s="10" t="str">
        <f aca="false">IF(A1218="","",IFERROR(VLOOKUP(A1218,DonHang!$A$2:$C$500,3,FALSE()),"mã đơn chưa có"))</f>
        <v/>
      </c>
      <c r="C1218" s="8"/>
      <c r="D1218" s="8"/>
      <c r="E1218" s="8"/>
      <c r="F1218" s="13"/>
      <c r="G1218" s="14"/>
      <c r="H1218" s="8"/>
      <c r="I1218" s="11" t="str">
        <f aca="false">IF(OR(F1218="",G1218=""),"",ROUND(F1218*G1218,0))</f>
        <v/>
      </c>
    </row>
    <row r="1219" customFormat="false" ht="15" hidden="false" customHeight="false" outlineLevel="0" collapsed="false">
      <c r="A1219" s="8"/>
      <c r="B1219" s="10" t="str">
        <f aca="false">IF(A1219="","",IFERROR(VLOOKUP(A1219,DonHang!$A$2:$C$500,3,FALSE()),"mã đơn chưa có"))</f>
        <v/>
      </c>
      <c r="C1219" s="8"/>
      <c r="D1219" s="8"/>
      <c r="E1219" s="8"/>
      <c r="F1219" s="13"/>
      <c r="G1219" s="14"/>
      <c r="H1219" s="8"/>
      <c r="I1219" s="11" t="str">
        <f aca="false">IF(OR(F1219="",G1219=""),"",ROUND(F1219*G1219,0))</f>
        <v/>
      </c>
    </row>
    <row r="1220" customFormat="false" ht="15" hidden="false" customHeight="false" outlineLevel="0" collapsed="false">
      <c r="A1220" s="8"/>
      <c r="B1220" s="10" t="str">
        <f aca="false">IF(A1220="","",IFERROR(VLOOKUP(A1220,DonHang!$A$2:$C$500,3,FALSE()),"mã đơn chưa có"))</f>
        <v/>
      </c>
      <c r="C1220" s="8"/>
      <c r="D1220" s="8"/>
      <c r="E1220" s="8"/>
      <c r="F1220" s="13"/>
      <c r="G1220" s="14"/>
      <c r="H1220" s="8"/>
      <c r="I1220" s="11" t="str">
        <f aca="false">IF(OR(F1220="",G1220=""),"",ROUND(F1220*G1220,0))</f>
        <v/>
      </c>
    </row>
    <row r="1221" customFormat="false" ht="15" hidden="false" customHeight="false" outlineLevel="0" collapsed="false">
      <c r="A1221" s="8"/>
      <c r="B1221" s="10" t="str">
        <f aca="false">IF(A1221="","",IFERROR(VLOOKUP(A1221,DonHang!$A$2:$C$500,3,FALSE()),"mã đơn chưa có"))</f>
        <v/>
      </c>
      <c r="C1221" s="8"/>
      <c r="D1221" s="8"/>
      <c r="E1221" s="8"/>
      <c r="F1221" s="13"/>
      <c r="G1221" s="14"/>
      <c r="H1221" s="8"/>
      <c r="I1221" s="11" t="str">
        <f aca="false">IF(OR(F1221="",G1221=""),"",ROUND(F1221*G1221,0))</f>
        <v/>
      </c>
    </row>
    <row r="1222" customFormat="false" ht="15" hidden="false" customHeight="false" outlineLevel="0" collapsed="false">
      <c r="A1222" s="8"/>
      <c r="B1222" s="10" t="str">
        <f aca="false">IF(A1222="","",IFERROR(VLOOKUP(A1222,DonHang!$A$2:$C$500,3,FALSE()),"mã đơn chưa có"))</f>
        <v/>
      </c>
      <c r="C1222" s="8"/>
      <c r="D1222" s="8"/>
      <c r="E1222" s="8"/>
      <c r="F1222" s="13"/>
      <c r="G1222" s="14"/>
      <c r="H1222" s="8"/>
      <c r="I1222" s="11" t="str">
        <f aca="false">IF(OR(F1222="",G1222=""),"",ROUND(F1222*G1222,0))</f>
        <v/>
      </c>
    </row>
    <row r="1223" customFormat="false" ht="15" hidden="false" customHeight="false" outlineLevel="0" collapsed="false">
      <c r="A1223" s="8"/>
      <c r="B1223" s="10" t="str">
        <f aca="false">IF(A1223="","",IFERROR(VLOOKUP(A1223,DonHang!$A$2:$C$500,3,FALSE()),"mã đơn chưa có"))</f>
        <v/>
      </c>
      <c r="C1223" s="8"/>
      <c r="D1223" s="8"/>
      <c r="E1223" s="8"/>
      <c r="F1223" s="13"/>
      <c r="G1223" s="14"/>
      <c r="H1223" s="8"/>
      <c r="I1223" s="11" t="str">
        <f aca="false">IF(OR(F1223="",G1223=""),"",ROUND(F1223*G1223,0))</f>
        <v/>
      </c>
    </row>
    <row r="1224" customFormat="false" ht="15" hidden="false" customHeight="false" outlineLevel="0" collapsed="false">
      <c r="A1224" s="8"/>
      <c r="B1224" s="10" t="str">
        <f aca="false">IF(A1224="","",IFERROR(VLOOKUP(A1224,DonHang!$A$2:$C$500,3,FALSE()),"mã đơn chưa có"))</f>
        <v/>
      </c>
      <c r="C1224" s="8"/>
      <c r="D1224" s="8"/>
      <c r="E1224" s="8"/>
      <c r="F1224" s="13"/>
      <c r="G1224" s="14"/>
      <c r="H1224" s="8"/>
      <c r="I1224" s="11" t="str">
        <f aca="false">IF(OR(F1224="",G1224=""),"",ROUND(F1224*G1224,0))</f>
        <v/>
      </c>
    </row>
    <row r="1225" customFormat="false" ht="15" hidden="false" customHeight="false" outlineLevel="0" collapsed="false">
      <c r="A1225" s="8"/>
      <c r="B1225" s="10" t="str">
        <f aca="false">IF(A1225="","",IFERROR(VLOOKUP(A1225,DonHang!$A$2:$C$500,3,FALSE()),"mã đơn chưa có"))</f>
        <v/>
      </c>
      <c r="C1225" s="8"/>
      <c r="D1225" s="8"/>
      <c r="E1225" s="8"/>
      <c r="F1225" s="13"/>
      <c r="G1225" s="14"/>
      <c r="H1225" s="8"/>
      <c r="I1225" s="11" t="str">
        <f aca="false">IF(OR(F1225="",G1225=""),"",ROUND(F1225*G1225,0))</f>
        <v/>
      </c>
    </row>
    <row r="1226" customFormat="false" ht="15" hidden="false" customHeight="false" outlineLevel="0" collapsed="false">
      <c r="A1226" s="8"/>
      <c r="B1226" s="10" t="str">
        <f aca="false">IF(A1226="","",IFERROR(VLOOKUP(A1226,DonHang!$A$2:$C$500,3,FALSE()),"mã đơn chưa có"))</f>
        <v/>
      </c>
      <c r="C1226" s="8"/>
      <c r="D1226" s="8"/>
      <c r="E1226" s="8"/>
      <c r="F1226" s="13"/>
      <c r="G1226" s="14"/>
      <c r="H1226" s="8"/>
      <c r="I1226" s="11" t="str">
        <f aca="false">IF(OR(F1226="",G1226=""),"",ROUND(F1226*G1226,0))</f>
        <v/>
      </c>
    </row>
    <row r="1227" customFormat="false" ht="15" hidden="false" customHeight="false" outlineLevel="0" collapsed="false">
      <c r="A1227" s="8"/>
      <c r="B1227" s="10" t="str">
        <f aca="false">IF(A1227="","",IFERROR(VLOOKUP(A1227,DonHang!$A$2:$C$500,3,FALSE()),"mã đơn chưa có"))</f>
        <v/>
      </c>
      <c r="C1227" s="8"/>
      <c r="D1227" s="8"/>
      <c r="E1227" s="8"/>
      <c r="F1227" s="13"/>
      <c r="G1227" s="14"/>
      <c r="H1227" s="8"/>
      <c r="I1227" s="11" t="str">
        <f aca="false">IF(OR(F1227="",G1227=""),"",ROUND(F1227*G1227,0))</f>
        <v/>
      </c>
    </row>
    <row r="1228" customFormat="false" ht="15" hidden="false" customHeight="false" outlineLevel="0" collapsed="false">
      <c r="A1228" s="8"/>
      <c r="B1228" s="10" t="str">
        <f aca="false">IF(A1228="","",IFERROR(VLOOKUP(A1228,DonHang!$A$2:$C$500,3,FALSE()),"mã đơn chưa có"))</f>
        <v/>
      </c>
      <c r="C1228" s="8"/>
      <c r="D1228" s="8"/>
      <c r="E1228" s="8"/>
      <c r="F1228" s="13"/>
      <c r="G1228" s="14"/>
      <c r="H1228" s="8"/>
      <c r="I1228" s="11" t="str">
        <f aca="false">IF(OR(F1228="",G1228=""),"",ROUND(F1228*G1228,0))</f>
        <v/>
      </c>
    </row>
    <row r="1229" customFormat="false" ht="15" hidden="false" customHeight="false" outlineLevel="0" collapsed="false">
      <c r="A1229" s="8"/>
      <c r="B1229" s="10" t="str">
        <f aca="false">IF(A1229="","",IFERROR(VLOOKUP(A1229,DonHang!$A$2:$C$500,3,FALSE()),"mã đơn chưa có"))</f>
        <v/>
      </c>
      <c r="C1229" s="8"/>
      <c r="D1229" s="8"/>
      <c r="E1229" s="8"/>
      <c r="F1229" s="13"/>
      <c r="G1229" s="14"/>
      <c r="H1229" s="8"/>
      <c r="I1229" s="11" t="str">
        <f aca="false">IF(OR(F1229="",G1229=""),"",ROUND(F1229*G1229,0))</f>
        <v/>
      </c>
    </row>
    <row r="1230" customFormat="false" ht="15" hidden="false" customHeight="false" outlineLevel="0" collapsed="false">
      <c r="A1230" s="8"/>
      <c r="B1230" s="10" t="str">
        <f aca="false">IF(A1230="","",IFERROR(VLOOKUP(A1230,DonHang!$A$2:$C$500,3,FALSE()),"mã đơn chưa có"))</f>
        <v/>
      </c>
      <c r="C1230" s="8"/>
      <c r="D1230" s="8"/>
      <c r="E1230" s="8"/>
      <c r="F1230" s="13"/>
      <c r="G1230" s="14"/>
      <c r="H1230" s="8"/>
      <c r="I1230" s="11" t="str">
        <f aca="false">IF(OR(F1230="",G1230=""),"",ROUND(F1230*G1230,0))</f>
        <v/>
      </c>
    </row>
    <row r="1231" customFormat="false" ht="15" hidden="false" customHeight="false" outlineLevel="0" collapsed="false">
      <c r="A1231" s="8"/>
      <c r="B1231" s="10" t="str">
        <f aca="false">IF(A1231="","",IFERROR(VLOOKUP(A1231,DonHang!$A$2:$C$500,3,FALSE()),"mã đơn chưa có"))</f>
        <v/>
      </c>
      <c r="C1231" s="8"/>
      <c r="D1231" s="8"/>
      <c r="E1231" s="8"/>
      <c r="F1231" s="13"/>
      <c r="G1231" s="14"/>
      <c r="H1231" s="8"/>
      <c r="I1231" s="11" t="str">
        <f aca="false">IF(OR(F1231="",G1231=""),"",ROUND(F1231*G1231,0))</f>
        <v/>
      </c>
    </row>
    <row r="1232" customFormat="false" ht="15" hidden="false" customHeight="false" outlineLevel="0" collapsed="false">
      <c r="A1232" s="8"/>
      <c r="B1232" s="10" t="str">
        <f aca="false">IF(A1232="","",IFERROR(VLOOKUP(A1232,DonHang!$A$2:$C$500,3,FALSE()),"mã đơn chưa có"))</f>
        <v/>
      </c>
      <c r="C1232" s="8"/>
      <c r="D1232" s="8"/>
      <c r="E1232" s="8"/>
      <c r="F1232" s="13"/>
      <c r="G1232" s="14"/>
      <c r="H1232" s="8"/>
      <c r="I1232" s="11" t="str">
        <f aca="false">IF(OR(F1232="",G1232=""),"",ROUND(F1232*G1232,0))</f>
        <v/>
      </c>
    </row>
    <row r="1233" customFormat="false" ht="15" hidden="false" customHeight="false" outlineLevel="0" collapsed="false">
      <c r="A1233" s="8"/>
      <c r="B1233" s="10" t="str">
        <f aca="false">IF(A1233="","",IFERROR(VLOOKUP(A1233,DonHang!$A$2:$C$500,3,FALSE()),"mã đơn chưa có"))</f>
        <v/>
      </c>
      <c r="C1233" s="8"/>
      <c r="D1233" s="8"/>
      <c r="E1233" s="8"/>
      <c r="F1233" s="13"/>
      <c r="G1233" s="14"/>
      <c r="H1233" s="8"/>
      <c r="I1233" s="11" t="str">
        <f aca="false">IF(OR(F1233="",G1233=""),"",ROUND(F1233*G1233,0))</f>
        <v/>
      </c>
    </row>
    <row r="1234" customFormat="false" ht="15" hidden="false" customHeight="false" outlineLevel="0" collapsed="false">
      <c r="A1234" s="8"/>
      <c r="B1234" s="10" t="str">
        <f aca="false">IF(A1234="","",IFERROR(VLOOKUP(A1234,DonHang!$A$2:$C$500,3,FALSE()),"mã đơn chưa có"))</f>
        <v/>
      </c>
      <c r="C1234" s="8"/>
      <c r="D1234" s="8"/>
      <c r="E1234" s="8"/>
      <c r="F1234" s="13"/>
      <c r="G1234" s="14"/>
      <c r="H1234" s="8"/>
      <c r="I1234" s="11" t="str">
        <f aca="false">IF(OR(F1234="",G1234=""),"",ROUND(F1234*G1234,0))</f>
        <v/>
      </c>
    </row>
    <row r="1235" customFormat="false" ht="15" hidden="false" customHeight="false" outlineLevel="0" collapsed="false">
      <c r="A1235" s="8"/>
      <c r="B1235" s="10" t="str">
        <f aca="false">IF(A1235="","",IFERROR(VLOOKUP(A1235,DonHang!$A$2:$C$500,3,FALSE()),"mã đơn chưa có"))</f>
        <v/>
      </c>
      <c r="C1235" s="8"/>
      <c r="D1235" s="8"/>
      <c r="E1235" s="8"/>
      <c r="F1235" s="13"/>
      <c r="G1235" s="14"/>
      <c r="H1235" s="8"/>
      <c r="I1235" s="11" t="str">
        <f aca="false">IF(OR(F1235="",G1235=""),"",ROUND(F1235*G1235,0))</f>
        <v/>
      </c>
    </row>
    <row r="1236" customFormat="false" ht="15" hidden="false" customHeight="false" outlineLevel="0" collapsed="false">
      <c r="A1236" s="8"/>
      <c r="B1236" s="10" t="str">
        <f aca="false">IF(A1236="","",IFERROR(VLOOKUP(A1236,DonHang!$A$2:$C$500,3,FALSE()),"mã đơn chưa có"))</f>
        <v/>
      </c>
      <c r="C1236" s="8"/>
      <c r="D1236" s="8"/>
      <c r="E1236" s="8"/>
      <c r="F1236" s="13"/>
      <c r="G1236" s="14"/>
      <c r="H1236" s="8"/>
      <c r="I1236" s="11" t="str">
        <f aca="false">IF(OR(F1236="",G1236=""),"",ROUND(F1236*G1236,0))</f>
        <v/>
      </c>
    </row>
    <row r="1237" customFormat="false" ht="15" hidden="false" customHeight="false" outlineLevel="0" collapsed="false">
      <c r="A1237" s="8"/>
      <c r="B1237" s="10" t="str">
        <f aca="false">IF(A1237="","",IFERROR(VLOOKUP(A1237,DonHang!$A$2:$C$500,3,FALSE()),"mã đơn chưa có"))</f>
        <v/>
      </c>
      <c r="C1237" s="8"/>
      <c r="D1237" s="8"/>
      <c r="E1237" s="8"/>
      <c r="F1237" s="13"/>
      <c r="G1237" s="14"/>
      <c r="H1237" s="8"/>
      <c r="I1237" s="11" t="str">
        <f aca="false">IF(OR(F1237="",G1237=""),"",ROUND(F1237*G1237,0))</f>
        <v/>
      </c>
    </row>
    <row r="1238" customFormat="false" ht="15" hidden="false" customHeight="false" outlineLevel="0" collapsed="false">
      <c r="A1238" s="8"/>
      <c r="B1238" s="10" t="str">
        <f aca="false">IF(A1238="","",IFERROR(VLOOKUP(A1238,DonHang!$A$2:$C$500,3,FALSE()),"mã đơn chưa có"))</f>
        <v/>
      </c>
      <c r="C1238" s="8"/>
      <c r="D1238" s="8"/>
      <c r="E1238" s="8"/>
      <c r="F1238" s="13"/>
      <c r="G1238" s="14"/>
      <c r="H1238" s="8"/>
      <c r="I1238" s="11" t="str">
        <f aca="false">IF(OR(F1238="",G1238=""),"",ROUND(F1238*G1238,0))</f>
        <v/>
      </c>
    </row>
    <row r="1239" customFormat="false" ht="15" hidden="false" customHeight="false" outlineLevel="0" collapsed="false">
      <c r="A1239" s="8"/>
      <c r="B1239" s="10" t="str">
        <f aca="false">IF(A1239="","",IFERROR(VLOOKUP(A1239,DonHang!$A$2:$C$500,3,FALSE()),"mã đơn chưa có"))</f>
        <v/>
      </c>
      <c r="C1239" s="8"/>
      <c r="D1239" s="8"/>
      <c r="E1239" s="8"/>
      <c r="F1239" s="13"/>
      <c r="G1239" s="14"/>
      <c r="H1239" s="8"/>
      <c r="I1239" s="11" t="str">
        <f aca="false">IF(OR(F1239="",G1239=""),"",ROUND(F1239*G1239,0))</f>
        <v/>
      </c>
    </row>
    <row r="1240" customFormat="false" ht="15" hidden="false" customHeight="false" outlineLevel="0" collapsed="false">
      <c r="A1240" s="8"/>
      <c r="B1240" s="10" t="str">
        <f aca="false">IF(A1240="","",IFERROR(VLOOKUP(A1240,DonHang!$A$2:$C$500,3,FALSE()),"mã đơn chưa có"))</f>
        <v/>
      </c>
      <c r="C1240" s="8"/>
      <c r="D1240" s="8"/>
      <c r="E1240" s="8"/>
      <c r="F1240" s="13"/>
      <c r="G1240" s="14"/>
      <c r="H1240" s="8"/>
      <c r="I1240" s="11" t="str">
        <f aca="false">IF(OR(F1240="",G1240=""),"",ROUND(F1240*G1240,0))</f>
        <v/>
      </c>
    </row>
    <row r="1241" customFormat="false" ht="15" hidden="false" customHeight="false" outlineLevel="0" collapsed="false">
      <c r="A1241" s="8"/>
      <c r="B1241" s="10" t="str">
        <f aca="false">IF(A1241="","",IFERROR(VLOOKUP(A1241,DonHang!$A$2:$C$500,3,FALSE()),"mã đơn chưa có"))</f>
        <v/>
      </c>
      <c r="C1241" s="8"/>
      <c r="D1241" s="8"/>
      <c r="E1241" s="8"/>
      <c r="F1241" s="13"/>
      <c r="G1241" s="14"/>
      <c r="H1241" s="8"/>
      <c r="I1241" s="11" t="str">
        <f aca="false">IF(OR(F1241="",G1241=""),"",ROUND(F1241*G1241,0))</f>
        <v/>
      </c>
    </row>
    <row r="1242" customFormat="false" ht="15" hidden="false" customHeight="false" outlineLevel="0" collapsed="false">
      <c r="A1242" s="8"/>
      <c r="B1242" s="10" t="str">
        <f aca="false">IF(A1242="","",IFERROR(VLOOKUP(A1242,DonHang!$A$2:$C$500,3,FALSE()),"mã đơn chưa có"))</f>
        <v/>
      </c>
      <c r="C1242" s="8"/>
      <c r="D1242" s="8"/>
      <c r="E1242" s="8"/>
      <c r="F1242" s="13"/>
      <c r="G1242" s="14"/>
      <c r="H1242" s="8"/>
      <c r="I1242" s="11" t="str">
        <f aca="false">IF(OR(F1242="",G1242=""),"",ROUND(F1242*G1242,0))</f>
        <v/>
      </c>
    </row>
    <row r="1243" customFormat="false" ht="15" hidden="false" customHeight="false" outlineLevel="0" collapsed="false">
      <c r="A1243" s="8"/>
      <c r="B1243" s="10" t="str">
        <f aca="false">IF(A1243="","",IFERROR(VLOOKUP(A1243,DonHang!$A$2:$C$500,3,FALSE()),"mã đơn chưa có"))</f>
        <v/>
      </c>
      <c r="C1243" s="8"/>
      <c r="D1243" s="8"/>
      <c r="E1243" s="8"/>
      <c r="F1243" s="13"/>
      <c r="G1243" s="14"/>
      <c r="H1243" s="8"/>
      <c r="I1243" s="11" t="str">
        <f aca="false">IF(OR(F1243="",G1243=""),"",ROUND(F1243*G1243,0))</f>
        <v/>
      </c>
    </row>
    <row r="1244" customFormat="false" ht="15" hidden="false" customHeight="false" outlineLevel="0" collapsed="false">
      <c r="A1244" s="8"/>
      <c r="B1244" s="10" t="str">
        <f aca="false">IF(A1244="","",IFERROR(VLOOKUP(A1244,DonHang!$A$2:$C$500,3,FALSE()),"mã đơn chưa có"))</f>
        <v/>
      </c>
      <c r="C1244" s="8"/>
      <c r="D1244" s="8"/>
      <c r="E1244" s="8"/>
      <c r="F1244" s="13"/>
      <c r="G1244" s="14"/>
      <c r="H1244" s="8"/>
      <c r="I1244" s="11" t="str">
        <f aca="false">IF(OR(F1244="",G1244=""),"",ROUND(F1244*G1244,0))</f>
        <v/>
      </c>
    </row>
    <row r="1245" customFormat="false" ht="15" hidden="false" customHeight="false" outlineLevel="0" collapsed="false">
      <c r="A1245" s="8"/>
      <c r="B1245" s="10" t="str">
        <f aca="false">IF(A1245="","",IFERROR(VLOOKUP(A1245,DonHang!$A$2:$C$500,3,FALSE()),"mã đơn chưa có"))</f>
        <v/>
      </c>
      <c r="C1245" s="8"/>
      <c r="D1245" s="8"/>
      <c r="E1245" s="8"/>
      <c r="F1245" s="13"/>
      <c r="G1245" s="14"/>
      <c r="H1245" s="8"/>
      <c r="I1245" s="11" t="str">
        <f aca="false">IF(OR(F1245="",G1245=""),"",ROUND(F1245*G1245,0))</f>
        <v/>
      </c>
    </row>
    <row r="1246" customFormat="false" ht="15" hidden="false" customHeight="false" outlineLevel="0" collapsed="false">
      <c r="A1246" s="8"/>
      <c r="B1246" s="10" t="str">
        <f aca="false">IF(A1246="","",IFERROR(VLOOKUP(A1246,DonHang!$A$2:$C$500,3,FALSE()),"mã đơn chưa có"))</f>
        <v/>
      </c>
      <c r="C1246" s="8"/>
      <c r="D1246" s="8"/>
      <c r="E1246" s="8"/>
      <c r="F1246" s="13"/>
      <c r="G1246" s="14"/>
      <c r="H1246" s="8"/>
      <c r="I1246" s="11" t="str">
        <f aca="false">IF(OR(F1246="",G1246=""),"",ROUND(F1246*G1246,0))</f>
        <v/>
      </c>
    </row>
    <row r="1247" customFormat="false" ht="15" hidden="false" customHeight="false" outlineLevel="0" collapsed="false">
      <c r="A1247" s="8"/>
      <c r="B1247" s="10" t="str">
        <f aca="false">IF(A1247="","",IFERROR(VLOOKUP(A1247,DonHang!$A$2:$C$500,3,FALSE()),"mã đơn chưa có"))</f>
        <v/>
      </c>
      <c r="C1247" s="8"/>
      <c r="D1247" s="8"/>
      <c r="E1247" s="8"/>
      <c r="F1247" s="13"/>
      <c r="G1247" s="14"/>
      <c r="H1247" s="8"/>
      <c r="I1247" s="11" t="str">
        <f aca="false">IF(OR(F1247="",G1247=""),"",ROUND(F1247*G1247,0))</f>
        <v/>
      </c>
    </row>
    <row r="1248" customFormat="false" ht="15" hidden="false" customHeight="false" outlineLevel="0" collapsed="false">
      <c r="A1248" s="8"/>
      <c r="B1248" s="10" t="str">
        <f aca="false">IF(A1248="","",IFERROR(VLOOKUP(A1248,DonHang!$A$2:$C$500,3,FALSE()),"mã đơn chưa có"))</f>
        <v/>
      </c>
      <c r="C1248" s="8"/>
      <c r="D1248" s="8"/>
      <c r="E1248" s="8"/>
      <c r="F1248" s="13"/>
      <c r="G1248" s="14"/>
      <c r="H1248" s="8"/>
      <c r="I1248" s="11" t="str">
        <f aca="false">IF(OR(F1248="",G1248=""),"",ROUND(F1248*G1248,0))</f>
        <v/>
      </c>
    </row>
    <row r="1249" customFormat="false" ht="15" hidden="false" customHeight="false" outlineLevel="0" collapsed="false">
      <c r="A1249" s="8"/>
      <c r="B1249" s="10" t="str">
        <f aca="false">IF(A1249="","",IFERROR(VLOOKUP(A1249,DonHang!$A$2:$C$500,3,FALSE()),"mã đơn chưa có"))</f>
        <v/>
      </c>
      <c r="C1249" s="8"/>
      <c r="D1249" s="8"/>
      <c r="E1249" s="8"/>
      <c r="F1249" s="13"/>
      <c r="G1249" s="14"/>
      <c r="H1249" s="8"/>
      <c r="I1249" s="11" t="str">
        <f aca="false">IF(OR(F1249="",G1249=""),"",ROUND(F1249*G1249,0))</f>
        <v/>
      </c>
    </row>
    <row r="1250" customFormat="false" ht="15" hidden="false" customHeight="false" outlineLevel="0" collapsed="false">
      <c r="A1250" s="8"/>
      <c r="B1250" s="10" t="str">
        <f aca="false">IF(A1250="","",IFERROR(VLOOKUP(A1250,DonHang!$A$2:$C$500,3,FALSE()),"mã đơn chưa có"))</f>
        <v/>
      </c>
      <c r="C1250" s="8"/>
      <c r="D1250" s="8"/>
      <c r="E1250" s="8"/>
      <c r="F1250" s="13"/>
      <c r="G1250" s="14"/>
      <c r="H1250" s="8"/>
      <c r="I1250" s="11" t="str">
        <f aca="false">IF(OR(F1250="",G1250=""),"",ROUND(F1250*G1250,0))</f>
        <v/>
      </c>
    </row>
    <row r="1251" customFormat="false" ht="15" hidden="false" customHeight="false" outlineLevel="0" collapsed="false">
      <c r="A1251" s="8"/>
      <c r="B1251" s="10" t="str">
        <f aca="false">IF(A1251="","",IFERROR(VLOOKUP(A1251,DonHang!$A$2:$C$500,3,FALSE()),"mã đơn chưa có"))</f>
        <v/>
      </c>
      <c r="C1251" s="8"/>
      <c r="D1251" s="8"/>
      <c r="E1251" s="8"/>
      <c r="F1251" s="13"/>
      <c r="G1251" s="14"/>
      <c r="H1251" s="8"/>
      <c r="I1251" s="11" t="str">
        <f aca="false">IF(OR(F1251="",G1251=""),"",ROUND(F1251*G1251,0))</f>
        <v/>
      </c>
    </row>
    <row r="1252" customFormat="false" ht="15" hidden="false" customHeight="false" outlineLevel="0" collapsed="false">
      <c r="A1252" s="8"/>
      <c r="B1252" s="10" t="str">
        <f aca="false">IF(A1252="","",IFERROR(VLOOKUP(A1252,DonHang!$A$2:$C$500,3,FALSE()),"mã đơn chưa có"))</f>
        <v/>
      </c>
      <c r="C1252" s="8"/>
      <c r="D1252" s="8"/>
      <c r="E1252" s="8"/>
      <c r="F1252" s="13"/>
      <c r="G1252" s="14"/>
      <c r="H1252" s="8"/>
      <c r="I1252" s="11" t="str">
        <f aca="false">IF(OR(F1252="",G1252=""),"",ROUND(F1252*G1252,0))</f>
        <v/>
      </c>
    </row>
    <row r="1253" customFormat="false" ht="15" hidden="false" customHeight="false" outlineLevel="0" collapsed="false">
      <c r="A1253" s="8"/>
      <c r="B1253" s="10" t="str">
        <f aca="false">IF(A1253="","",IFERROR(VLOOKUP(A1253,DonHang!$A$2:$C$500,3,FALSE()),"mã đơn chưa có"))</f>
        <v/>
      </c>
      <c r="C1253" s="8"/>
      <c r="D1253" s="8"/>
      <c r="E1253" s="8"/>
      <c r="F1253" s="13"/>
      <c r="G1253" s="14"/>
      <c r="H1253" s="8"/>
      <c r="I1253" s="11" t="str">
        <f aca="false">IF(OR(F1253="",G1253=""),"",ROUND(F1253*G1253,0))</f>
        <v/>
      </c>
    </row>
    <row r="1254" customFormat="false" ht="15" hidden="false" customHeight="false" outlineLevel="0" collapsed="false">
      <c r="A1254" s="8"/>
      <c r="B1254" s="10" t="str">
        <f aca="false">IF(A1254="","",IFERROR(VLOOKUP(A1254,DonHang!$A$2:$C$500,3,FALSE()),"mã đơn chưa có"))</f>
        <v/>
      </c>
      <c r="C1254" s="8"/>
      <c r="D1254" s="8"/>
      <c r="E1254" s="8"/>
      <c r="F1254" s="13"/>
      <c r="G1254" s="14"/>
      <c r="H1254" s="8"/>
      <c r="I1254" s="11" t="str">
        <f aca="false">IF(OR(F1254="",G1254=""),"",ROUND(F1254*G1254,0))</f>
        <v/>
      </c>
    </row>
    <row r="1255" customFormat="false" ht="15" hidden="false" customHeight="false" outlineLevel="0" collapsed="false">
      <c r="A1255" s="8"/>
      <c r="B1255" s="10" t="str">
        <f aca="false">IF(A1255="","",IFERROR(VLOOKUP(A1255,DonHang!$A$2:$C$500,3,FALSE()),"mã đơn chưa có"))</f>
        <v/>
      </c>
      <c r="C1255" s="8"/>
      <c r="D1255" s="8"/>
      <c r="E1255" s="8"/>
      <c r="F1255" s="13"/>
      <c r="G1255" s="14"/>
      <c r="H1255" s="8"/>
      <c r="I1255" s="11" t="str">
        <f aca="false">IF(OR(F1255="",G1255=""),"",ROUND(F1255*G1255,0))</f>
        <v/>
      </c>
    </row>
    <row r="1256" customFormat="false" ht="15" hidden="false" customHeight="false" outlineLevel="0" collapsed="false">
      <c r="A1256" s="8"/>
      <c r="B1256" s="10" t="str">
        <f aca="false">IF(A1256="","",IFERROR(VLOOKUP(A1256,DonHang!$A$2:$C$500,3,FALSE()),"mã đơn chưa có"))</f>
        <v/>
      </c>
      <c r="C1256" s="8"/>
      <c r="D1256" s="8"/>
      <c r="E1256" s="8"/>
      <c r="F1256" s="13"/>
      <c r="G1256" s="14"/>
      <c r="H1256" s="8"/>
      <c r="I1256" s="11" t="str">
        <f aca="false">IF(OR(F1256="",G1256=""),"",ROUND(F1256*G1256,0))</f>
        <v/>
      </c>
    </row>
    <row r="1257" customFormat="false" ht="15" hidden="false" customHeight="false" outlineLevel="0" collapsed="false">
      <c r="A1257" s="8"/>
      <c r="B1257" s="10" t="str">
        <f aca="false">IF(A1257="","",IFERROR(VLOOKUP(A1257,DonHang!$A$2:$C$500,3,FALSE()),"mã đơn chưa có"))</f>
        <v/>
      </c>
      <c r="C1257" s="8"/>
      <c r="D1257" s="8"/>
      <c r="E1257" s="8"/>
      <c r="F1257" s="13"/>
      <c r="G1257" s="14"/>
      <c r="H1257" s="8"/>
      <c r="I1257" s="11" t="str">
        <f aca="false">IF(OR(F1257="",G1257=""),"",ROUND(F1257*G1257,0))</f>
        <v/>
      </c>
    </row>
    <row r="1258" customFormat="false" ht="15" hidden="false" customHeight="false" outlineLevel="0" collapsed="false">
      <c r="A1258" s="8"/>
      <c r="B1258" s="10" t="str">
        <f aca="false">IF(A1258="","",IFERROR(VLOOKUP(A1258,DonHang!$A$2:$C$500,3,FALSE()),"mã đơn chưa có"))</f>
        <v/>
      </c>
      <c r="C1258" s="8"/>
      <c r="D1258" s="8"/>
      <c r="E1258" s="8"/>
      <c r="F1258" s="13"/>
      <c r="G1258" s="14"/>
      <c r="H1258" s="8"/>
      <c r="I1258" s="11" t="str">
        <f aca="false">IF(OR(F1258="",G1258=""),"",ROUND(F1258*G1258,0))</f>
        <v/>
      </c>
    </row>
    <row r="1259" customFormat="false" ht="15" hidden="false" customHeight="false" outlineLevel="0" collapsed="false">
      <c r="A1259" s="8"/>
      <c r="B1259" s="10" t="str">
        <f aca="false">IF(A1259="","",IFERROR(VLOOKUP(A1259,DonHang!$A$2:$C$500,3,FALSE()),"mã đơn chưa có"))</f>
        <v/>
      </c>
      <c r="C1259" s="8"/>
      <c r="D1259" s="8"/>
      <c r="E1259" s="8"/>
      <c r="F1259" s="13"/>
      <c r="G1259" s="14"/>
      <c r="H1259" s="8"/>
      <c r="I1259" s="11" t="str">
        <f aca="false">IF(OR(F1259="",G1259=""),"",ROUND(F1259*G1259,0))</f>
        <v/>
      </c>
    </row>
    <row r="1260" customFormat="false" ht="15" hidden="false" customHeight="false" outlineLevel="0" collapsed="false">
      <c r="A1260" s="8"/>
      <c r="B1260" s="10" t="str">
        <f aca="false">IF(A1260="","",IFERROR(VLOOKUP(A1260,DonHang!$A$2:$C$500,3,FALSE()),"mã đơn chưa có"))</f>
        <v/>
      </c>
      <c r="C1260" s="8"/>
      <c r="D1260" s="8"/>
      <c r="E1260" s="8"/>
      <c r="F1260" s="13"/>
      <c r="G1260" s="14"/>
      <c r="H1260" s="8"/>
      <c r="I1260" s="11" t="str">
        <f aca="false">IF(OR(F1260="",G1260=""),"",ROUND(F1260*G1260,0))</f>
        <v/>
      </c>
    </row>
    <row r="1261" customFormat="false" ht="15" hidden="false" customHeight="false" outlineLevel="0" collapsed="false">
      <c r="A1261" s="8"/>
      <c r="B1261" s="10" t="str">
        <f aca="false">IF(A1261="","",IFERROR(VLOOKUP(A1261,DonHang!$A$2:$C$500,3,FALSE()),"mã đơn chưa có"))</f>
        <v/>
      </c>
      <c r="C1261" s="8"/>
      <c r="D1261" s="8"/>
      <c r="E1261" s="8"/>
      <c r="F1261" s="13"/>
      <c r="G1261" s="14"/>
      <c r="H1261" s="8"/>
      <c r="I1261" s="11" t="str">
        <f aca="false">IF(OR(F1261="",G1261=""),"",ROUND(F1261*G1261,0))</f>
        <v/>
      </c>
    </row>
    <row r="1262" customFormat="false" ht="15" hidden="false" customHeight="false" outlineLevel="0" collapsed="false">
      <c r="A1262" s="8"/>
      <c r="B1262" s="10" t="str">
        <f aca="false">IF(A1262="","",IFERROR(VLOOKUP(A1262,DonHang!$A$2:$C$500,3,FALSE()),"mã đơn chưa có"))</f>
        <v/>
      </c>
      <c r="C1262" s="8"/>
      <c r="D1262" s="8"/>
      <c r="E1262" s="8"/>
      <c r="F1262" s="13"/>
      <c r="G1262" s="14"/>
      <c r="H1262" s="8"/>
      <c r="I1262" s="11" t="str">
        <f aca="false">IF(OR(F1262="",G1262=""),"",ROUND(F1262*G1262,0))</f>
        <v/>
      </c>
    </row>
    <row r="1263" customFormat="false" ht="15" hidden="false" customHeight="false" outlineLevel="0" collapsed="false">
      <c r="A1263" s="8"/>
      <c r="B1263" s="10" t="str">
        <f aca="false">IF(A1263="","",IFERROR(VLOOKUP(A1263,DonHang!$A$2:$C$500,3,FALSE()),"mã đơn chưa có"))</f>
        <v/>
      </c>
      <c r="C1263" s="8"/>
      <c r="D1263" s="8"/>
      <c r="E1263" s="8"/>
      <c r="F1263" s="13"/>
      <c r="G1263" s="14"/>
      <c r="H1263" s="8"/>
      <c r="I1263" s="11" t="str">
        <f aca="false">IF(OR(F1263="",G1263=""),"",ROUND(F1263*G1263,0))</f>
        <v/>
      </c>
    </row>
    <row r="1264" customFormat="false" ht="15" hidden="false" customHeight="false" outlineLevel="0" collapsed="false">
      <c r="A1264" s="8"/>
      <c r="B1264" s="10" t="str">
        <f aca="false">IF(A1264="","",IFERROR(VLOOKUP(A1264,DonHang!$A$2:$C$500,3,FALSE()),"mã đơn chưa có"))</f>
        <v/>
      </c>
      <c r="C1264" s="8"/>
      <c r="D1264" s="8"/>
      <c r="E1264" s="8"/>
      <c r="F1264" s="13"/>
      <c r="G1264" s="14"/>
      <c r="H1264" s="8"/>
      <c r="I1264" s="11" t="str">
        <f aca="false">IF(OR(F1264="",G1264=""),"",ROUND(F1264*G1264,0))</f>
        <v/>
      </c>
    </row>
    <row r="1265" customFormat="false" ht="15" hidden="false" customHeight="false" outlineLevel="0" collapsed="false">
      <c r="A1265" s="8"/>
      <c r="B1265" s="10" t="str">
        <f aca="false">IF(A1265="","",IFERROR(VLOOKUP(A1265,DonHang!$A$2:$C$500,3,FALSE()),"mã đơn chưa có"))</f>
        <v/>
      </c>
      <c r="C1265" s="8"/>
      <c r="D1265" s="8"/>
      <c r="E1265" s="8"/>
      <c r="F1265" s="13"/>
      <c r="G1265" s="14"/>
      <c r="H1265" s="8"/>
      <c r="I1265" s="11" t="str">
        <f aca="false">IF(OR(F1265="",G1265=""),"",ROUND(F1265*G1265,0))</f>
        <v/>
      </c>
    </row>
    <row r="1266" customFormat="false" ht="15" hidden="false" customHeight="false" outlineLevel="0" collapsed="false">
      <c r="A1266" s="8"/>
      <c r="B1266" s="10" t="str">
        <f aca="false">IF(A1266="","",IFERROR(VLOOKUP(A1266,DonHang!$A$2:$C$500,3,FALSE()),"mã đơn chưa có"))</f>
        <v/>
      </c>
      <c r="C1266" s="8"/>
      <c r="D1266" s="8"/>
      <c r="E1266" s="8"/>
      <c r="F1266" s="13"/>
      <c r="G1266" s="14"/>
      <c r="H1266" s="8"/>
      <c r="I1266" s="11" t="str">
        <f aca="false">IF(OR(F1266="",G1266=""),"",ROUND(F1266*G1266,0))</f>
        <v/>
      </c>
    </row>
    <row r="1267" customFormat="false" ht="15" hidden="false" customHeight="false" outlineLevel="0" collapsed="false">
      <c r="A1267" s="8"/>
      <c r="B1267" s="10" t="str">
        <f aca="false">IF(A1267="","",IFERROR(VLOOKUP(A1267,DonHang!$A$2:$C$500,3,FALSE()),"mã đơn chưa có"))</f>
        <v/>
      </c>
      <c r="C1267" s="8"/>
      <c r="D1267" s="8"/>
      <c r="E1267" s="8"/>
      <c r="F1267" s="13"/>
      <c r="G1267" s="14"/>
      <c r="H1267" s="8"/>
      <c r="I1267" s="11" t="str">
        <f aca="false">IF(OR(F1267="",G1267=""),"",ROUND(F1267*G1267,0))</f>
        <v/>
      </c>
    </row>
    <row r="1268" customFormat="false" ht="15" hidden="false" customHeight="false" outlineLevel="0" collapsed="false">
      <c r="A1268" s="8"/>
      <c r="B1268" s="10" t="str">
        <f aca="false">IF(A1268="","",IFERROR(VLOOKUP(A1268,DonHang!$A$2:$C$500,3,FALSE()),"mã đơn chưa có"))</f>
        <v/>
      </c>
      <c r="C1268" s="8"/>
      <c r="D1268" s="8"/>
      <c r="E1268" s="8"/>
      <c r="F1268" s="13"/>
      <c r="G1268" s="14"/>
      <c r="H1268" s="8"/>
      <c r="I1268" s="11" t="str">
        <f aca="false">IF(OR(F1268="",G1268=""),"",ROUND(F1268*G1268,0))</f>
        <v/>
      </c>
    </row>
    <row r="1269" customFormat="false" ht="15" hidden="false" customHeight="false" outlineLevel="0" collapsed="false">
      <c r="A1269" s="8"/>
      <c r="B1269" s="10" t="str">
        <f aca="false">IF(A1269="","",IFERROR(VLOOKUP(A1269,DonHang!$A$2:$C$500,3,FALSE()),"mã đơn chưa có"))</f>
        <v/>
      </c>
      <c r="C1269" s="8"/>
      <c r="D1269" s="8"/>
      <c r="E1269" s="8"/>
      <c r="F1269" s="13"/>
      <c r="G1269" s="14"/>
      <c r="H1269" s="8"/>
      <c r="I1269" s="11" t="str">
        <f aca="false">IF(OR(F1269="",G1269=""),"",ROUND(F1269*G1269,0))</f>
        <v/>
      </c>
    </row>
    <row r="1270" customFormat="false" ht="15" hidden="false" customHeight="false" outlineLevel="0" collapsed="false">
      <c r="A1270" s="8"/>
      <c r="B1270" s="10" t="str">
        <f aca="false">IF(A1270="","",IFERROR(VLOOKUP(A1270,DonHang!$A$2:$C$500,3,FALSE()),"mã đơn chưa có"))</f>
        <v/>
      </c>
      <c r="C1270" s="8"/>
      <c r="D1270" s="8"/>
      <c r="E1270" s="8"/>
      <c r="F1270" s="13"/>
      <c r="G1270" s="14"/>
      <c r="H1270" s="8"/>
      <c r="I1270" s="11" t="str">
        <f aca="false">IF(OR(F1270="",G1270=""),"",ROUND(F1270*G1270,0))</f>
        <v/>
      </c>
    </row>
    <row r="1271" customFormat="false" ht="15" hidden="false" customHeight="false" outlineLevel="0" collapsed="false">
      <c r="A1271" s="8"/>
      <c r="B1271" s="10" t="str">
        <f aca="false">IF(A1271="","",IFERROR(VLOOKUP(A1271,DonHang!$A$2:$C$500,3,FALSE()),"mã đơn chưa có"))</f>
        <v/>
      </c>
      <c r="C1271" s="8"/>
      <c r="D1271" s="8"/>
      <c r="E1271" s="8"/>
      <c r="F1271" s="13"/>
      <c r="G1271" s="14"/>
      <c r="H1271" s="8"/>
      <c r="I1271" s="11" t="str">
        <f aca="false">IF(OR(F1271="",G1271=""),"",ROUND(F1271*G1271,0))</f>
        <v/>
      </c>
    </row>
    <row r="1272" customFormat="false" ht="15" hidden="false" customHeight="false" outlineLevel="0" collapsed="false">
      <c r="A1272" s="8"/>
      <c r="B1272" s="10" t="str">
        <f aca="false">IF(A1272="","",IFERROR(VLOOKUP(A1272,DonHang!$A$2:$C$500,3,FALSE()),"mã đơn chưa có"))</f>
        <v/>
      </c>
      <c r="C1272" s="8"/>
      <c r="D1272" s="8"/>
      <c r="E1272" s="8"/>
      <c r="F1272" s="13"/>
      <c r="G1272" s="14"/>
      <c r="H1272" s="8"/>
      <c r="I1272" s="11" t="str">
        <f aca="false">IF(OR(F1272="",G1272=""),"",ROUND(F1272*G1272,0))</f>
        <v/>
      </c>
    </row>
    <row r="1273" customFormat="false" ht="15" hidden="false" customHeight="false" outlineLevel="0" collapsed="false">
      <c r="A1273" s="8"/>
      <c r="B1273" s="10" t="str">
        <f aca="false">IF(A1273="","",IFERROR(VLOOKUP(A1273,DonHang!$A$2:$C$500,3,FALSE()),"mã đơn chưa có"))</f>
        <v/>
      </c>
      <c r="C1273" s="8"/>
      <c r="D1273" s="8"/>
      <c r="E1273" s="8"/>
      <c r="F1273" s="13"/>
      <c r="G1273" s="14"/>
      <c r="H1273" s="8"/>
      <c r="I1273" s="11" t="str">
        <f aca="false">IF(OR(F1273="",G1273=""),"",ROUND(F1273*G1273,0))</f>
        <v/>
      </c>
    </row>
    <row r="1274" customFormat="false" ht="15" hidden="false" customHeight="false" outlineLevel="0" collapsed="false">
      <c r="A1274" s="8"/>
      <c r="B1274" s="10" t="str">
        <f aca="false">IF(A1274="","",IFERROR(VLOOKUP(A1274,DonHang!$A$2:$C$500,3,FALSE()),"mã đơn chưa có"))</f>
        <v/>
      </c>
      <c r="C1274" s="8"/>
      <c r="D1274" s="8"/>
      <c r="E1274" s="8"/>
      <c r="F1274" s="13"/>
      <c r="G1274" s="14"/>
      <c r="H1274" s="8"/>
      <c r="I1274" s="11" t="str">
        <f aca="false">IF(OR(F1274="",G1274=""),"",ROUND(F1274*G1274,0))</f>
        <v/>
      </c>
    </row>
    <row r="1275" customFormat="false" ht="15" hidden="false" customHeight="false" outlineLevel="0" collapsed="false">
      <c r="A1275" s="8"/>
      <c r="B1275" s="10" t="str">
        <f aca="false">IF(A1275="","",IFERROR(VLOOKUP(A1275,DonHang!$A$2:$C$500,3,FALSE()),"mã đơn chưa có"))</f>
        <v/>
      </c>
      <c r="C1275" s="8"/>
      <c r="D1275" s="8"/>
      <c r="E1275" s="8"/>
      <c r="F1275" s="13"/>
      <c r="G1275" s="14"/>
      <c r="H1275" s="8"/>
      <c r="I1275" s="11" t="str">
        <f aca="false">IF(OR(F1275="",G1275=""),"",ROUND(F1275*G1275,0))</f>
        <v/>
      </c>
    </row>
    <row r="1276" customFormat="false" ht="15" hidden="false" customHeight="false" outlineLevel="0" collapsed="false">
      <c r="A1276" s="8"/>
      <c r="B1276" s="10" t="str">
        <f aca="false">IF(A1276="","",IFERROR(VLOOKUP(A1276,DonHang!$A$2:$C$500,3,FALSE()),"mã đơn chưa có"))</f>
        <v/>
      </c>
      <c r="C1276" s="8"/>
      <c r="D1276" s="8"/>
      <c r="E1276" s="8"/>
      <c r="F1276" s="13"/>
      <c r="G1276" s="14"/>
      <c r="H1276" s="8"/>
      <c r="I1276" s="11" t="str">
        <f aca="false">IF(OR(F1276="",G1276=""),"",ROUND(F1276*G1276,0))</f>
        <v/>
      </c>
    </row>
    <row r="1277" customFormat="false" ht="15" hidden="false" customHeight="false" outlineLevel="0" collapsed="false">
      <c r="A1277" s="8"/>
      <c r="B1277" s="10" t="str">
        <f aca="false">IF(A1277="","",IFERROR(VLOOKUP(A1277,DonHang!$A$2:$C$500,3,FALSE()),"mã đơn chưa có"))</f>
        <v/>
      </c>
      <c r="C1277" s="8"/>
      <c r="D1277" s="8"/>
      <c r="E1277" s="8"/>
      <c r="F1277" s="13"/>
      <c r="G1277" s="14"/>
      <c r="H1277" s="8"/>
      <c r="I1277" s="11" t="str">
        <f aca="false">IF(OR(F1277="",G1277=""),"",ROUND(F1277*G1277,0))</f>
        <v/>
      </c>
    </row>
    <row r="1278" customFormat="false" ht="15" hidden="false" customHeight="false" outlineLevel="0" collapsed="false">
      <c r="A1278" s="8"/>
      <c r="B1278" s="10" t="str">
        <f aca="false">IF(A1278="","",IFERROR(VLOOKUP(A1278,DonHang!$A$2:$C$500,3,FALSE()),"mã đơn chưa có"))</f>
        <v/>
      </c>
      <c r="C1278" s="8"/>
      <c r="D1278" s="8"/>
      <c r="E1278" s="8"/>
      <c r="F1278" s="13"/>
      <c r="G1278" s="14"/>
      <c r="H1278" s="8"/>
      <c r="I1278" s="11" t="str">
        <f aca="false">IF(OR(F1278="",G1278=""),"",ROUND(F1278*G1278,0))</f>
        <v/>
      </c>
    </row>
    <row r="1279" customFormat="false" ht="15" hidden="false" customHeight="false" outlineLevel="0" collapsed="false">
      <c r="A1279" s="8"/>
      <c r="B1279" s="10" t="str">
        <f aca="false">IF(A1279="","",IFERROR(VLOOKUP(A1279,DonHang!$A$2:$C$500,3,FALSE()),"mã đơn chưa có"))</f>
        <v/>
      </c>
      <c r="C1279" s="8"/>
      <c r="D1279" s="8"/>
      <c r="E1279" s="8"/>
      <c r="F1279" s="13"/>
      <c r="G1279" s="14"/>
      <c r="H1279" s="8"/>
      <c r="I1279" s="11" t="str">
        <f aca="false">IF(OR(F1279="",G1279=""),"",ROUND(F1279*G1279,0))</f>
        <v/>
      </c>
    </row>
    <row r="1280" customFormat="false" ht="15" hidden="false" customHeight="false" outlineLevel="0" collapsed="false">
      <c r="A1280" s="8"/>
      <c r="B1280" s="10" t="str">
        <f aca="false">IF(A1280="","",IFERROR(VLOOKUP(A1280,DonHang!$A$2:$C$500,3,FALSE()),"mã đơn chưa có"))</f>
        <v/>
      </c>
      <c r="C1280" s="8"/>
      <c r="D1280" s="8"/>
      <c r="E1280" s="8"/>
      <c r="F1280" s="13"/>
      <c r="G1280" s="14"/>
      <c r="H1280" s="8"/>
      <c r="I1280" s="11" t="str">
        <f aca="false">IF(OR(F1280="",G1280=""),"",ROUND(F1280*G1280,0))</f>
        <v/>
      </c>
    </row>
    <row r="1281" customFormat="false" ht="15" hidden="false" customHeight="false" outlineLevel="0" collapsed="false">
      <c r="A1281" s="8"/>
      <c r="B1281" s="10" t="str">
        <f aca="false">IF(A1281="","",IFERROR(VLOOKUP(A1281,DonHang!$A$2:$C$500,3,FALSE()),"mã đơn chưa có"))</f>
        <v/>
      </c>
      <c r="C1281" s="8"/>
      <c r="D1281" s="8"/>
      <c r="E1281" s="8"/>
      <c r="F1281" s="13"/>
      <c r="G1281" s="14"/>
      <c r="H1281" s="8"/>
      <c r="I1281" s="11" t="str">
        <f aca="false">IF(OR(F1281="",G1281=""),"",ROUND(F1281*G1281,0))</f>
        <v/>
      </c>
    </row>
    <row r="1282" customFormat="false" ht="15" hidden="false" customHeight="false" outlineLevel="0" collapsed="false">
      <c r="A1282" s="8"/>
      <c r="B1282" s="10" t="str">
        <f aca="false">IF(A1282="","",IFERROR(VLOOKUP(A1282,DonHang!$A$2:$C$500,3,FALSE()),"mã đơn chưa có"))</f>
        <v/>
      </c>
      <c r="C1282" s="8"/>
      <c r="D1282" s="8"/>
      <c r="E1282" s="8"/>
      <c r="F1282" s="13"/>
      <c r="G1282" s="14"/>
      <c r="H1282" s="8"/>
      <c r="I1282" s="11" t="str">
        <f aca="false">IF(OR(F1282="",G1282=""),"",ROUND(F1282*G1282,0))</f>
        <v/>
      </c>
    </row>
    <row r="1283" customFormat="false" ht="15" hidden="false" customHeight="false" outlineLevel="0" collapsed="false">
      <c r="A1283" s="8"/>
      <c r="B1283" s="10" t="str">
        <f aca="false">IF(A1283="","",IFERROR(VLOOKUP(A1283,DonHang!$A$2:$C$500,3,FALSE()),"mã đơn chưa có"))</f>
        <v/>
      </c>
      <c r="C1283" s="8"/>
      <c r="D1283" s="8"/>
      <c r="E1283" s="8"/>
      <c r="F1283" s="13"/>
      <c r="G1283" s="14"/>
      <c r="H1283" s="8"/>
      <c r="I1283" s="11" t="str">
        <f aca="false">IF(OR(F1283="",G1283=""),"",ROUND(F1283*G1283,0))</f>
        <v/>
      </c>
    </row>
    <row r="1284" customFormat="false" ht="15" hidden="false" customHeight="false" outlineLevel="0" collapsed="false">
      <c r="A1284" s="8"/>
      <c r="B1284" s="10" t="str">
        <f aca="false">IF(A1284="","",IFERROR(VLOOKUP(A1284,DonHang!$A$2:$C$500,3,FALSE()),"mã đơn chưa có"))</f>
        <v/>
      </c>
      <c r="C1284" s="8"/>
      <c r="D1284" s="8"/>
      <c r="E1284" s="8"/>
      <c r="F1284" s="13"/>
      <c r="G1284" s="14"/>
      <c r="H1284" s="8"/>
      <c r="I1284" s="11" t="str">
        <f aca="false">IF(OR(F1284="",G1284=""),"",ROUND(F1284*G1284,0))</f>
        <v/>
      </c>
    </row>
    <row r="1285" customFormat="false" ht="15" hidden="false" customHeight="false" outlineLevel="0" collapsed="false">
      <c r="A1285" s="8"/>
      <c r="B1285" s="10" t="str">
        <f aca="false">IF(A1285="","",IFERROR(VLOOKUP(A1285,DonHang!$A$2:$C$500,3,FALSE()),"mã đơn chưa có"))</f>
        <v/>
      </c>
      <c r="C1285" s="8"/>
      <c r="D1285" s="8"/>
      <c r="E1285" s="8"/>
      <c r="F1285" s="13"/>
      <c r="G1285" s="14"/>
      <c r="H1285" s="8"/>
      <c r="I1285" s="11" t="str">
        <f aca="false">IF(OR(F1285="",G1285=""),"",ROUND(F1285*G1285,0))</f>
        <v/>
      </c>
    </row>
    <row r="1286" customFormat="false" ht="15" hidden="false" customHeight="false" outlineLevel="0" collapsed="false">
      <c r="A1286" s="8"/>
      <c r="B1286" s="10" t="str">
        <f aca="false">IF(A1286="","",IFERROR(VLOOKUP(A1286,DonHang!$A$2:$C$500,3,FALSE()),"mã đơn chưa có"))</f>
        <v/>
      </c>
      <c r="C1286" s="8"/>
      <c r="D1286" s="8"/>
      <c r="E1286" s="8"/>
      <c r="F1286" s="13"/>
      <c r="G1286" s="14"/>
      <c r="H1286" s="8"/>
      <c r="I1286" s="11" t="str">
        <f aca="false">IF(OR(F1286="",G1286=""),"",ROUND(F1286*G1286,0))</f>
        <v/>
      </c>
    </row>
    <row r="1287" customFormat="false" ht="15" hidden="false" customHeight="false" outlineLevel="0" collapsed="false">
      <c r="A1287" s="8"/>
      <c r="B1287" s="10" t="str">
        <f aca="false">IF(A1287="","",IFERROR(VLOOKUP(A1287,DonHang!$A$2:$C$500,3,FALSE()),"mã đơn chưa có"))</f>
        <v/>
      </c>
      <c r="C1287" s="8"/>
      <c r="D1287" s="8"/>
      <c r="E1287" s="8"/>
      <c r="F1287" s="13"/>
      <c r="G1287" s="14"/>
      <c r="H1287" s="8"/>
      <c r="I1287" s="11" t="str">
        <f aca="false">IF(OR(F1287="",G1287=""),"",ROUND(F1287*G1287,0))</f>
        <v/>
      </c>
    </row>
    <row r="1288" customFormat="false" ht="15" hidden="false" customHeight="false" outlineLevel="0" collapsed="false">
      <c r="A1288" s="8"/>
      <c r="B1288" s="10" t="str">
        <f aca="false">IF(A1288="","",IFERROR(VLOOKUP(A1288,DonHang!$A$2:$C$500,3,FALSE()),"mã đơn chưa có"))</f>
        <v/>
      </c>
      <c r="C1288" s="8"/>
      <c r="D1288" s="8"/>
      <c r="E1288" s="8"/>
      <c r="F1288" s="13"/>
      <c r="G1288" s="14"/>
      <c r="H1288" s="8"/>
      <c r="I1288" s="11" t="str">
        <f aca="false">IF(OR(F1288="",G1288=""),"",ROUND(F1288*G1288,0))</f>
        <v/>
      </c>
    </row>
    <row r="1289" customFormat="false" ht="15" hidden="false" customHeight="false" outlineLevel="0" collapsed="false">
      <c r="A1289" s="8"/>
      <c r="B1289" s="10" t="str">
        <f aca="false">IF(A1289="","",IFERROR(VLOOKUP(A1289,DonHang!$A$2:$C$500,3,FALSE()),"mã đơn chưa có"))</f>
        <v/>
      </c>
      <c r="C1289" s="8"/>
      <c r="D1289" s="8"/>
      <c r="E1289" s="8"/>
      <c r="F1289" s="13"/>
      <c r="G1289" s="14"/>
      <c r="H1289" s="8"/>
      <c r="I1289" s="11" t="str">
        <f aca="false">IF(OR(F1289="",G1289=""),"",ROUND(F1289*G1289,0))</f>
        <v/>
      </c>
    </row>
    <row r="1290" customFormat="false" ht="15" hidden="false" customHeight="false" outlineLevel="0" collapsed="false">
      <c r="A1290" s="8"/>
      <c r="B1290" s="10" t="str">
        <f aca="false">IF(A1290="","",IFERROR(VLOOKUP(A1290,DonHang!$A$2:$C$500,3,FALSE()),"mã đơn chưa có"))</f>
        <v/>
      </c>
      <c r="C1290" s="8"/>
      <c r="D1290" s="8"/>
      <c r="E1290" s="8"/>
      <c r="F1290" s="13"/>
      <c r="G1290" s="14"/>
      <c r="H1290" s="8"/>
      <c r="I1290" s="11" t="str">
        <f aca="false">IF(OR(F1290="",G1290=""),"",ROUND(F1290*G1290,0))</f>
        <v/>
      </c>
    </row>
    <row r="1291" customFormat="false" ht="15" hidden="false" customHeight="false" outlineLevel="0" collapsed="false">
      <c r="A1291" s="8"/>
      <c r="B1291" s="10" t="str">
        <f aca="false">IF(A1291="","",IFERROR(VLOOKUP(A1291,DonHang!$A$2:$C$500,3,FALSE()),"mã đơn chưa có"))</f>
        <v/>
      </c>
      <c r="C1291" s="8"/>
      <c r="D1291" s="8"/>
      <c r="E1291" s="8"/>
      <c r="F1291" s="13"/>
      <c r="G1291" s="14"/>
      <c r="H1291" s="8"/>
      <c r="I1291" s="11" t="str">
        <f aca="false">IF(OR(F1291="",G1291=""),"",ROUND(F1291*G1291,0))</f>
        <v/>
      </c>
    </row>
    <row r="1292" customFormat="false" ht="15" hidden="false" customHeight="false" outlineLevel="0" collapsed="false">
      <c r="A1292" s="8"/>
      <c r="B1292" s="10" t="str">
        <f aca="false">IF(A1292="","",IFERROR(VLOOKUP(A1292,DonHang!$A$2:$C$500,3,FALSE()),"mã đơn chưa có"))</f>
        <v/>
      </c>
      <c r="C1292" s="8"/>
      <c r="D1292" s="8"/>
      <c r="E1292" s="8"/>
      <c r="F1292" s="13"/>
      <c r="G1292" s="14"/>
      <c r="H1292" s="8"/>
      <c r="I1292" s="11" t="str">
        <f aca="false">IF(OR(F1292="",G1292=""),"",ROUND(F1292*G1292,0))</f>
        <v/>
      </c>
    </row>
    <row r="1293" customFormat="false" ht="15" hidden="false" customHeight="false" outlineLevel="0" collapsed="false">
      <c r="A1293" s="8"/>
      <c r="B1293" s="10" t="str">
        <f aca="false">IF(A1293="","",IFERROR(VLOOKUP(A1293,DonHang!$A$2:$C$500,3,FALSE()),"mã đơn chưa có"))</f>
        <v/>
      </c>
      <c r="C1293" s="8"/>
      <c r="D1293" s="8"/>
      <c r="E1293" s="8"/>
      <c r="F1293" s="13"/>
      <c r="G1293" s="14"/>
      <c r="H1293" s="8"/>
      <c r="I1293" s="11" t="str">
        <f aca="false">IF(OR(F1293="",G1293=""),"",ROUND(F1293*G1293,0))</f>
        <v/>
      </c>
    </row>
    <row r="1294" customFormat="false" ht="15" hidden="false" customHeight="false" outlineLevel="0" collapsed="false">
      <c r="A1294" s="8"/>
      <c r="B1294" s="10" t="str">
        <f aca="false">IF(A1294="","",IFERROR(VLOOKUP(A1294,DonHang!$A$2:$C$500,3,FALSE()),"mã đơn chưa có"))</f>
        <v/>
      </c>
      <c r="C1294" s="8"/>
      <c r="D1294" s="8"/>
      <c r="E1294" s="8"/>
      <c r="F1294" s="13"/>
      <c r="G1294" s="14"/>
      <c r="H1294" s="8"/>
      <c r="I1294" s="11" t="str">
        <f aca="false">IF(OR(F1294="",G1294=""),"",ROUND(F1294*G1294,0))</f>
        <v/>
      </c>
    </row>
    <row r="1295" customFormat="false" ht="15" hidden="false" customHeight="false" outlineLevel="0" collapsed="false">
      <c r="A1295" s="8"/>
      <c r="B1295" s="10" t="str">
        <f aca="false">IF(A1295="","",IFERROR(VLOOKUP(A1295,DonHang!$A$2:$C$500,3,FALSE()),"mã đơn chưa có"))</f>
        <v/>
      </c>
      <c r="C1295" s="8"/>
      <c r="D1295" s="8"/>
      <c r="E1295" s="8"/>
      <c r="F1295" s="13"/>
      <c r="G1295" s="14"/>
      <c r="H1295" s="8"/>
      <c r="I1295" s="11" t="str">
        <f aca="false">IF(OR(F1295="",G1295=""),"",ROUND(F1295*G1295,0))</f>
        <v/>
      </c>
    </row>
    <row r="1296" customFormat="false" ht="15" hidden="false" customHeight="false" outlineLevel="0" collapsed="false">
      <c r="A1296" s="8"/>
      <c r="B1296" s="10" t="str">
        <f aca="false">IF(A1296="","",IFERROR(VLOOKUP(A1296,DonHang!$A$2:$C$500,3,FALSE()),"mã đơn chưa có"))</f>
        <v/>
      </c>
      <c r="C1296" s="8"/>
      <c r="D1296" s="8"/>
      <c r="E1296" s="8"/>
      <c r="F1296" s="13"/>
      <c r="G1296" s="14"/>
      <c r="H1296" s="8"/>
      <c r="I1296" s="11" t="str">
        <f aca="false">IF(OR(F1296="",G1296=""),"",ROUND(F1296*G1296,0))</f>
        <v/>
      </c>
    </row>
    <row r="1297" customFormat="false" ht="15" hidden="false" customHeight="false" outlineLevel="0" collapsed="false">
      <c r="A1297" s="8"/>
      <c r="B1297" s="10" t="str">
        <f aca="false">IF(A1297="","",IFERROR(VLOOKUP(A1297,DonHang!$A$2:$C$500,3,FALSE()),"mã đơn chưa có"))</f>
        <v/>
      </c>
      <c r="C1297" s="8"/>
      <c r="D1297" s="8"/>
      <c r="E1297" s="8"/>
      <c r="F1297" s="13"/>
      <c r="G1297" s="14"/>
      <c r="H1297" s="8"/>
      <c r="I1297" s="11" t="str">
        <f aca="false">IF(OR(F1297="",G1297=""),"",ROUND(F1297*G1297,0))</f>
        <v/>
      </c>
    </row>
    <row r="1298" customFormat="false" ht="15" hidden="false" customHeight="false" outlineLevel="0" collapsed="false">
      <c r="A1298" s="8"/>
      <c r="B1298" s="10" t="str">
        <f aca="false">IF(A1298="","",IFERROR(VLOOKUP(A1298,DonHang!$A$2:$C$500,3,FALSE()),"mã đơn chưa có"))</f>
        <v/>
      </c>
      <c r="C1298" s="8"/>
      <c r="D1298" s="8"/>
      <c r="E1298" s="8"/>
      <c r="F1298" s="13"/>
      <c r="G1298" s="14"/>
      <c r="H1298" s="8"/>
      <c r="I1298" s="11" t="str">
        <f aca="false">IF(OR(F1298="",G1298=""),"",ROUND(F1298*G1298,0))</f>
        <v/>
      </c>
    </row>
    <row r="1299" customFormat="false" ht="15" hidden="false" customHeight="false" outlineLevel="0" collapsed="false">
      <c r="A1299" s="8"/>
      <c r="B1299" s="10" t="str">
        <f aca="false">IF(A1299="","",IFERROR(VLOOKUP(A1299,DonHang!$A$2:$C$500,3,FALSE()),"mã đơn chưa có"))</f>
        <v/>
      </c>
      <c r="C1299" s="8"/>
      <c r="D1299" s="8"/>
      <c r="E1299" s="8"/>
      <c r="F1299" s="13"/>
      <c r="G1299" s="14"/>
      <c r="H1299" s="8"/>
      <c r="I1299" s="11" t="str">
        <f aca="false">IF(OR(F1299="",G1299=""),"",ROUND(F1299*G1299,0))</f>
        <v/>
      </c>
    </row>
    <row r="1300" customFormat="false" ht="15" hidden="false" customHeight="false" outlineLevel="0" collapsed="false">
      <c r="A1300" s="8"/>
      <c r="B1300" s="10" t="str">
        <f aca="false">IF(A1300="","",IFERROR(VLOOKUP(A1300,DonHang!$A$2:$C$500,3,FALSE()),"mã đơn chưa có"))</f>
        <v/>
      </c>
      <c r="C1300" s="8"/>
      <c r="D1300" s="8"/>
      <c r="E1300" s="8"/>
      <c r="F1300" s="13"/>
      <c r="G1300" s="14"/>
      <c r="H1300" s="8"/>
      <c r="I1300" s="11" t="str">
        <f aca="false">IF(OR(F1300="",G1300=""),"",ROUND(F1300*G1300,0))</f>
        <v/>
      </c>
    </row>
    <row r="1301" customFormat="false" ht="15" hidden="false" customHeight="false" outlineLevel="0" collapsed="false">
      <c r="A1301" s="8"/>
      <c r="B1301" s="10" t="str">
        <f aca="false">IF(A1301="","",IFERROR(VLOOKUP(A1301,DonHang!$A$2:$C$500,3,FALSE()),"mã đơn chưa có"))</f>
        <v/>
      </c>
      <c r="C1301" s="8"/>
      <c r="D1301" s="8"/>
      <c r="E1301" s="8"/>
      <c r="F1301" s="13"/>
      <c r="G1301" s="14"/>
      <c r="H1301" s="8"/>
      <c r="I1301" s="11" t="str">
        <f aca="false">IF(OR(F1301="",G1301=""),"",ROUND(F1301*G1301,0))</f>
        <v/>
      </c>
    </row>
    <row r="1302" customFormat="false" ht="15" hidden="false" customHeight="false" outlineLevel="0" collapsed="false">
      <c r="A1302" s="8"/>
      <c r="B1302" s="10" t="str">
        <f aca="false">IF(A1302="","",IFERROR(VLOOKUP(A1302,DonHang!$A$2:$C$500,3,FALSE()),"mã đơn chưa có"))</f>
        <v/>
      </c>
      <c r="C1302" s="8"/>
      <c r="D1302" s="8"/>
      <c r="E1302" s="8"/>
      <c r="F1302" s="13"/>
      <c r="G1302" s="14"/>
      <c r="H1302" s="8"/>
      <c r="I1302" s="11" t="str">
        <f aca="false">IF(OR(F1302="",G1302=""),"",ROUND(F1302*G1302,0))</f>
        <v/>
      </c>
    </row>
    <row r="1303" customFormat="false" ht="15" hidden="false" customHeight="false" outlineLevel="0" collapsed="false">
      <c r="A1303" s="8"/>
      <c r="B1303" s="10" t="str">
        <f aca="false">IF(A1303="","",IFERROR(VLOOKUP(A1303,DonHang!$A$2:$C$500,3,FALSE()),"mã đơn chưa có"))</f>
        <v/>
      </c>
      <c r="C1303" s="8"/>
      <c r="D1303" s="8"/>
      <c r="E1303" s="8"/>
      <c r="F1303" s="13"/>
      <c r="G1303" s="14"/>
      <c r="H1303" s="8"/>
      <c r="I1303" s="11" t="str">
        <f aca="false">IF(OR(F1303="",G1303=""),"",ROUND(F1303*G1303,0))</f>
        <v/>
      </c>
    </row>
    <row r="1304" customFormat="false" ht="15" hidden="false" customHeight="false" outlineLevel="0" collapsed="false">
      <c r="A1304" s="8"/>
      <c r="B1304" s="10" t="str">
        <f aca="false">IF(A1304="","",IFERROR(VLOOKUP(A1304,DonHang!$A$2:$C$500,3,FALSE()),"mã đơn chưa có"))</f>
        <v/>
      </c>
      <c r="C1304" s="8"/>
      <c r="D1304" s="8"/>
      <c r="E1304" s="8"/>
      <c r="F1304" s="13"/>
      <c r="G1304" s="14"/>
      <c r="H1304" s="8"/>
      <c r="I1304" s="11" t="str">
        <f aca="false">IF(OR(F1304="",G1304=""),"",ROUND(F1304*G1304,0))</f>
        <v/>
      </c>
    </row>
    <row r="1305" customFormat="false" ht="15" hidden="false" customHeight="false" outlineLevel="0" collapsed="false">
      <c r="A1305" s="8"/>
      <c r="B1305" s="10" t="str">
        <f aca="false">IF(A1305="","",IFERROR(VLOOKUP(A1305,DonHang!$A$2:$C$500,3,FALSE()),"mã đơn chưa có"))</f>
        <v/>
      </c>
      <c r="C1305" s="8"/>
      <c r="D1305" s="8"/>
      <c r="E1305" s="8"/>
      <c r="F1305" s="13"/>
      <c r="G1305" s="14"/>
      <c r="H1305" s="8"/>
      <c r="I1305" s="11" t="str">
        <f aca="false">IF(OR(F1305="",G1305=""),"",ROUND(F1305*G1305,0))</f>
        <v/>
      </c>
    </row>
    <row r="1306" customFormat="false" ht="15" hidden="false" customHeight="false" outlineLevel="0" collapsed="false">
      <c r="A1306" s="8"/>
      <c r="B1306" s="10" t="str">
        <f aca="false">IF(A1306="","",IFERROR(VLOOKUP(A1306,DonHang!$A$2:$C$500,3,FALSE()),"mã đơn chưa có"))</f>
        <v/>
      </c>
      <c r="C1306" s="8"/>
      <c r="D1306" s="8"/>
      <c r="E1306" s="8"/>
      <c r="F1306" s="13"/>
      <c r="G1306" s="14"/>
      <c r="H1306" s="8"/>
      <c r="I1306" s="11" t="str">
        <f aca="false">IF(OR(F1306="",G1306=""),"",ROUND(F1306*G1306,0))</f>
        <v/>
      </c>
    </row>
    <row r="1307" customFormat="false" ht="15" hidden="false" customHeight="false" outlineLevel="0" collapsed="false">
      <c r="A1307" s="8"/>
      <c r="B1307" s="10" t="str">
        <f aca="false">IF(A1307="","",IFERROR(VLOOKUP(A1307,DonHang!$A$2:$C$500,3,FALSE()),"mã đơn chưa có"))</f>
        <v/>
      </c>
      <c r="C1307" s="8"/>
      <c r="D1307" s="8"/>
      <c r="E1307" s="8"/>
      <c r="F1307" s="13"/>
      <c r="G1307" s="14"/>
      <c r="H1307" s="8"/>
      <c r="I1307" s="11" t="str">
        <f aca="false">IF(OR(F1307="",G1307=""),"",ROUND(F1307*G1307,0))</f>
        <v/>
      </c>
    </row>
    <row r="1308" customFormat="false" ht="15" hidden="false" customHeight="false" outlineLevel="0" collapsed="false">
      <c r="A1308" s="8"/>
      <c r="B1308" s="10" t="str">
        <f aca="false">IF(A1308="","",IFERROR(VLOOKUP(A1308,DonHang!$A$2:$C$500,3,FALSE()),"mã đơn chưa có"))</f>
        <v/>
      </c>
      <c r="C1308" s="8"/>
      <c r="D1308" s="8"/>
      <c r="E1308" s="8"/>
      <c r="F1308" s="13"/>
      <c r="G1308" s="14"/>
      <c r="H1308" s="8"/>
      <c r="I1308" s="11" t="str">
        <f aca="false">IF(OR(F1308="",G1308=""),"",ROUND(F1308*G1308,0))</f>
        <v/>
      </c>
    </row>
    <row r="1309" customFormat="false" ht="15" hidden="false" customHeight="false" outlineLevel="0" collapsed="false">
      <c r="A1309" s="8"/>
      <c r="B1309" s="10" t="str">
        <f aca="false">IF(A1309="","",IFERROR(VLOOKUP(A1309,DonHang!$A$2:$C$500,3,FALSE()),"mã đơn chưa có"))</f>
        <v/>
      </c>
      <c r="C1309" s="8"/>
      <c r="D1309" s="8"/>
      <c r="E1309" s="8"/>
      <c r="F1309" s="13"/>
      <c r="G1309" s="14"/>
      <c r="H1309" s="8"/>
      <c r="I1309" s="11" t="str">
        <f aca="false">IF(OR(F1309="",G1309=""),"",ROUND(F1309*G1309,0))</f>
        <v/>
      </c>
    </row>
    <row r="1310" customFormat="false" ht="15" hidden="false" customHeight="false" outlineLevel="0" collapsed="false">
      <c r="A1310" s="8"/>
      <c r="B1310" s="10" t="str">
        <f aca="false">IF(A1310="","",IFERROR(VLOOKUP(A1310,DonHang!$A$2:$C$500,3,FALSE()),"mã đơn chưa có"))</f>
        <v/>
      </c>
      <c r="C1310" s="8"/>
      <c r="D1310" s="8"/>
      <c r="E1310" s="8"/>
      <c r="F1310" s="13"/>
      <c r="G1310" s="14"/>
      <c r="H1310" s="8"/>
      <c r="I1310" s="11" t="str">
        <f aca="false">IF(OR(F1310="",G1310=""),"",ROUND(F1310*G1310,0))</f>
        <v/>
      </c>
    </row>
    <row r="1311" customFormat="false" ht="15" hidden="false" customHeight="false" outlineLevel="0" collapsed="false">
      <c r="A1311" s="8"/>
      <c r="B1311" s="10" t="str">
        <f aca="false">IF(A1311="","",IFERROR(VLOOKUP(A1311,DonHang!$A$2:$C$500,3,FALSE()),"mã đơn chưa có"))</f>
        <v/>
      </c>
      <c r="C1311" s="8"/>
      <c r="D1311" s="8"/>
      <c r="E1311" s="8"/>
      <c r="F1311" s="13"/>
      <c r="G1311" s="14"/>
      <c r="H1311" s="8"/>
      <c r="I1311" s="11" t="str">
        <f aca="false">IF(OR(F1311="",G1311=""),"",ROUND(F1311*G1311,0))</f>
        <v/>
      </c>
    </row>
    <row r="1312" customFormat="false" ht="15" hidden="false" customHeight="false" outlineLevel="0" collapsed="false">
      <c r="A1312" s="8"/>
      <c r="B1312" s="10" t="str">
        <f aca="false">IF(A1312="","",IFERROR(VLOOKUP(A1312,DonHang!$A$2:$C$500,3,FALSE()),"mã đơn chưa có"))</f>
        <v/>
      </c>
      <c r="C1312" s="8"/>
      <c r="D1312" s="8"/>
      <c r="E1312" s="8"/>
      <c r="F1312" s="13"/>
      <c r="G1312" s="14"/>
      <c r="H1312" s="8"/>
      <c r="I1312" s="11" t="str">
        <f aca="false">IF(OR(F1312="",G1312=""),"",ROUND(F1312*G1312,0))</f>
        <v/>
      </c>
    </row>
    <row r="1313" customFormat="false" ht="15" hidden="false" customHeight="false" outlineLevel="0" collapsed="false">
      <c r="A1313" s="8"/>
      <c r="B1313" s="10" t="str">
        <f aca="false">IF(A1313="","",IFERROR(VLOOKUP(A1313,DonHang!$A$2:$C$500,3,FALSE()),"mã đơn chưa có"))</f>
        <v/>
      </c>
      <c r="C1313" s="8"/>
      <c r="D1313" s="8"/>
      <c r="E1313" s="8"/>
      <c r="F1313" s="13"/>
      <c r="G1313" s="14"/>
      <c r="H1313" s="8"/>
      <c r="I1313" s="11" t="str">
        <f aca="false">IF(OR(F1313="",G1313=""),"",ROUND(F1313*G1313,0))</f>
        <v/>
      </c>
    </row>
    <row r="1314" customFormat="false" ht="15" hidden="false" customHeight="false" outlineLevel="0" collapsed="false">
      <c r="A1314" s="8"/>
      <c r="B1314" s="10" t="str">
        <f aca="false">IF(A1314="","",IFERROR(VLOOKUP(A1314,DonHang!$A$2:$C$500,3,FALSE()),"mã đơn chưa có"))</f>
        <v/>
      </c>
      <c r="C1314" s="8"/>
      <c r="D1314" s="8"/>
      <c r="E1314" s="8"/>
      <c r="F1314" s="13"/>
      <c r="G1314" s="14"/>
      <c r="H1314" s="8"/>
      <c r="I1314" s="11" t="str">
        <f aca="false">IF(OR(F1314="",G1314=""),"",ROUND(F1314*G1314,0))</f>
        <v/>
      </c>
    </row>
    <row r="1315" customFormat="false" ht="15" hidden="false" customHeight="false" outlineLevel="0" collapsed="false">
      <c r="A1315" s="8"/>
      <c r="B1315" s="10" t="str">
        <f aca="false">IF(A1315="","",IFERROR(VLOOKUP(A1315,DonHang!$A$2:$C$500,3,FALSE()),"mã đơn chưa có"))</f>
        <v/>
      </c>
      <c r="C1315" s="8"/>
      <c r="D1315" s="8"/>
      <c r="E1315" s="8"/>
      <c r="F1315" s="13"/>
      <c r="G1315" s="14"/>
      <c r="H1315" s="8"/>
      <c r="I1315" s="11" t="str">
        <f aca="false">IF(OR(F1315="",G1315=""),"",ROUND(F1315*G1315,0))</f>
        <v/>
      </c>
    </row>
    <row r="1316" customFormat="false" ht="15" hidden="false" customHeight="false" outlineLevel="0" collapsed="false">
      <c r="A1316" s="8"/>
      <c r="B1316" s="10" t="str">
        <f aca="false">IF(A1316="","",IFERROR(VLOOKUP(A1316,DonHang!$A$2:$C$500,3,FALSE()),"mã đơn chưa có"))</f>
        <v/>
      </c>
      <c r="C1316" s="8"/>
      <c r="D1316" s="8"/>
      <c r="E1316" s="8"/>
      <c r="F1316" s="13"/>
      <c r="G1316" s="14"/>
      <c r="H1316" s="8"/>
      <c r="I1316" s="11" t="str">
        <f aca="false">IF(OR(F1316="",G1316=""),"",ROUND(F1316*G1316,0))</f>
        <v/>
      </c>
    </row>
    <row r="1317" customFormat="false" ht="15" hidden="false" customHeight="false" outlineLevel="0" collapsed="false">
      <c r="A1317" s="8"/>
      <c r="B1317" s="10" t="str">
        <f aca="false">IF(A1317="","",IFERROR(VLOOKUP(A1317,DonHang!$A$2:$C$500,3,FALSE()),"mã đơn chưa có"))</f>
        <v/>
      </c>
      <c r="C1317" s="8"/>
      <c r="D1317" s="8"/>
      <c r="E1317" s="8"/>
      <c r="F1317" s="13"/>
      <c r="G1317" s="14"/>
      <c r="H1317" s="8"/>
      <c r="I1317" s="11" t="str">
        <f aca="false">IF(OR(F1317="",G1317=""),"",ROUND(F1317*G1317,0))</f>
        <v/>
      </c>
    </row>
    <row r="1318" customFormat="false" ht="15" hidden="false" customHeight="false" outlineLevel="0" collapsed="false">
      <c r="A1318" s="8"/>
      <c r="B1318" s="10" t="str">
        <f aca="false">IF(A1318="","",IFERROR(VLOOKUP(A1318,DonHang!$A$2:$C$500,3,FALSE()),"mã đơn chưa có"))</f>
        <v/>
      </c>
      <c r="C1318" s="8"/>
      <c r="D1318" s="8"/>
      <c r="E1318" s="8"/>
      <c r="F1318" s="13"/>
      <c r="G1318" s="14"/>
      <c r="H1318" s="8"/>
      <c r="I1318" s="11" t="str">
        <f aca="false">IF(OR(F1318="",G1318=""),"",ROUND(F1318*G1318,0))</f>
        <v/>
      </c>
    </row>
    <row r="1319" customFormat="false" ht="15" hidden="false" customHeight="false" outlineLevel="0" collapsed="false">
      <c r="A1319" s="8"/>
      <c r="B1319" s="10" t="str">
        <f aca="false">IF(A1319="","",IFERROR(VLOOKUP(A1319,DonHang!$A$2:$C$500,3,FALSE()),"mã đơn chưa có"))</f>
        <v/>
      </c>
      <c r="C1319" s="8"/>
      <c r="D1319" s="8"/>
      <c r="E1319" s="8"/>
      <c r="F1319" s="13"/>
      <c r="G1319" s="14"/>
      <c r="H1319" s="8"/>
      <c r="I1319" s="11" t="str">
        <f aca="false">IF(OR(F1319="",G1319=""),"",ROUND(F1319*G1319,0))</f>
        <v/>
      </c>
    </row>
    <row r="1320" customFormat="false" ht="15" hidden="false" customHeight="false" outlineLevel="0" collapsed="false">
      <c r="A1320" s="8"/>
      <c r="B1320" s="10" t="str">
        <f aca="false">IF(A1320="","",IFERROR(VLOOKUP(A1320,DonHang!$A$2:$C$500,3,FALSE()),"mã đơn chưa có"))</f>
        <v/>
      </c>
      <c r="C1320" s="8"/>
      <c r="D1320" s="8"/>
      <c r="E1320" s="8"/>
      <c r="F1320" s="13"/>
      <c r="G1320" s="14"/>
      <c r="H1320" s="8"/>
      <c r="I1320" s="11" t="str">
        <f aca="false">IF(OR(F1320="",G1320=""),"",ROUND(F1320*G1320,0))</f>
        <v/>
      </c>
    </row>
    <row r="1321" customFormat="false" ht="15" hidden="false" customHeight="false" outlineLevel="0" collapsed="false">
      <c r="A1321" s="8"/>
      <c r="B1321" s="10" t="str">
        <f aca="false">IF(A1321="","",IFERROR(VLOOKUP(A1321,DonHang!$A$2:$C$500,3,FALSE()),"mã đơn chưa có"))</f>
        <v/>
      </c>
      <c r="C1321" s="8"/>
      <c r="D1321" s="8"/>
      <c r="E1321" s="8"/>
      <c r="F1321" s="13"/>
      <c r="G1321" s="14"/>
      <c r="H1321" s="8"/>
      <c r="I1321" s="11" t="str">
        <f aca="false">IF(OR(F1321="",G1321=""),"",ROUND(F1321*G1321,0))</f>
        <v/>
      </c>
    </row>
    <row r="1322" customFormat="false" ht="15" hidden="false" customHeight="false" outlineLevel="0" collapsed="false">
      <c r="A1322" s="8"/>
      <c r="B1322" s="10" t="str">
        <f aca="false">IF(A1322="","",IFERROR(VLOOKUP(A1322,DonHang!$A$2:$C$500,3,FALSE()),"mã đơn chưa có"))</f>
        <v/>
      </c>
      <c r="C1322" s="8"/>
      <c r="D1322" s="8"/>
      <c r="E1322" s="8"/>
      <c r="F1322" s="13"/>
      <c r="G1322" s="14"/>
      <c r="H1322" s="8"/>
      <c r="I1322" s="11" t="str">
        <f aca="false">IF(OR(F1322="",G1322=""),"",ROUND(F1322*G1322,0))</f>
        <v/>
      </c>
    </row>
    <row r="1323" customFormat="false" ht="15" hidden="false" customHeight="false" outlineLevel="0" collapsed="false">
      <c r="A1323" s="8"/>
      <c r="B1323" s="10" t="str">
        <f aca="false">IF(A1323="","",IFERROR(VLOOKUP(A1323,DonHang!$A$2:$C$500,3,FALSE()),"mã đơn chưa có"))</f>
        <v/>
      </c>
      <c r="C1323" s="8"/>
      <c r="D1323" s="8"/>
      <c r="E1323" s="8"/>
      <c r="F1323" s="13"/>
      <c r="G1323" s="14"/>
      <c r="H1323" s="8"/>
      <c r="I1323" s="11" t="str">
        <f aca="false">IF(OR(F1323="",G1323=""),"",ROUND(F1323*G1323,0))</f>
        <v/>
      </c>
    </row>
    <row r="1324" customFormat="false" ht="15" hidden="false" customHeight="false" outlineLevel="0" collapsed="false">
      <c r="A1324" s="8"/>
      <c r="B1324" s="10" t="str">
        <f aca="false">IF(A1324="","",IFERROR(VLOOKUP(A1324,DonHang!$A$2:$C$500,3,FALSE()),"mã đơn chưa có"))</f>
        <v/>
      </c>
      <c r="C1324" s="8"/>
      <c r="D1324" s="8"/>
      <c r="E1324" s="8"/>
      <c r="F1324" s="13"/>
      <c r="G1324" s="14"/>
      <c r="H1324" s="8"/>
      <c r="I1324" s="11" t="str">
        <f aca="false">IF(OR(F1324="",G1324=""),"",ROUND(F1324*G1324,0))</f>
        <v/>
      </c>
    </row>
    <row r="1325" customFormat="false" ht="15" hidden="false" customHeight="false" outlineLevel="0" collapsed="false">
      <c r="A1325" s="8"/>
      <c r="B1325" s="10" t="str">
        <f aca="false">IF(A1325="","",IFERROR(VLOOKUP(A1325,DonHang!$A$2:$C$500,3,FALSE()),"mã đơn chưa có"))</f>
        <v/>
      </c>
      <c r="C1325" s="8"/>
      <c r="D1325" s="8"/>
      <c r="E1325" s="8"/>
      <c r="F1325" s="13"/>
      <c r="G1325" s="14"/>
      <c r="H1325" s="8"/>
      <c r="I1325" s="11" t="str">
        <f aca="false">IF(OR(F1325="",G1325=""),"",ROUND(F1325*G1325,0))</f>
        <v/>
      </c>
    </row>
    <row r="1326" customFormat="false" ht="15" hidden="false" customHeight="false" outlineLevel="0" collapsed="false">
      <c r="A1326" s="8"/>
      <c r="B1326" s="10" t="str">
        <f aca="false">IF(A1326="","",IFERROR(VLOOKUP(A1326,DonHang!$A$2:$C$500,3,FALSE()),"mã đơn chưa có"))</f>
        <v/>
      </c>
      <c r="C1326" s="8"/>
      <c r="D1326" s="8"/>
      <c r="E1326" s="8"/>
      <c r="F1326" s="13"/>
      <c r="G1326" s="14"/>
      <c r="H1326" s="8"/>
      <c r="I1326" s="11" t="str">
        <f aca="false">IF(OR(F1326="",G1326=""),"",ROUND(F1326*G1326,0))</f>
        <v/>
      </c>
    </row>
    <row r="1327" customFormat="false" ht="15" hidden="false" customHeight="false" outlineLevel="0" collapsed="false">
      <c r="A1327" s="8"/>
      <c r="B1327" s="10" t="str">
        <f aca="false">IF(A1327="","",IFERROR(VLOOKUP(A1327,DonHang!$A$2:$C$500,3,FALSE()),"mã đơn chưa có"))</f>
        <v/>
      </c>
      <c r="C1327" s="8"/>
      <c r="D1327" s="8"/>
      <c r="E1327" s="8"/>
      <c r="F1327" s="13"/>
      <c r="G1327" s="14"/>
      <c r="H1327" s="8"/>
      <c r="I1327" s="11" t="str">
        <f aca="false">IF(OR(F1327="",G1327=""),"",ROUND(F1327*G1327,0))</f>
        <v/>
      </c>
    </row>
    <row r="1328" customFormat="false" ht="15" hidden="false" customHeight="false" outlineLevel="0" collapsed="false">
      <c r="A1328" s="8"/>
      <c r="B1328" s="10" t="str">
        <f aca="false">IF(A1328="","",IFERROR(VLOOKUP(A1328,DonHang!$A$2:$C$500,3,FALSE()),"mã đơn chưa có"))</f>
        <v/>
      </c>
      <c r="C1328" s="8"/>
      <c r="D1328" s="8"/>
      <c r="E1328" s="8"/>
      <c r="F1328" s="13"/>
      <c r="G1328" s="14"/>
      <c r="H1328" s="8"/>
      <c r="I1328" s="11" t="str">
        <f aca="false">IF(OR(F1328="",G1328=""),"",ROUND(F1328*G1328,0))</f>
        <v/>
      </c>
    </row>
    <row r="1329" customFormat="false" ht="15" hidden="false" customHeight="false" outlineLevel="0" collapsed="false">
      <c r="A1329" s="8"/>
      <c r="B1329" s="10" t="str">
        <f aca="false">IF(A1329="","",IFERROR(VLOOKUP(A1329,DonHang!$A$2:$C$500,3,FALSE()),"mã đơn chưa có"))</f>
        <v/>
      </c>
      <c r="C1329" s="8"/>
      <c r="D1329" s="8"/>
      <c r="E1329" s="8"/>
      <c r="F1329" s="13"/>
      <c r="G1329" s="14"/>
      <c r="H1329" s="8"/>
      <c r="I1329" s="11" t="str">
        <f aca="false">IF(OR(F1329="",G1329=""),"",ROUND(F1329*G1329,0))</f>
        <v/>
      </c>
    </row>
    <row r="1330" customFormat="false" ht="15" hidden="false" customHeight="false" outlineLevel="0" collapsed="false">
      <c r="A1330" s="8"/>
      <c r="B1330" s="10" t="str">
        <f aca="false">IF(A1330="","",IFERROR(VLOOKUP(A1330,DonHang!$A$2:$C$500,3,FALSE()),"mã đơn chưa có"))</f>
        <v/>
      </c>
      <c r="C1330" s="8"/>
      <c r="D1330" s="8"/>
      <c r="E1330" s="8"/>
      <c r="F1330" s="13"/>
      <c r="G1330" s="14"/>
      <c r="H1330" s="8"/>
      <c r="I1330" s="11" t="str">
        <f aca="false">IF(OR(F1330="",G1330=""),"",ROUND(F1330*G1330,0))</f>
        <v/>
      </c>
    </row>
    <row r="1331" customFormat="false" ht="15" hidden="false" customHeight="false" outlineLevel="0" collapsed="false">
      <c r="A1331" s="8"/>
      <c r="B1331" s="10" t="str">
        <f aca="false">IF(A1331="","",IFERROR(VLOOKUP(A1331,DonHang!$A$2:$C$500,3,FALSE()),"mã đơn chưa có"))</f>
        <v/>
      </c>
      <c r="C1331" s="8"/>
      <c r="D1331" s="8"/>
      <c r="E1331" s="8"/>
      <c r="F1331" s="13"/>
      <c r="G1331" s="14"/>
      <c r="H1331" s="8"/>
      <c r="I1331" s="11" t="str">
        <f aca="false">IF(OR(F1331="",G1331=""),"",ROUND(F1331*G1331,0))</f>
        <v/>
      </c>
    </row>
    <row r="1332" customFormat="false" ht="15" hidden="false" customHeight="false" outlineLevel="0" collapsed="false">
      <c r="A1332" s="8"/>
      <c r="B1332" s="10" t="str">
        <f aca="false">IF(A1332="","",IFERROR(VLOOKUP(A1332,DonHang!$A$2:$C$500,3,FALSE()),"mã đơn chưa có"))</f>
        <v/>
      </c>
      <c r="C1332" s="8"/>
      <c r="D1332" s="8"/>
      <c r="E1332" s="8"/>
      <c r="F1332" s="13"/>
      <c r="G1332" s="14"/>
      <c r="H1332" s="8"/>
      <c r="I1332" s="11" t="str">
        <f aca="false">IF(OR(F1332="",G1332=""),"",ROUND(F1332*G1332,0))</f>
        <v/>
      </c>
    </row>
    <row r="1333" customFormat="false" ht="15" hidden="false" customHeight="false" outlineLevel="0" collapsed="false">
      <c r="A1333" s="8"/>
      <c r="B1333" s="10" t="str">
        <f aca="false">IF(A1333="","",IFERROR(VLOOKUP(A1333,DonHang!$A$2:$C$500,3,FALSE()),"mã đơn chưa có"))</f>
        <v/>
      </c>
      <c r="C1333" s="8"/>
      <c r="D1333" s="8"/>
      <c r="E1333" s="8"/>
      <c r="F1333" s="13"/>
      <c r="G1333" s="14"/>
      <c r="H1333" s="8"/>
      <c r="I1333" s="11" t="str">
        <f aca="false">IF(OR(F1333="",G1333=""),"",ROUND(F1333*G1333,0))</f>
        <v/>
      </c>
    </row>
    <row r="1334" customFormat="false" ht="15" hidden="false" customHeight="false" outlineLevel="0" collapsed="false">
      <c r="A1334" s="8"/>
      <c r="B1334" s="10" t="str">
        <f aca="false">IF(A1334="","",IFERROR(VLOOKUP(A1334,DonHang!$A$2:$C$500,3,FALSE()),"mã đơn chưa có"))</f>
        <v/>
      </c>
      <c r="C1334" s="8"/>
      <c r="D1334" s="8"/>
      <c r="E1334" s="8"/>
      <c r="F1334" s="13"/>
      <c r="G1334" s="14"/>
      <c r="H1334" s="8"/>
      <c r="I1334" s="11" t="str">
        <f aca="false">IF(OR(F1334="",G1334=""),"",ROUND(F1334*G1334,0))</f>
        <v/>
      </c>
    </row>
    <row r="1335" customFormat="false" ht="15" hidden="false" customHeight="false" outlineLevel="0" collapsed="false">
      <c r="A1335" s="8"/>
      <c r="B1335" s="10" t="str">
        <f aca="false">IF(A1335="","",IFERROR(VLOOKUP(A1335,DonHang!$A$2:$C$500,3,FALSE()),"mã đơn chưa có"))</f>
        <v/>
      </c>
      <c r="C1335" s="8"/>
      <c r="D1335" s="8"/>
      <c r="E1335" s="8"/>
      <c r="F1335" s="13"/>
      <c r="G1335" s="14"/>
      <c r="H1335" s="8"/>
      <c r="I1335" s="11" t="str">
        <f aca="false">IF(OR(F1335="",G1335=""),"",ROUND(F1335*G1335,0))</f>
        <v/>
      </c>
    </row>
    <row r="1336" customFormat="false" ht="15" hidden="false" customHeight="false" outlineLevel="0" collapsed="false">
      <c r="A1336" s="8"/>
      <c r="B1336" s="10" t="str">
        <f aca="false">IF(A1336="","",IFERROR(VLOOKUP(A1336,DonHang!$A$2:$C$500,3,FALSE()),"mã đơn chưa có"))</f>
        <v/>
      </c>
      <c r="C1336" s="8"/>
      <c r="D1336" s="8"/>
      <c r="E1336" s="8"/>
      <c r="F1336" s="13"/>
      <c r="G1336" s="14"/>
      <c r="H1336" s="8"/>
      <c r="I1336" s="11" t="str">
        <f aca="false">IF(OR(F1336="",G1336=""),"",ROUND(F1336*G1336,0))</f>
        <v/>
      </c>
    </row>
    <row r="1337" customFormat="false" ht="15" hidden="false" customHeight="false" outlineLevel="0" collapsed="false">
      <c r="A1337" s="8"/>
      <c r="B1337" s="10" t="str">
        <f aca="false">IF(A1337="","",IFERROR(VLOOKUP(A1337,DonHang!$A$2:$C$500,3,FALSE()),"mã đơn chưa có"))</f>
        <v/>
      </c>
      <c r="C1337" s="8"/>
      <c r="D1337" s="8"/>
      <c r="E1337" s="8"/>
      <c r="F1337" s="13"/>
      <c r="G1337" s="14"/>
      <c r="H1337" s="8"/>
      <c r="I1337" s="11" t="str">
        <f aca="false">IF(OR(F1337="",G1337=""),"",ROUND(F1337*G1337,0))</f>
        <v/>
      </c>
    </row>
    <row r="1338" customFormat="false" ht="15" hidden="false" customHeight="false" outlineLevel="0" collapsed="false">
      <c r="A1338" s="8"/>
      <c r="B1338" s="10" t="str">
        <f aca="false">IF(A1338="","",IFERROR(VLOOKUP(A1338,DonHang!$A$2:$C$500,3,FALSE()),"mã đơn chưa có"))</f>
        <v/>
      </c>
      <c r="C1338" s="8"/>
      <c r="D1338" s="8"/>
      <c r="E1338" s="8"/>
      <c r="F1338" s="13"/>
      <c r="G1338" s="14"/>
      <c r="H1338" s="8"/>
      <c r="I1338" s="11" t="str">
        <f aca="false">IF(OR(F1338="",G1338=""),"",ROUND(F1338*G1338,0))</f>
        <v/>
      </c>
    </row>
    <row r="1339" customFormat="false" ht="15" hidden="false" customHeight="false" outlineLevel="0" collapsed="false">
      <c r="A1339" s="8"/>
      <c r="B1339" s="10" t="str">
        <f aca="false">IF(A1339="","",IFERROR(VLOOKUP(A1339,DonHang!$A$2:$C$500,3,FALSE()),"mã đơn chưa có"))</f>
        <v/>
      </c>
      <c r="C1339" s="8"/>
      <c r="D1339" s="8"/>
      <c r="E1339" s="8"/>
      <c r="F1339" s="13"/>
      <c r="G1339" s="14"/>
      <c r="H1339" s="8"/>
      <c r="I1339" s="11" t="str">
        <f aca="false">IF(OR(F1339="",G1339=""),"",ROUND(F1339*G1339,0))</f>
        <v/>
      </c>
    </row>
    <row r="1340" customFormat="false" ht="15" hidden="false" customHeight="false" outlineLevel="0" collapsed="false">
      <c r="A1340" s="8"/>
      <c r="B1340" s="10" t="str">
        <f aca="false">IF(A1340="","",IFERROR(VLOOKUP(A1340,DonHang!$A$2:$C$500,3,FALSE()),"mã đơn chưa có"))</f>
        <v/>
      </c>
      <c r="C1340" s="8"/>
      <c r="D1340" s="8"/>
      <c r="E1340" s="8"/>
      <c r="F1340" s="13"/>
      <c r="G1340" s="14"/>
      <c r="H1340" s="8"/>
      <c r="I1340" s="11" t="str">
        <f aca="false">IF(OR(F1340="",G1340=""),"",ROUND(F1340*G1340,0))</f>
        <v/>
      </c>
    </row>
    <row r="1341" customFormat="false" ht="15" hidden="false" customHeight="false" outlineLevel="0" collapsed="false">
      <c r="A1341" s="8"/>
      <c r="B1341" s="10" t="str">
        <f aca="false">IF(A1341="","",IFERROR(VLOOKUP(A1341,DonHang!$A$2:$C$500,3,FALSE()),"mã đơn chưa có"))</f>
        <v/>
      </c>
      <c r="C1341" s="8"/>
      <c r="D1341" s="8"/>
      <c r="E1341" s="8"/>
      <c r="F1341" s="13"/>
      <c r="G1341" s="14"/>
      <c r="H1341" s="8"/>
      <c r="I1341" s="11" t="str">
        <f aca="false">IF(OR(F1341="",G1341=""),"",ROUND(F1341*G1341,0))</f>
        <v/>
      </c>
    </row>
    <row r="1342" customFormat="false" ht="15" hidden="false" customHeight="false" outlineLevel="0" collapsed="false">
      <c r="A1342" s="8"/>
      <c r="B1342" s="10" t="str">
        <f aca="false">IF(A1342="","",IFERROR(VLOOKUP(A1342,DonHang!$A$2:$C$500,3,FALSE()),"mã đơn chưa có"))</f>
        <v/>
      </c>
      <c r="C1342" s="8"/>
      <c r="D1342" s="8"/>
      <c r="E1342" s="8"/>
      <c r="F1342" s="13"/>
      <c r="G1342" s="14"/>
      <c r="H1342" s="8"/>
      <c r="I1342" s="11" t="str">
        <f aca="false">IF(OR(F1342="",G1342=""),"",ROUND(F1342*G1342,0))</f>
        <v/>
      </c>
    </row>
    <row r="1343" customFormat="false" ht="15" hidden="false" customHeight="false" outlineLevel="0" collapsed="false">
      <c r="A1343" s="8"/>
      <c r="B1343" s="10" t="str">
        <f aca="false">IF(A1343="","",IFERROR(VLOOKUP(A1343,DonHang!$A$2:$C$500,3,FALSE()),"mã đơn chưa có"))</f>
        <v/>
      </c>
      <c r="C1343" s="8"/>
      <c r="D1343" s="8"/>
      <c r="E1343" s="8"/>
      <c r="F1343" s="13"/>
      <c r="G1343" s="14"/>
      <c r="H1343" s="8"/>
      <c r="I1343" s="11" t="str">
        <f aca="false">IF(OR(F1343="",G1343=""),"",ROUND(F1343*G1343,0))</f>
        <v/>
      </c>
    </row>
    <row r="1344" customFormat="false" ht="15" hidden="false" customHeight="false" outlineLevel="0" collapsed="false">
      <c r="A1344" s="8"/>
      <c r="B1344" s="10" t="str">
        <f aca="false">IF(A1344="","",IFERROR(VLOOKUP(A1344,DonHang!$A$2:$C$500,3,FALSE()),"mã đơn chưa có"))</f>
        <v/>
      </c>
      <c r="C1344" s="8"/>
      <c r="D1344" s="8"/>
      <c r="E1344" s="8"/>
      <c r="F1344" s="13"/>
      <c r="G1344" s="14"/>
      <c r="H1344" s="8"/>
      <c r="I1344" s="11" t="str">
        <f aca="false">IF(OR(F1344="",G1344=""),"",ROUND(F1344*G1344,0))</f>
        <v/>
      </c>
    </row>
    <row r="1345" customFormat="false" ht="15" hidden="false" customHeight="false" outlineLevel="0" collapsed="false">
      <c r="A1345" s="8"/>
      <c r="B1345" s="10" t="str">
        <f aca="false">IF(A1345="","",IFERROR(VLOOKUP(A1345,DonHang!$A$2:$C$500,3,FALSE()),"mã đơn chưa có"))</f>
        <v/>
      </c>
      <c r="C1345" s="8"/>
      <c r="D1345" s="8"/>
      <c r="E1345" s="8"/>
      <c r="F1345" s="13"/>
      <c r="G1345" s="14"/>
      <c r="H1345" s="8"/>
      <c r="I1345" s="11" t="str">
        <f aca="false">IF(OR(F1345="",G1345=""),"",ROUND(F1345*G1345,0))</f>
        <v/>
      </c>
    </row>
    <row r="1346" customFormat="false" ht="15" hidden="false" customHeight="false" outlineLevel="0" collapsed="false">
      <c r="A1346" s="8"/>
      <c r="B1346" s="10" t="str">
        <f aca="false">IF(A1346="","",IFERROR(VLOOKUP(A1346,DonHang!$A$2:$C$500,3,FALSE()),"mã đơn chưa có"))</f>
        <v/>
      </c>
      <c r="C1346" s="8"/>
      <c r="D1346" s="8"/>
      <c r="E1346" s="8"/>
      <c r="F1346" s="13"/>
      <c r="G1346" s="14"/>
      <c r="H1346" s="8"/>
      <c r="I1346" s="11" t="str">
        <f aca="false">IF(OR(F1346="",G1346=""),"",ROUND(F1346*G1346,0))</f>
        <v/>
      </c>
    </row>
    <row r="1347" customFormat="false" ht="15" hidden="false" customHeight="false" outlineLevel="0" collapsed="false">
      <c r="A1347" s="8"/>
      <c r="B1347" s="10" t="str">
        <f aca="false">IF(A1347="","",IFERROR(VLOOKUP(A1347,DonHang!$A$2:$C$500,3,FALSE()),"mã đơn chưa có"))</f>
        <v/>
      </c>
      <c r="C1347" s="8"/>
      <c r="D1347" s="8"/>
      <c r="E1347" s="8"/>
      <c r="F1347" s="13"/>
      <c r="G1347" s="14"/>
      <c r="H1347" s="8"/>
      <c r="I1347" s="11" t="str">
        <f aca="false">IF(OR(F1347="",G1347=""),"",ROUND(F1347*G1347,0))</f>
        <v/>
      </c>
    </row>
    <row r="1348" customFormat="false" ht="15" hidden="false" customHeight="false" outlineLevel="0" collapsed="false">
      <c r="A1348" s="8"/>
      <c r="B1348" s="10" t="str">
        <f aca="false">IF(A1348="","",IFERROR(VLOOKUP(A1348,DonHang!$A$2:$C$500,3,FALSE()),"mã đơn chưa có"))</f>
        <v/>
      </c>
      <c r="C1348" s="8"/>
      <c r="D1348" s="8"/>
      <c r="E1348" s="8"/>
      <c r="F1348" s="13"/>
      <c r="G1348" s="14"/>
      <c r="H1348" s="8"/>
      <c r="I1348" s="11" t="str">
        <f aca="false">IF(OR(F1348="",G1348=""),"",ROUND(F1348*G1348,0))</f>
        <v/>
      </c>
    </row>
    <row r="1349" customFormat="false" ht="15" hidden="false" customHeight="false" outlineLevel="0" collapsed="false">
      <c r="A1349" s="8"/>
      <c r="B1349" s="10" t="str">
        <f aca="false">IF(A1349="","",IFERROR(VLOOKUP(A1349,DonHang!$A$2:$C$500,3,FALSE()),"mã đơn chưa có"))</f>
        <v/>
      </c>
      <c r="C1349" s="8"/>
      <c r="D1349" s="8"/>
      <c r="E1349" s="8"/>
      <c r="F1349" s="13"/>
      <c r="G1349" s="14"/>
      <c r="H1349" s="8"/>
      <c r="I1349" s="11" t="str">
        <f aca="false">IF(OR(F1349="",G1349=""),"",ROUND(F1349*G1349,0))</f>
        <v/>
      </c>
    </row>
    <row r="1350" customFormat="false" ht="15" hidden="false" customHeight="false" outlineLevel="0" collapsed="false">
      <c r="A1350" s="8"/>
      <c r="B1350" s="10" t="str">
        <f aca="false">IF(A1350="","",IFERROR(VLOOKUP(A1350,DonHang!$A$2:$C$500,3,FALSE()),"mã đơn chưa có"))</f>
        <v/>
      </c>
      <c r="C1350" s="8"/>
      <c r="D1350" s="8"/>
      <c r="E1350" s="8"/>
      <c r="F1350" s="13"/>
      <c r="G1350" s="14"/>
      <c r="H1350" s="8"/>
      <c r="I1350" s="11" t="str">
        <f aca="false">IF(OR(F1350="",G1350=""),"",ROUND(F1350*G1350,0))</f>
        <v/>
      </c>
    </row>
    <row r="1351" customFormat="false" ht="15" hidden="false" customHeight="false" outlineLevel="0" collapsed="false">
      <c r="A1351" s="8"/>
      <c r="B1351" s="10" t="str">
        <f aca="false">IF(A1351="","",IFERROR(VLOOKUP(A1351,DonHang!$A$2:$C$500,3,FALSE()),"mã đơn chưa có"))</f>
        <v/>
      </c>
      <c r="C1351" s="8"/>
      <c r="D1351" s="8"/>
      <c r="E1351" s="8"/>
      <c r="F1351" s="13"/>
      <c r="G1351" s="14"/>
      <c r="H1351" s="8"/>
      <c r="I1351" s="11" t="str">
        <f aca="false">IF(OR(F1351="",G1351=""),"",ROUND(F1351*G1351,0))</f>
        <v/>
      </c>
    </row>
    <row r="1352" customFormat="false" ht="15" hidden="false" customHeight="false" outlineLevel="0" collapsed="false">
      <c r="A1352" s="8"/>
      <c r="B1352" s="10" t="str">
        <f aca="false">IF(A1352="","",IFERROR(VLOOKUP(A1352,DonHang!$A$2:$C$500,3,FALSE()),"mã đơn chưa có"))</f>
        <v/>
      </c>
      <c r="C1352" s="8"/>
      <c r="D1352" s="8"/>
      <c r="E1352" s="8"/>
      <c r="F1352" s="13"/>
      <c r="G1352" s="14"/>
      <c r="H1352" s="8"/>
      <c r="I1352" s="11" t="str">
        <f aca="false">IF(OR(F1352="",G1352=""),"",ROUND(F1352*G1352,0))</f>
        <v/>
      </c>
    </row>
    <row r="1353" customFormat="false" ht="15" hidden="false" customHeight="false" outlineLevel="0" collapsed="false">
      <c r="A1353" s="8"/>
      <c r="B1353" s="10" t="str">
        <f aca="false">IF(A1353="","",IFERROR(VLOOKUP(A1353,DonHang!$A$2:$C$500,3,FALSE()),"mã đơn chưa có"))</f>
        <v/>
      </c>
      <c r="C1353" s="8"/>
      <c r="D1353" s="8"/>
      <c r="E1353" s="8"/>
      <c r="F1353" s="13"/>
      <c r="G1353" s="14"/>
      <c r="H1353" s="8"/>
      <c r="I1353" s="11" t="str">
        <f aca="false">IF(OR(F1353="",G1353=""),"",ROUND(F1353*G1353,0))</f>
        <v/>
      </c>
    </row>
    <row r="1354" customFormat="false" ht="15" hidden="false" customHeight="false" outlineLevel="0" collapsed="false">
      <c r="A1354" s="8"/>
      <c r="B1354" s="10" t="str">
        <f aca="false">IF(A1354="","",IFERROR(VLOOKUP(A1354,DonHang!$A$2:$C$500,3,FALSE()),"mã đơn chưa có"))</f>
        <v/>
      </c>
      <c r="C1354" s="8"/>
      <c r="D1354" s="8"/>
      <c r="E1354" s="8"/>
      <c r="F1354" s="13"/>
      <c r="G1354" s="14"/>
      <c r="H1354" s="8"/>
      <c r="I1354" s="11" t="str">
        <f aca="false">IF(OR(F1354="",G1354=""),"",ROUND(F1354*G1354,0))</f>
        <v/>
      </c>
    </row>
    <row r="1355" customFormat="false" ht="15" hidden="false" customHeight="false" outlineLevel="0" collapsed="false">
      <c r="A1355" s="8"/>
      <c r="B1355" s="10" t="str">
        <f aca="false">IF(A1355="","",IFERROR(VLOOKUP(A1355,DonHang!$A$2:$C$500,3,FALSE()),"mã đơn chưa có"))</f>
        <v/>
      </c>
      <c r="C1355" s="8"/>
      <c r="D1355" s="8"/>
      <c r="E1355" s="8"/>
      <c r="F1355" s="13"/>
      <c r="G1355" s="14"/>
      <c r="H1355" s="8"/>
      <c r="I1355" s="11" t="str">
        <f aca="false">IF(OR(F1355="",G1355=""),"",ROUND(F1355*G1355,0))</f>
        <v/>
      </c>
    </row>
    <row r="1356" customFormat="false" ht="15" hidden="false" customHeight="false" outlineLevel="0" collapsed="false">
      <c r="A1356" s="8"/>
      <c r="B1356" s="10" t="str">
        <f aca="false">IF(A1356="","",IFERROR(VLOOKUP(A1356,DonHang!$A$2:$C$500,3,FALSE()),"mã đơn chưa có"))</f>
        <v/>
      </c>
      <c r="C1356" s="8"/>
      <c r="D1356" s="8"/>
      <c r="E1356" s="8"/>
      <c r="F1356" s="13"/>
      <c r="G1356" s="14"/>
      <c r="H1356" s="8"/>
      <c r="I1356" s="11" t="str">
        <f aca="false">IF(OR(F1356="",G1356=""),"",ROUND(F1356*G1356,0))</f>
        <v/>
      </c>
    </row>
    <row r="1357" customFormat="false" ht="15" hidden="false" customHeight="false" outlineLevel="0" collapsed="false">
      <c r="A1357" s="8"/>
      <c r="B1357" s="10" t="str">
        <f aca="false">IF(A1357="","",IFERROR(VLOOKUP(A1357,DonHang!$A$2:$C$500,3,FALSE()),"mã đơn chưa có"))</f>
        <v/>
      </c>
      <c r="C1357" s="8"/>
      <c r="D1357" s="8"/>
      <c r="E1357" s="8"/>
      <c r="F1357" s="13"/>
      <c r="G1357" s="14"/>
      <c r="H1357" s="8"/>
      <c r="I1357" s="11" t="str">
        <f aca="false">IF(OR(F1357="",G1357=""),"",ROUND(F1357*G1357,0))</f>
        <v/>
      </c>
    </row>
    <row r="1358" customFormat="false" ht="15" hidden="false" customHeight="false" outlineLevel="0" collapsed="false">
      <c r="A1358" s="8"/>
      <c r="B1358" s="10" t="str">
        <f aca="false">IF(A1358="","",IFERROR(VLOOKUP(A1358,DonHang!$A$2:$C$500,3,FALSE()),"mã đơn chưa có"))</f>
        <v/>
      </c>
      <c r="C1358" s="8"/>
      <c r="D1358" s="8"/>
      <c r="E1358" s="8"/>
      <c r="F1358" s="13"/>
      <c r="G1358" s="14"/>
      <c r="H1358" s="8"/>
      <c r="I1358" s="11" t="str">
        <f aca="false">IF(OR(F1358="",G1358=""),"",ROUND(F1358*G1358,0))</f>
        <v/>
      </c>
    </row>
    <row r="1359" customFormat="false" ht="15" hidden="false" customHeight="false" outlineLevel="0" collapsed="false">
      <c r="A1359" s="8"/>
      <c r="B1359" s="10" t="str">
        <f aca="false">IF(A1359="","",IFERROR(VLOOKUP(A1359,DonHang!$A$2:$C$500,3,FALSE()),"mã đơn chưa có"))</f>
        <v/>
      </c>
      <c r="C1359" s="8"/>
      <c r="D1359" s="8"/>
      <c r="E1359" s="8"/>
      <c r="F1359" s="13"/>
      <c r="G1359" s="14"/>
      <c r="H1359" s="8"/>
      <c r="I1359" s="11" t="str">
        <f aca="false">IF(OR(F1359="",G1359=""),"",ROUND(F1359*G1359,0))</f>
        <v/>
      </c>
    </row>
    <row r="1360" customFormat="false" ht="15" hidden="false" customHeight="false" outlineLevel="0" collapsed="false">
      <c r="A1360" s="8"/>
      <c r="B1360" s="10" t="str">
        <f aca="false">IF(A1360="","",IFERROR(VLOOKUP(A1360,DonHang!$A$2:$C$500,3,FALSE()),"mã đơn chưa có"))</f>
        <v/>
      </c>
      <c r="C1360" s="8"/>
      <c r="D1360" s="8"/>
      <c r="E1360" s="8"/>
      <c r="F1360" s="13"/>
      <c r="G1360" s="14"/>
      <c r="H1360" s="8"/>
      <c r="I1360" s="11" t="str">
        <f aca="false">IF(OR(F1360="",G1360=""),"",ROUND(F1360*G1360,0))</f>
        <v/>
      </c>
    </row>
    <row r="1361" customFormat="false" ht="15" hidden="false" customHeight="false" outlineLevel="0" collapsed="false">
      <c r="A1361" s="8"/>
      <c r="B1361" s="10" t="str">
        <f aca="false">IF(A1361="","",IFERROR(VLOOKUP(A1361,DonHang!$A$2:$C$500,3,FALSE()),"mã đơn chưa có"))</f>
        <v/>
      </c>
      <c r="C1361" s="8"/>
      <c r="D1361" s="8"/>
      <c r="E1361" s="8"/>
      <c r="F1361" s="13"/>
      <c r="G1361" s="14"/>
      <c r="H1361" s="8"/>
      <c r="I1361" s="11" t="str">
        <f aca="false">IF(OR(F1361="",G1361=""),"",ROUND(F1361*G1361,0))</f>
        <v/>
      </c>
    </row>
    <row r="1362" customFormat="false" ht="15" hidden="false" customHeight="false" outlineLevel="0" collapsed="false">
      <c r="A1362" s="8"/>
      <c r="B1362" s="10" t="str">
        <f aca="false">IF(A1362="","",IFERROR(VLOOKUP(A1362,DonHang!$A$2:$C$500,3,FALSE()),"mã đơn chưa có"))</f>
        <v/>
      </c>
      <c r="C1362" s="8"/>
      <c r="D1362" s="8"/>
      <c r="E1362" s="8"/>
      <c r="F1362" s="13"/>
      <c r="G1362" s="14"/>
      <c r="H1362" s="8"/>
      <c r="I1362" s="11" t="str">
        <f aca="false">IF(OR(F1362="",G1362=""),"",ROUND(F1362*G1362,0))</f>
        <v/>
      </c>
    </row>
    <row r="1363" customFormat="false" ht="15" hidden="false" customHeight="false" outlineLevel="0" collapsed="false">
      <c r="A1363" s="8"/>
      <c r="B1363" s="10" t="str">
        <f aca="false">IF(A1363="","",IFERROR(VLOOKUP(A1363,DonHang!$A$2:$C$500,3,FALSE()),"mã đơn chưa có"))</f>
        <v/>
      </c>
      <c r="C1363" s="8"/>
      <c r="D1363" s="8"/>
      <c r="E1363" s="8"/>
      <c r="F1363" s="13"/>
      <c r="G1363" s="14"/>
      <c r="H1363" s="8"/>
      <c r="I1363" s="11" t="str">
        <f aca="false">IF(OR(F1363="",G1363=""),"",ROUND(F1363*G1363,0))</f>
        <v/>
      </c>
    </row>
    <row r="1364" customFormat="false" ht="15" hidden="false" customHeight="false" outlineLevel="0" collapsed="false">
      <c r="A1364" s="8"/>
      <c r="B1364" s="10" t="str">
        <f aca="false">IF(A1364="","",IFERROR(VLOOKUP(A1364,DonHang!$A$2:$C$500,3,FALSE()),"mã đơn chưa có"))</f>
        <v/>
      </c>
      <c r="C1364" s="8"/>
      <c r="D1364" s="8"/>
      <c r="E1364" s="8"/>
      <c r="F1364" s="13"/>
      <c r="G1364" s="14"/>
      <c r="H1364" s="8"/>
      <c r="I1364" s="11" t="str">
        <f aca="false">IF(OR(F1364="",G1364=""),"",ROUND(F1364*G1364,0))</f>
        <v/>
      </c>
    </row>
    <row r="1365" customFormat="false" ht="15" hidden="false" customHeight="false" outlineLevel="0" collapsed="false">
      <c r="A1365" s="8"/>
      <c r="B1365" s="10" t="str">
        <f aca="false">IF(A1365="","",IFERROR(VLOOKUP(A1365,DonHang!$A$2:$C$500,3,FALSE()),"mã đơn chưa có"))</f>
        <v/>
      </c>
      <c r="C1365" s="8"/>
      <c r="D1365" s="8"/>
      <c r="E1365" s="8"/>
      <c r="F1365" s="13"/>
      <c r="G1365" s="14"/>
      <c r="H1365" s="8"/>
      <c r="I1365" s="11" t="str">
        <f aca="false">IF(OR(F1365="",G1365=""),"",ROUND(F1365*G1365,0))</f>
        <v/>
      </c>
    </row>
    <row r="1366" customFormat="false" ht="15" hidden="false" customHeight="false" outlineLevel="0" collapsed="false">
      <c r="A1366" s="8"/>
      <c r="B1366" s="10" t="str">
        <f aca="false">IF(A1366="","",IFERROR(VLOOKUP(A1366,DonHang!$A$2:$C$500,3,FALSE()),"mã đơn chưa có"))</f>
        <v/>
      </c>
      <c r="C1366" s="8"/>
      <c r="D1366" s="8"/>
      <c r="E1366" s="8"/>
      <c r="F1366" s="13"/>
      <c r="G1366" s="14"/>
      <c r="H1366" s="8"/>
      <c r="I1366" s="11" t="str">
        <f aca="false">IF(OR(F1366="",G1366=""),"",ROUND(F1366*G1366,0))</f>
        <v/>
      </c>
    </row>
    <row r="1367" customFormat="false" ht="15" hidden="false" customHeight="false" outlineLevel="0" collapsed="false">
      <c r="A1367" s="8"/>
      <c r="B1367" s="10" t="str">
        <f aca="false">IF(A1367="","",IFERROR(VLOOKUP(A1367,DonHang!$A$2:$C$500,3,FALSE()),"mã đơn chưa có"))</f>
        <v/>
      </c>
      <c r="C1367" s="8"/>
      <c r="D1367" s="8"/>
      <c r="E1367" s="8"/>
      <c r="F1367" s="13"/>
      <c r="G1367" s="14"/>
      <c r="H1367" s="8"/>
      <c r="I1367" s="11" t="str">
        <f aca="false">IF(OR(F1367="",G1367=""),"",ROUND(F1367*G1367,0))</f>
        <v/>
      </c>
    </row>
    <row r="1368" customFormat="false" ht="15" hidden="false" customHeight="false" outlineLevel="0" collapsed="false">
      <c r="A1368" s="8"/>
      <c r="B1368" s="10" t="str">
        <f aca="false">IF(A1368="","",IFERROR(VLOOKUP(A1368,DonHang!$A$2:$C$500,3,FALSE()),"mã đơn chưa có"))</f>
        <v/>
      </c>
      <c r="C1368" s="8"/>
      <c r="D1368" s="8"/>
      <c r="E1368" s="8"/>
      <c r="F1368" s="13"/>
      <c r="G1368" s="14"/>
      <c r="H1368" s="8"/>
      <c r="I1368" s="11" t="str">
        <f aca="false">IF(OR(F1368="",G1368=""),"",ROUND(F1368*G1368,0))</f>
        <v/>
      </c>
    </row>
    <row r="1369" customFormat="false" ht="15" hidden="false" customHeight="false" outlineLevel="0" collapsed="false">
      <c r="A1369" s="8"/>
      <c r="B1369" s="10" t="str">
        <f aca="false">IF(A1369="","",IFERROR(VLOOKUP(A1369,DonHang!$A$2:$C$500,3,FALSE()),"mã đơn chưa có"))</f>
        <v/>
      </c>
      <c r="C1369" s="8"/>
      <c r="D1369" s="8"/>
      <c r="E1369" s="8"/>
      <c r="F1369" s="13"/>
      <c r="G1369" s="14"/>
      <c r="H1369" s="8"/>
      <c r="I1369" s="11" t="str">
        <f aca="false">IF(OR(F1369="",G1369=""),"",ROUND(F1369*G1369,0))</f>
        <v/>
      </c>
    </row>
    <row r="1370" customFormat="false" ht="15" hidden="false" customHeight="false" outlineLevel="0" collapsed="false">
      <c r="A1370" s="8"/>
      <c r="B1370" s="10" t="str">
        <f aca="false">IF(A1370="","",IFERROR(VLOOKUP(A1370,DonHang!$A$2:$C$500,3,FALSE()),"mã đơn chưa có"))</f>
        <v/>
      </c>
      <c r="C1370" s="8"/>
      <c r="D1370" s="8"/>
      <c r="E1370" s="8"/>
      <c r="F1370" s="13"/>
      <c r="G1370" s="14"/>
      <c r="H1370" s="8"/>
      <c r="I1370" s="11" t="str">
        <f aca="false">IF(OR(F1370="",G1370=""),"",ROUND(F1370*G1370,0))</f>
        <v/>
      </c>
    </row>
    <row r="1371" customFormat="false" ht="15" hidden="false" customHeight="false" outlineLevel="0" collapsed="false">
      <c r="A1371" s="8"/>
      <c r="B1371" s="10" t="str">
        <f aca="false">IF(A1371="","",IFERROR(VLOOKUP(A1371,DonHang!$A$2:$C$500,3,FALSE()),"mã đơn chưa có"))</f>
        <v/>
      </c>
      <c r="C1371" s="8"/>
      <c r="D1371" s="8"/>
      <c r="E1371" s="8"/>
      <c r="F1371" s="13"/>
      <c r="G1371" s="14"/>
      <c r="H1371" s="8"/>
      <c r="I1371" s="11" t="str">
        <f aca="false">IF(OR(F1371="",G1371=""),"",ROUND(F1371*G1371,0))</f>
        <v/>
      </c>
    </row>
    <row r="1372" customFormat="false" ht="15" hidden="false" customHeight="false" outlineLevel="0" collapsed="false">
      <c r="A1372" s="8"/>
      <c r="B1372" s="10" t="str">
        <f aca="false">IF(A1372="","",IFERROR(VLOOKUP(A1372,DonHang!$A$2:$C$500,3,FALSE()),"mã đơn chưa có"))</f>
        <v/>
      </c>
      <c r="C1372" s="8"/>
      <c r="D1372" s="8"/>
      <c r="E1372" s="8"/>
      <c r="F1372" s="13"/>
      <c r="G1372" s="14"/>
      <c r="H1372" s="8"/>
      <c r="I1372" s="11" t="str">
        <f aca="false">IF(OR(F1372="",G1372=""),"",ROUND(F1372*G1372,0))</f>
        <v/>
      </c>
    </row>
    <row r="1373" customFormat="false" ht="15" hidden="false" customHeight="false" outlineLevel="0" collapsed="false">
      <c r="A1373" s="8"/>
      <c r="B1373" s="10" t="str">
        <f aca="false">IF(A1373="","",IFERROR(VLOOKUP(A1373,DonHang!$A$2:$C$500,3,FALSE()),"mã đơn chưa có"))</f>
        <v/>
      </c>
      <c r="C1373" s="8"/>
      <c r="D1373" s="8"/>
      <c r="E1373" s="8"/>
      <c r="F1373" s="13"/>
      <c r="G1373" s="14"/>
      <c r="H1373" s="8"/>
      <c r="I1373" s="11" t="str">
        <f aca="false">IF(OR(F1373="",G1373=""),"",ROUND(F1373*G1373,0))</f>
        <v/>
      </c>
    </row>
    <row r="1374" customFormat="false" ht="15" hidden="false" customHeight="false" outlineLevel="0" collapsed="false">
      <c r="A1374" s="8"/>
      <c r="B1374" s="10" t="str">
        <f aca="false">IF(A1374="","",IFERROR(VLOOKUP(A1374,DonHang!$A$2:$C$500,3,FALSE()),"mã đơn chưa có"))</f>
        <v/>
      </c>
      <c r="C1374" s="8"/>
      <c r="D1374" s="8"/>
      <c r="E1374" s="8"/>
      <c r="F1374" s="13"/>
      <c r="G1374" s="14"/>
      <c r="H1374" s="8"/>
      <c r="I1374" s="11" t="str">
        <f aca="false">IF(OR(F1374="",G1374=""),"",ROUND(F1374*G1374,0))</f>
        <v/>
      </c>
    </row>
    <row r="1375" customFormat="false" ht="15" hidden="false" customHeight="false" outlineLevel="0" collapsed="false">
      <c r="A1375" s="8"/>
      <c r="B1375" s="10" t="str">
        <f aca="false">IF(A1375="","",IFERROR(VLOOKUP(A1375,DonHang!$A$2:$C$500,3,FALSE()),"mã đơn chưa có"))</f>
        <v/>
      </c>
      <c r="C1375" s="8"/>
      <c r="D1375" s="8"/>
      <c r="E1375" s="8"/>
      <c r="F1375" s="13"/>
      <c r="G1375" s="14"/>
      <c r="H1375" s="8"/>
      <c r="I1375" s="11" t="str">
        <f aca="false">IF(OR(F1375="",G1375=""),"",ROUND(F1375*G1375,0))</f>
        <v/>
      </c>
    </row>
    <row r="1376" customFormat="false" ht="15" hidden="false" customHeight="false" outlineLevel="0" collapsed="false">
      <c r="A1376" s="8"/>
      <c r="B1376" s="10" t="str">
        <f aca="false">IF(A1376="","",IFERROR(VLOOKUP(A1376,DonHang!$A$2:$C$500,3,FALSE()),"mã đơn chưa có"))</f>
        <v/>
      </c>
      <c r="C1376" s="8"/>
      <c r="D1376" s="8"/>
      <c r="E1376" s="8"/>
      <c r="F1376" s="13"/>
      <c r="G1376" s="14"/>
      <c r="H1376" s="8"/>
      <c r="I1376" s="11" t="str">
        <f aca="false">IF(OR(F1376="",G1376=""),"",ROUND(F1376*G1376,0))</f>
        <v/>
      </c>
    </row>
    <row r="1377" customFormat="false" ht="15" hidden="false" customHeight="false" outlineLevel="0" collapsed="false">
      <c r="A1377" s="8"/>
      <c r="B1377" s="10" t="str">
        <f aca="false">IF(A1377="","",IFERROR(VLOOKUP(A1377,DonHang!$A$2:$C$500,3,FALSE()),"mã đơn chưa có"))</f>
        <v/>
      </c>
      <c r="C1377" s="8"/>
      <c r="D1377" s="8"/>
      <c r="E1377" s="8"/>
      <c r="F1377" s="13"/>
      <c r="G1377" s="14"/>
      <c r="H1377" s="8"/>
      <c r="I1377" s="11" t="str">
        <f aca="false">IF(OR(F1377="",G1377=""),"",ROUND(F1377*G1377,0))</f>
        <v/>
      </c>
    </row>
    <row r="1378" customFormat="false" ht="15" hidden="false" customHeight="false" outlineLevel="0" collapsed="false">
      <c r="A1378" s="8"/>
      <c r="B1378" s="10" t="str">
        <f aca="false">IF(A1378="","",IFERROR(VLOOKUP(A1378,DonHang!$A$2:$C$500,3,FALSE()),"mã đơn chưa có"))</f>
        <v/>
      </c>
      <c r="C1378" s="8"/>
      <c r="D1378" s="8"/>
      <c r="E1378" s="8"/>
      <c r="F1378" s="13"/>
      <c r="G1378" s="14"/>
      <c r="H1378" s="8"/>
      <c r="I1378" s="11" t="str">
        <f aca="false">IF(OR(F1378="",G1378=""),"",ROUND(F1378*G1378,0))</f>
        <v/>
      </c>
    </row>
    <row r="1379" customFormat="false" ht="15" hidden="false" customHeight="false" outlineLevel="0" collapsed="false">
      <c r="A1379" s="8"/>
      <c r="B1379" s="10" t="str">
        <f aca="false">IF(A1379="","",IFERROR(VLOOKUP(A1379,DonHang!$A$2:$C$500,3,FALSE()),"mã đơn chưa có"))</f>
        <v/>
      </c>
      <c r="C1379" s="8"/>
      <c r="D1379" s="8"/>
      <c r="E1379" s="8"/>
      <c r="F1379" s="13"/>
      <c r="G1379" s="14"/>
      <c r="H1379" s="8"/>
      <c r="I1379" s="11" t="str">
        <f aca="false">IF(OR(F1379="",G1379=""),"",ROUND(F1379*G1379,0))</f>
        <v/>
      </c>
    </row>
    <row r="1380" customFormat="false" ht="15" hidden="false" customHeight="false" outlineLevel="0" collapsed="false">
      <c r="A1380" s="8"/>
      <c r="B1380" s="10" t="str">
        <f aca="false">IF(A1380="","",IFERROR(VLOOKUP(A1380,DonHang!$A$2:$C$500,3,FALSE()),"mã đơn chưa có"))</f>
        <v/>
      </c>
      <c r="C1380" s="8"/>
      <c r="D1380" s="8"/>
      <c r="E1380" s="8"/>
      <c r="F1380" s="13"/>
      <c r="G1380" s="14"/>
      <c r="H1380" s="8"/>
      <c r="I1380" s="11" t="str">
        <f aca="false">IF(OR(F1380="",G1380=""),"",ROUND(F1380*G1380,0))</f>
        <v/>
      </c>
    </row>
    <row r="1381" customFormat="false" ht="15" hidden="false" customHeight="false" outlineLevel="0" collapsed="false">
      <c r="A1381" s="8"/>
      <c r="B1381" s="10" t="str">
        <f aca="false">IF(A1381="","",IFERROR(VLOOKUP(A1381,DonHang!$A$2:$C$500,3,FALSE()),"mã đơn chưa có"))</f>
        <v/>
      </c>
      <c r="C1381" s="8"/>
      <c r="D1381" s="8"/>
      <c r="E1381" s="8"/>
      <c r="F1381" s="13"/>
      <c r="G1381" s="14"/>
      <c r="H1381" s="8"/>
      <c r="I1381" s="11" t="str">
        <f aca="false">IF(OR(F1381="",G1381=""),"",ROUND(F1381*G1381,0))</f>
        <v/>
      </c>
    </row>
    <row r="1382" customFormat="false" ht="15" hidden="false" customHeight="false" outlineLevel="0" collapsed="false">
      <c r="A1382" s="8"/>
      <c r="B1382" s="10" t="str">
        <f aca="false">IF(A1382="","",IFERROR(VLOOKUP(A1382,DonHang!$A$2:$C$500,3,FALSE()),"mã đơn chưa có"))</f>
        <v/>
      </c>
      <c r="C1382" s="8"/>
      <c r="D1382" s="8"/>
      <c r="E1382" s="8"/>
      <c r="F1382" s="13"/>
      <c r="G1382" s="14"/>
      <c r="H1382" s="8"/>
      <c r="I1382" s="11" t="str">
        <f aca="false">IF(OR(F1382="",G1382=""),"",ROUND(F1382*G1382,0))</f>
        <v/>
      </c>
    </row>
    <row r="1383" customFormat="false" ht="15" hidden="false" customHeight="false" outlineLevel="0" collapsed="false">
      <c r="A1383" s="8"/>
      <c r="B1383" s="10" t="str">
        <f aca="false">IF(A1383="","",IFERROR(VLOOKUP(A1383,DonHang!$A$2:$C$500,3,FALSE()),"mã đơn chưa có"))</f>
        <v/>
      </c>
      <c r="C1383" s="8"/>
      <c r="D1383" s="8"/>
      <c r="E1383" s="8"/>
      <c r="F1383" s="13"/>
      <c r="G1383" s="14"/>
      <c r="H1383" s="8"/>
      <c r="I1383" s="11" t="str">
        <f aca="false">IF(OR(F1383="",G1383=""),"",ROUND(F1383*G1383,0))</f>
        <v/>
      </c>
    </row>
    <row r="1384" customFormat="false" ht="15" hidden="false" customHeight="false" outlineLevel="0" collapsed="false">
      <c r="A1384" s="8"/>
      <c r="B1384" s="10" t="str">
        <f aca="false">IF(A1384="","",IFERROR(VLOOKUP(A1384,DonHang!$A$2:$C$500,3,FALSE()),"mã đơn chưa có"))</f>
        <v/>
      </c>
      <c r="C1384" s="8"/>
      <c r="D1384" s="8"/>
      <c r="E1384" s="8"/>
      <c r="F1384" s="13"/>
      <c r="G1384" s="14"/>
      <c r="H1384" s="8"/>
      <c r="I1384" s="11" t="str">
        <f aca="false">IF(OR(F1384="",G1384=""),"",ROUND(F1384*G1384,0))</f>
        <v/>
      </c>
    </row>
    <row r="1385" customFormat="false" ht="15" hidden="false" customHeight="false" outlineLevel="0" collapsed="false">
      <c r="A1385" s="8"/>
      <c r="B1385" s="10" t="str">
        <f aca="false">IF(A1385="","",IFERROR(VLOOKUP(A1385,DonHang!$A$2:$C$500,3,FALSE()),"mã đơn chưa có"))</f>
        <v/>
      </c>
      <c r="C1385" s="8"/>
      <c r="D1385" s="8"/>
      <c r="E1385" s="8"/>
      <c r="F1385" s="13"/>
      <c r="G1385" s="14"/>
      <c r="H1385" s="8"/>
      <c r="I1385" s="11" t="str">
        <f aca="false">IF(OR(F1385="",G1385=""),"",ROUND(F1385*G1385,0))</f>
        <v/>
      </c>
    </row>
    <row r="1386" customFormat="false" ht="15" hidden="false" customHeight="false" outlineLevel="0" collapsed="false">
      <c r="A1386" s="8"/>
      <c r="B1386" s="10" t="str">
        <f aca="false">IF(A1386="","",IFERROR(VLOOKUP(A1386,DonHang!$A$2:$C$500,3,FALSE()),"mã đơn chưa có"))</f>
        <v/>
      </c>
      <c r="C1386" s="8"/>
      <c r="D1386" s="8"/>
      <c r="E1386" s="8"/>
      <c r="F1386" s="13"/>
      <c r="G1386" s="14"/>
      <c r="H1386" s="8"/>
      <c r="I1386" s="11" t="str">
        <f aca="false">IF(OR(F1386="",G1386=""),"",ROUND(F1386*G1386,0))</f>
        <v/>
      </c>
    </row>
    <row r="1387" customFormat="false" ht="15" hidden="false" customHeight="false" outlineLevel="0" collapsed="false">
      <c r="A1387" s="8"/>
      <c r="B1387" s="10" t="str">
        <f aca="false">IF(A1387="","",IFERROR(VLOOKUP(A1387,DonHang!$A$2:$C$500,3,FALSE()),"mã đơn chưa có"))</f>
        <v/>
      </c>
      <c r="C1387" s="8"/>
      <c r="D1387" s="8"/>
      <c r="E1387" s="8"/>
      <c r="F1387" s="13"/>
      <c r="G1387" s="14"/>
      <c r="H1387" s="8"/>
      <c r="I1387" s="11" t="str">
        <f aca="false">IF(OR(F1387="",G1387=""),"",ROUND(F1387*G1387,0))</f>
        <v/>
      </c>
    </row>
    <row r="1388" customFormat="false" ht="15" hidden="false" customHeight="false" outlineLevel="0" collapsed="false">
      <c r="A1388" s="8"/>
      <c r="B1388" s="10" t="str">
        <f aca="false">IF(A1388="","",IFERROR(VLOOKUP(A1388,DonHang!$A$2:$C$500,3,FALSE()),"mã đơn chưa có"))</f>
        <v/>
      </c>
      <c r="C1388" s="8"/>
      <c r="D1388" s="8"/>
      <c r="E1388" s="8"/>
      <c r="F1388" s="13"/>
      <c r="G1388" s="14"/>
      <c r="H1388" s="8"/>
      <c r="I1388" s="11" t="str">
        <f aca="false">IF(OR(F1388="",G1388=""),"",ROUND(F1388*G1388,0))</f>
        <v/>
      </c>
    </row>
    <row r="1389" customFormat="false" ht="15" hidden="false" customHeight="false" outlineLevel="0" collapsed="false">
      <c r="A1389" s="8"/>
      <c r="B1389" s="10" t="str">
        <f aca="false">IF(A1389="","",IFERROR(VLOOKUP(A1389,DonHang!$A$2:$C$500,3,FALSE()),"mã đơn chưa có"))</f>
        <v/>
      </c>
      <c r="C1389" s="8"/>
      <c r="D1389" s="8"/>
      <c r="E1389" s="8"/>
      <c r="F1389" s="13"/>
      <c r="G1389" s="14"/>
      <c r="H1389" s="8"/>
      <c r="I1389" s="11" t="str">
        <f aca="false">IF(OR(F1389="",G1389=""),"",ROUND(F1389*G1389,0))</f>
        <v/>
      </c>
    </row>
    <row r="1390" customFormat="false" ht="15" hidden="false" customHeight="false" outlineLevel="0" collapsed="false">
      <c r="A1390" s="8"/>
      <c r="B1390" s="10" t="str">
        <f aca="false">IF(A1390="","",IFERROR(VLOOKUP(A1390,DonHang!$A$2:$C$500,3,FALSE()),"mã đơn chưa có"))</f>
        <v/>
      </c>
      <c r="C1390" s="8"/>
      <c r="D1390" s="8"/>
      <c r="E1390" s="8"/>
      <c r="F1390" s="13"/>
      <c r="G1390" s="14"/>
      <c r="H1390" s="8"/>
      <c r="I1390" s="11" t="str">
        <f aca="false">IF(OR(F1390="",G1390=""),"",ROUND(F1390*G1390,0))</f>
        <v/>
      </c>
    </row>
    <row r="1391" customFormat="false" ht="15" hidden="false" customHeight="false" outlineLevel="0" collapsed="false">
      <c r="A1391" s="8"/>
      <c r="B1391" s="10" t="str">
        <f aca="false">IF(A1391="","",IFERROR(VLOOKUP(A1391,DonHang!$A$2:$C$500,3,FALSE()),"mã đơn chưa có"))</f>
        <v/>
      </c>
      <c r="C1391" s="8"/>
      <c r="D1391" s="8"/>
      <c r="E1391" s="8"/>
      <c r="F1391" s="13"/>
      <c r="G1391" s="14"/>
      <c r="H1391" s="8"/>
      <c r="I1391" s="11" t="str">
        <f aca="false">IF(OR(F1391="",G1391=""),"",ROUND(F1391*G1391,0))</f>
        <v/>
      </c>
    </row>
    <row r="1392" customFormat="false" ht="15" hidden="false" customHeight="false" outlineLevel="0" collapsed="false">
      <c r="A1392" s="8"/>
      <c r="B1392" s="10" t="str">
        <f aca="false">IF(A1392="","",IFERROR(VLOOKUP(A1392,DonHang!$A$2:$C$500,3,FALSE()),"mã đơn chưa có"))</f>
        <v/>
      </c>
      <c r="C1392" s="8"/>
      <c r="D1392" s="8"/>
      <c r="E1392" s="8"/>
      <c r="F1392" s="13"/>
      <c r="G1392" s="14"/>
      <c r="H1392" s="8"/>
      <c r="I1392" s="11" t="str">
        <f aca="false">IF(OR(F1392="",G1392=""),"",ROUND(F1392*G1392,0))</f>
        <v/>
      </c>
    </row>
    <row r="1393" customFormat="false" ht="15" hidden="false" customHeight="false" outlineLevel="0" collapsed="false">
      <c r="A1393" s="8"/>
      <c r="B1393" s="10" t="str">
        <f aca="false">IF(A1393="","",IFERROR(VLOOKUP(A1393,DonHang!$A$2:$C$500,3,FALSE()),"mã đơn chưa có"))</f>
        <v/>
      </c>
      <c r="C1393" s="8"/>
      <c r="D1393" s="8"/>
      <c r="E1393" s="8"/>
      <c r="F1393" s="13"/>
      <c r="G1393" s="14"/>
      <c r="H1393" s="8"/>
      <c r="I1393" s="11" t="str">
        <f aca="false">IF(OR(F1393="",G1393=""),"",ROUND(F1393*G1393,0))</f>
        <v/>
      </c>
    </row>
    <row r="1394" customFormat="false" ht="15" hidden="false" customHeight="false" outlineLevel="0" collapsed="false">
      <c r="A1394" s="8"/>
      <c r="B1394" s="10" t="str">
        <f aca="false">IF(A1394="","",IFERROR(VLOOKUP(A1394,DonHang!$A$2:$C$500,3,FALSE()),"mã đơn chưa có"))</f>
        <v/>
      </c>
      <c r="C1394" s="8"/>
      <c r="D1394" s="8"/>
      <c r="E1394" s="8"/>
      <c r="F1394" s="13"/>
      <c r="G1394" s="14"/>
      <c r="H1394" s="8"/>
      <c r="I1394" s="11" t="str">
        <f aca="false">IF(OR(F1394="",G1394=""),"",ROUND(F1394*G1394,0))</f>
        <v/>
      </c>
    </row>
    <row r="1395" customFormat="false" ht="15" hidden="false" customHeight="false" outlineLevel="0" collapsed="false">
      <c r="A1395" s="8"/>
      <c r="B1395" s="10" t="str">
        <f aca="false">IF(A1395="","",IFERROR(VLOOKUP(A1395,DonHang!$A$2:$C$500,3,FALSE()),"mã đơn chưa có"))</f>
        <v/>
      </c>
      <c r="C1395" s="8"/>
      <c r="D1395" s="8"/>
      <c r="E1395" s="8"/>
      <c r="F1395" s="13"/>
      <c r="G1395" s="14"/>
      <c r="H1395" s="8"/>
      <c r="I1395" s="11" t="str">
        <f aca="false">IF(OR(F1395="",G1395=""),"",ROUND(F1395*G1395,0))</f>
        <v/>
      </c>
    </row>
    <row r="1396" customFormat="false" ht="15" hidden="false" customHeight="false" outlineLevel="0" collapsed="false">
      <c r="A1396" s="8"/>
      <c r="B1396" s="10" t="str">
        <f aca="false">IF(A1396="","",IFERROR(VLOOKUP(A1396,DonHang!$A$2:$C$500,3,FALSE()),"mã đơn chưa có"))</f>
        <v/>
      </c>
      <c r="C1396" s="8"/>
      <c r="D1396" s="8"/>
      <c r="E1396" s="8"/>
      <c r="F1396" s="13"/>
      <c r="G1396" s="14"/>
      <c r="H1396" s="8"/>
      <c r="I1396" s="11" t="str">
        <f aca="false">IF(OR(F1396="",G1396=""),"",ROUND(F1396*G1396,0))</f>
        <v/>
      </c>
    </row>
    <row r="1397" customFormat="false" ht="15" hidden="false" customHeight="false" outlineLevel="0" collapsed="false">
      <c r="A1397" s="8"/>
      <c r="B1397" s="10" t="str">
        <f aca="false">IF(A1397="","",IFERROR(VLOOKUP(A1397,DonHang!$A$2:$C$500,3,FALSE()),"mã đơn chưa có"))</f>
        <v/>
      </c>
      <c r="C1397" s="8"/>
      <c r="D1397" s="8"/>
      <c r="E1397" s="8"/>
      <c r="F1397" s="13"/>
      <c r="G1397" s="14"/>
      <c r="H1397" s="8"/>
      <c r="I1397" s="11" t="str">
        <f aca="false">IF(OR(F1397="",G1397=""),"",ROUND(F1397*G1397,0))</f>
        <v/>
      </c>
    </row>
    <row r="1398" customFormat="false" ht="15" hidden="false" customHeight="false" outlineLevel="0" collapsed="false">
      <c r="A1398" s="8"/>
      <c r="B1398" s="10" t="str">
        <f aca="false">IF(A1398="","",IFERROR(VLOOKUP(A1398,DonHang!$A$2:$C$500,3,FALSE()),"mã đơn chưa có"))</f>
        <v/>
      </c>
      <c r="C1398" s="8"/>
      <c r="D1398" s="8"/>
      <c r="E1398" s="8"/>
      <c r="F1398" s="13"/>
      <c r="G1398" s="14"/>
      <c r="H1398" s="8"/>
      <c r="I1398" s="11" t="str">
        <f aca="false">IF(OR(F1398="",G1398=""),"",ROUND(F1398*G1398,0))</f>
        <v/>
      </c>
    </row>
    <row r="1399" customFormat="false" ht="15" hidden="false" customHeight="false" outlineLevel="0" collapsed="false">
      <c r="A1399" s="8"/>
      <c r="B1399" s="10" t="str">
        <f aca="false">IF(A1399="","",IFERROR(VLOOKUP(A1399,DonHang!$A$2:$C$500,3,FALSE()),"mã đơn chưa có"))</f>
        <v/>
      </c>
      <c r="C1399" s="8"/>
      <c r="D1399" s="8"/>
      <c r="E1399" s="8"/>
      <c r="F1399" s="13"/>
      <c r="G1399" s="14"/>
      <c r="H1399" s="8"/>
      <c r="I1399" s="11" t="str">
        <f aca="false">IF(OR(F1399="",G1399=""),"",ROUND(F1399*G1399,0))</f>
        <v/>
      </c>
    </row>
    <row r="1400" customFormat="false" ht="15" hidden="false" customHeight="false" outlineLevel="0" collapsed="false">
      <c r="A1400" s="8"/>
      <c r="B1400" s="10" t="str">
        <f aca="false">IF(A1400="","",IFERROR(VLOOKUP(A1400,DonHang!$A$2:$C$500,3,FALSE()),"mã đơn chưa có"))</f>
        <v/>
      </c>
      <c r="C1400" s="8"/>
      <c r="D1400" s="8"/>
      <c r="E1400" s="8"/>
      <c r="F1400" s="13"/>
      <c r="G1400" s="14"/>
      <c r="H1400" s="8"/>
      <c r="I1400" s="11" t="str">
        <f aca="false">IF(OR(F1400="",G1400=""),"",ROUND(F1400*G1400,0))</f>
        <v/>
      </c>
    </row>
    <row r="1401" customFormat="false" ht="15" hidden="false" customHeight="false" outlineLevel="0" collapsed="false">
      <c r="A1401" s="8"/>
      <c r="B1401" s="10" t="str">
        <f aca="false">IF(A1401="","",IFERROR(VLOOKUP(A1401,DonHang!$A$2:$C$500,3,FALSE()),"mã đơn chưa có"))</f>
        <v/>
      </c>
      <c r="C1401" s="8"/>
      <c r="D1401" s="8"/>
      <c r="E1401" s="8"/>
      <c r="F1401" s="13"/>
      <c r="G1401" s="14"/>
      <c r="H1401" s="8"/>
      <c r="I1401" s="11" t="str">
        <f aca="false">IF(OR(F1401="",G1401=""),"",ROUND(F1401*G1401,0))</f>
        <v/>
      </c>
    </row>
    <row r="1402" customFormat="false" ht="15" hidden="false" customHeight="false" outlineLevel="0" collapsed="false">
      <c r="A1402" s="8"/>
      <c r="B1402" s="10" t="str">
        <f aca="false">IF(A1402="","",IFERROR(VLOOKUP(A1402,DonHang!$A$2:$C$500,3,FALSE()),"mã đơn chưa có"))</f>
        <v/>
      </c>
      <c r="C1402" s="8"/>
      <c r="D1402" s="8"/>
      <c r="E1402" s="8"/>
      <c r="F1402" s="13"/>
      <c r="G1402" s="14"/>
      <c r="H1402" s="8"/>
      <c r="I1402" s="11" t="str">
        <f aca="false">IF(OR(F1402="",G1402=""),"",ROUND(F1402*G1402,0))</f>
        <v/>
      </c>
    </row>
    <row r="1403" customFormat="false" ht="15" hidden="false" customHeight="false" outlineLevel="0" collapsed="false">
      <c r="A1403" s="8"/>
      <c r="B1403" s="10" t="str">
        <f aca="false">IF(A1403="","",IFERROR(VLOOKUP(A1403,DonHang!$A$2:$C$500,3,FALSE()),"mã đơn chưa có"))</f>
        <v/>
      </c>
      <c r="C1403" s="8"/>
      <c r="D1403" s="8"/>
      <c r="E1403" s="8"/>
      <c r="F1403" s="13"/>
      <c r="G1403" s="14"/>
      <c r="H1403" s="8"/>
      <c r="I1403" s="11" t="str">
        <f aca="false">IF(OR(F1403="",G1403=""),"",ROUND(F1403*G1403,0))</f>
        <v/>
      </c>
    </row>
    <row r="1404" customFormat="false" ht="15" hidden="false" customHeight="false" outlineLevel="0" collapsed="false">
      <c r="A1404" s="8"/>
      <c r="B1404" s="10" t="str">
        <f aca="false">IF(A1404="","",IFERROR(VLOOKUP(A1404,DonHang!$A$2:$C$500,3,FALSE()),"mã đơn chưa có"))</f>
        <v/>
      </c>
      <c r="C1404" s="8"/>
      <c r="D1404" s="8"/>
      <c r="E1404" s="8"/>
      <c r="F1404" s="13"/>
      <c r="G1404" s="14"/>
      <c r="H1404" s="8"/>
      <c r="I1404" s="11" t="str">
        <f aca="false">IF(OR(F1404="",G1404=""),"",ROUND(F1404*G1404,0))</f>
        <v/>
      </c>
    </row>
    <row r="1405" customFormat="false" ht="15" hidden="false" customHeight="false" outlineLevel="0" collapsed="false">
      <c r="A1405" s="8"/>
      <c r="B1405" s="10" t="str">
        <f aca="false">IF(A1405="","",IFERROR(VLOOKUP(A1405,DonHang!$A$2:$C$500,3,FALSE()),"mã đơn chưa có"))</f>
        <v/>
      </c>
      <c r="C1405" s="8"/>
      <c r="D1405" s="8"/>
      <c r="E1405" s="8"/>
      <c r="F1405" s="13"/>
      <c r="G1405" s="14"/>
      <c r="H1405" s="8"/>
      <c r="I1405" s="11" t="str">
        <f aca="false">IF(OR(F1405="",G1405=""),"",ROUND(F1405*G1405,0))</f>
        <v/>
      </c>
    </row>
    <row r="1406" customFormat="false" ht="15" hidden="false" customHeight="false" outlineLevel="0" collapsed="false">
      <c r="A1406" s="8"/>
      <c r="B1406" s="10" t="str">
        <f aca="false">IF(A1406="","",IFERROR(VLOOKUP(A1406,DonHang!$A$2:$C$500,3,FALSE()),"mã đơn chưa có"))</f>
        <v/>
      </c>
      <c r="C1406" s="8"/>
      <c r="D1406" s="8"/>
      <c r="E1406" s="8"/>
      <c r="F1406" s="13"/>
      <c r="G1406" s="14"/>
      <c r="H1406" s="8"/>
      <c r="I1406" s="11" t="str">
        <f aca="false">IF(OR(F1406="",G1406=""),"",ROUND(F1406*G1406,0))</f>
        <v/>
      </c>
    </row>
    <row r="1407" customFormat="false" ht="15" hidden="false" customHeight="false" outlineLevel="0" collapsed="false">
      <c r="A1407" s="8"/>
      <c r="B1407" s="10" t="str">
        <f aca="false">IF(A1407="","",IFERROR(VLOOKUP(A1407,DonHang!$A$2:$C$500,3,FALSE()),"mã đơn chưa có"))</f>
        <v/>
      </c>
      <c r="C1407" s="8"/>
      <c r="D1407" s="8"/>
      <c r="E1407" s="8"/>
      <c r="F1407" s="13"/>
      <c r="G1407" s="14"/>
      <c r="H1407" s="8"/>
      <c r="I1407" s="11" t="str">
        <f aca="false">IF(OR(F1407="",G1407=""),"",ROUND(F1407*G1407,0))</f>
        <v/>
      </c>
    </row>
    <row r="1408" customFormat="false" ht="15" hidden="false" customHeight="false" outlineLevel="0" collapsed="false">
      <c r="A1408" s="8"/>
      <c r="B1408" s="10" t="str">
        <f aca="false">IF(A1408="","",IFERROR(VLOOKUP(A1408,DonHang!$A$2:$C$500,3,FALSE()),"mã đơn chưa có"))</f>
        <v/>
      </c>
      <c r="C1408" s="8"/>
      <c r="D1408" s="8"/>
      <c r="E1408" s="8"/>
      <c r="F1408" s="13"/>
      <c r="G1408" s="14"/>
      <c r="H1408" s="8"/>
      <c r="I1408" s="11" t="str">
        <f aca="false">IF(OR(F1408="",G1408=""),"",ROUND(F1408*G1408,0))</f>
        <v/>
      </c>
    </row>
    <row r="1409" customFormat="false" ht="15" hidden="false" customHeight="false" outlineLevel="0" collapsed="false">
      <c r="A1409" s="8"/>
      <c r="B1409" s="10" t="str">
        <f aca="false">IF(A1409="","",IFERROR(VLOOKUP(A1409,DonHang!$A$2:$C$500,3,FALSE()),"mã đơn chưa có"))</f>
        <v/>
      </c>
      <c r="C1409" s="8"/>
      <c r="D1409" s="8"/>
      <c r="E1409" s="8"/>
      <c r="F1409" s="13"/>
      <c r="G1409" s="14"/>
      <c r="H1409" s="8"/>
      <c r="I1409" s="11" t="str">
        <f aca="false">IF(OR(F1409="",G1409=""),"",ROUND(F1409*G1409,0))</f>
        <v/>
      </c>
    </row>
    <row r="1410" customFormat="false" ht="15" hidden="false" customHeight="false" outlineLevel="0" collapsed="false">
      <c r="A1410" s="8"/>
      <c r="B1410" s="10" t="str">
        <f aca="false">IF(A1410="","",IFERROR(VLOOKUP(A1410,DonHang!$A$2:$C$500,3,FALSE()),"mã đơn chưa có"))</f>
        <v/>
      </c>
      <c r="C1410" s="8"/>
      <c r="D1410" s="8"/>
      <c r="E1410" s="8"/>
      <c r="F1410" s="13"/>
      <c r="G1410" s="14"/>
      <c r="H1410" s="8"/>
      <c r="I1410" s="11" t="str">
        <f aca="false">IF(OR(F1410="",G1410=""),"",ROUND(F1410*G1410,0))</f>
        <v/>
      </c>
    </row>
    <row r="1411" customFormat="false" ht="15" hidden="false" customHeight="false" outlineLevel="0" collapsed="false">
      <c r="A1411" s="8"/>
      <c r="B1411" s="10" t="str">
        <f aca="false">IF(A1411="","",IFERROR(VLOOKUP(A1411,DonHang!$A$2:$C$500,3,FALSE()),"mã đơn chưa có"))</f>
        <v/>
      </c>
      <c r="C1411" s="8"/>
      <c r="D1411" s="8"/>
      <c r="E1411" s="8"/>
      <c r="F1411" s="13"/>
      <c r="G1411" s="14"/>
      <c r="H1411" s="8"/>
      <c r="I1411" s="11" t="str">
        <f aca="false">IF(OR(F1411="",G1411=""),"",ROUND(F1411*G1411,0))</f>
        <v/>
      </c>
    </row>
    <row r="1412" customFormat="false" ht="15" hidden="false" customHeight="false" outlineLevel="0" collapsed="false">
      <c r="A1412" s="8"/>
      <c r="B1412" s="10" t="str">
        <f aca="false">IF(A1412="","",IFERROR(VLOOKUP(A1412,DonHang!$A$2:$C$500,3,FALSE()),"mã đơn chưa có"))</f>
        <v/>
      </c>
      <c r="C1412" s="8"/>
      <c r="D1412" s="8"/>
      <c r="E1412" s="8"/>
      <c r="F1412" s="13"/>
      <c r="G1412" s="14"/>
      <c r="H1412" s="8"/>
      <c r="I1412" s="11" t="str">
        <f aca="false">IF(OR(F1412="",G1412=""),"",ROUND(F1412*G1412,0))</f>
        <v/>
      </c>
    </row>
    <row r="1413" customFormat="false" ht="15" hidden="false" customHeight="false" outlineLevel="0" collapsed="false">
      <c r="A1413" s="8"/>
      <c r="B1413" s="10" t="str">
        <f aca="false">IF(A1413="","",IFERROR(VLOOKUP(A1413,DonHang!$A$2:$C$500,3,FALSE()),"mã đơn chưa có"))</f>
        <v/>
      </c>
      <c r="C1413" s="8"/>
      <c r="D1413" s="8"/>
      <c r="E1413" s="8"/>
      <c r="F1413" s="13"/>
      <c r="G1413" s="14"/>
      <c r="H1413" s="8"/>
      <c r="I1413" s="11" t="str">
        <f aca="false">IF(OR(F1413="",G1413=""),"",ROUND(F1413*G1413,0))</f>
        <v/>
      </c>
    </row>
    <row r="1414" customFormat="false" ht="15" hidden="false" customHeight="false" outlineLevel="0" collapsed="false">
      <c r="A1414" s="8"/>
      <c r="B1414" s="10" t="str">
        <f aca="false">IF(A1414="","",IFERROR(VLOOKUP(A1414,DonHang!$A$2:$C$500,3,FALSE()),"mã đơn chưa có"))</f>
        <v/>
      </c>
      <c r="C1414" s="8"/>
      <c r="D1414" s="8"/>
      <c r="E1414" s="8"/>
      <c r="F1414" s="13"/>
      <c r="G1414" s="14"/>
      <c r="H1414" s="8"/>
      <c r="I1414" s="11" t="str">
        <f aca="false">IF(OR(F1414="",G1414=""),"",ROUND(F1414*G1414,0))</f>
        <v/>
      </c>
    </row>
    <row r="1415" customFormat="false" ht="15" hidden="false" customHeight="false" outlineLevel="0" collapsed="false">
      <c r="A1415" s="8"/>
      <c r="B1415" s="10" t="str">
        <f aca="false">IF(A1415="","",IFERROR(VLOOKUP(A1415,DonHang!$A$2:$C$500,3,FALSE()),"mã đơn chưa có"))</f>
        <v/>
      </c>
      <c r="C1415" s="8"/>
      <c r="D1415" s="8"/>
      <c r="E1415" s="8"/>
      <c r="F1415" s="13"/>
      <c r="G1415" s="14"/>
      <c r="H1415" s="8"/>
      <c r="I1415" s="11" t="str">
        <f aca="false">IF(OR(F1415="",G1415=""),"",ROUND(F1415*G1415,0))</f>
        <v/>
      </c>
    </row>
    <row r="1416" customFormat="false" ht="15" hidden="false" customHeight="false" outlineLevel="0" collapsed="false">
      <c r="A1416" s="8"/>
      <c r="B1416" s="10" t="str">
        <f aca="false">IF(A1416="","",IFERROR(VLOOKUP(A1416,DonHang!$A$2:$C$500,3,FALSE()),"mã đơn chưa có"))</f>
        <v/>
      </c>
      <c r="C1416" s="8"/>
      <c r="D1416" s="8"/>
      <c r="E1416" s="8"/>
      <c r="F1416" s="13"/>
      <c r="G1416" s="14"/>
      <c r="H1416" s="8"/>
      <c r="I1416" s="11" t="str">
        <f aca="false">IF(OR(F1416="",G1416=""),"",ROUND(F1416*G1416,0))</f>
        <v/>
      </c>
    </row>
    <row r="1417" customFormat="false" ht="15" hidden="false" customHeight="false" outlineLevel="0" collapsed="false">
      <c r="A1417" s="8"/>
      <c r="B1417" s="10" t="str">
        <f aca="false">IF(A1417="","",IFERROR(VLOOKUP(A1417,DonHang!$A$2:$C$500,3,FALSE()),"mã đơn chưa có"))</f>
        <v/>
      </c>
      <c r="C1417" s="8"/>
      <c r="D1417" s="8"/>
      <c r="E1417" s="8"/>
      <c r="F1417" s="13"/>
      <c r="G1417" s="14"/>
      <c r="H1417" s="8"/>
      <c r="I1417" s="11" t="str">
        <f aca="false">IF(OR(F1417="",G1417=""),"",ROUND(F1417*G1417,0))</f>
        <v/>
      </c>
    </row>
    <row r="1418" customFormat="false" ht="15" hidden="false" customHeight="false" outlineLevel="0" collapsed="false">
      <c r="A1418" s="8"/>
      <c r="B1418" s="10" t="str">
        <f aca="false">IF(A1418="","",IFERROR(VLOOKUP(A1418,DonHang!$A$2:$C$500,3,FALSE()),"mã đơn chưa có"))</f>
        <v/>
      </c>
      <c r="C1418" s="8"/>
      <c r="D1418" s="8"/>
      <c r="E1418" s="8"/>
      <c r="F1418" s="13"/>
      <c r="G1418" s="14"/>
      <c r="H1418" s="8"/>
      <c r="I1418" s="11" t="str">
        <f aca="false">IF(OR(F1418="",G1418=""),"",ROUND(F1418*G1418,0))</f>
        <v/>
      </c>
    </row>
    <row r="1419" customFormat="false" ht="15" hidden="false" customHeight="false" outlineLevel="0" collapsed="false">
      <c r="A1419" s="8"/>
      <c r="B1419" s="10" t="str">
        <f aca="false">IF(A1419="","",IFERROR(VLOOKUP(A1419,DonHang!$A$2:$C$500,3,FALSE()),"mã đơn chưa có"))</f>
        <v/>
      </c>
      <c r="C1419" s="8"/>
      <c r="D1419" s="8"/>
      <c r="E1419" s="8"/>
      <c r="F1419" s="13"/>
      <c r="G1419" s="14"/>
      <c r="H1419" s="8"/>
      <c r="I1419" s="11" t="str">
        <f aca="false">IF(OR(F1419="",G1419=""),"",ROUND(F1419*G1419,0))</f>
        <v/>
      </c>
    </row>
    <row r="1420" customFormat="false" ht="15" hidden="false" customHeight="false" outlineLevel="0" collapsed="false">
      <c r="A1420" s="8"/>
      <c r="B1420" s="10" t="str">
        <f aca="false">IF(A1420="","",IFERROR(VLOOKUP(A1420,DonHang!$A$2:$C$500,3,FALSE()),"mã đơn chưa có"))</f>
        <v/>
      </c>
      <c r="C1420" s="8"/>
      <c r="D1420" s="8"/>
      <c r="E1420" s="8"/>
      <c r="F1420" s="13"/>
      <c r="G1420" s="14"/>
      <c r="H1420" s="8"/>
      <c r="I1420" s="11" t="str">
        <f aca="false">IF(OR(F1420="",G1420=""),"",ROUND(F1420*G1420,0))</f>
        <v/>
      </c>
    </row>
    <row r="1421" customFormat="false" ht="15" hidden="false" customHeight="false" outlineLevel="0" collapsed="false">
      <c r="A1421" s="8"/>
      <c r="B1421" s="10" t="str">
        <f aca="false">IF(A1421="","",IFERROR(VLOOKUP(A1421,DonHang!$A$2:$C$500,3,FALSE()),"mã đơn chưa có"))</f>
        <v/>
      </c>
      <c r="C1421" s="8"/>
      <c r="D1421" s="8"/>
      <c r="E1421" s="8"/>
      <c r="F1421" s="13"/>
      <c r="G1421" s="14"/>
      <c r="H1421" s="8"/>
      <c r="I1421" s="11" t="str">
        <f aca="false">IF(OR(F1421="",G1421=""),"",ROUND(F1421*G1421,0))</f>
        <v/>
      </c>
    </row>
    <row r="1422" customFormat="false" ht="15" hidden="false" customHeight="false" outlineLevel="0" collapsed="false">
      <c r="A1422" s="8"/>
      <c r="B1422" s="10" t="str">
        <f aca="false">IF(A1422="","",IFERROR(VLOOKUP(A1422,DonHang!$A$2:$C$500,3,FALSE()),"mã đơn chưa có"))</f>
        <v/>
      </c>
      <c r="C1422" s="8"/>
      <c r="D1422" s="8"/>
      <c r="E1422" s="8"/>
      <c r="F1422" s="13"/>
      <c r="G1422" s="14"/>
      <c r="H1422" s="8"/>
      <c r="I1422" s="11" t="str">
        <f aca="false">IF(OR(F1422="",G1422=""),"",ROUND(F1422*G1422,0))</f>
        <v/>
      </c>
    </row>
    <row r="1423" customFormat="false" ht="15" hidden="false" customHeight="false" outlineLevel="0" collapsed="false">
      <c r="A1423" s="8"/>
      <c r="B1423" s="10" t="str">
        <f aca="false">IF(A1423="","",IFERROR(VLOOKUP(A1423,DonHang!$A$2:$C$500,3,FALSE()),"mã đơn chưa có"))</f>
        <v/>
      </c>
      <c r="C1423" s="8"/>
      <c r="D1423" s="8"/>
      <c r="E1423" s="8"/>
      <c r="F1423" s="13"/>
      <c r="G1423" s="14"/>
      <c r="H1423" s="8"/>
      <c r="I1423" s="11" t="str">
        <f aca="false">IF(OR(F1423="",G1423=""),"",ROUND(F1423*G1423,0))</f>
        <v/>
      </c>
    </row>
    <row r="1424" customFormat="false" ht="15" hidden="false" customHeight="false" outlineLevel="0" collapsed="false">
      <c r="A1424" s="8"/>
      <c r="B1424" s="10" t="str">
        <f aca="false">IF(A1424="","",IFERROR(VLOOKUP(A1424,DonHang!$A$2:$C$500,3,FALSE()),"mã đơn chưa có"))</f>
        <v/>
      </c>
      <c r="C1424" s="8"/>
      <c r="D1424" s="8"/>
      <c r="E1424" s="8"/>
      <c r="F1424" s="13"/>
      <c r="G1424" s="14"/>
      <c r="H1424" s="8"/>
      <c r="I1424" s="11" t="str">
        <f aca="false">IF(OR(F1424="",G1424=""),"",ROUND(F1424*G1424,0))</f>
        <v/>
      </c>
    </row>
    <row r="1425" customFormat="false" ht="15" hidden="false" customHeight="false" outlineLevel="0" collapsed="false">
      <c r="A1425" s="8"/>
      <c r="B1425" s="10" t="str">
        <f aca="false">IF(A1425="","",IFERROR(VLOOKUP(A1425,DonHang!$A$2:$C$500,3,FALSE()),"mã đơn chưa có"))</f>
        <v/>
      </c>
      <c r="C1425" s="8"/>
      <c r="D1425" s="8"/>
      <c r="E1425" s="8"/>
      <c r="F1425" s="13"/>
      <c r="G1425" s="14"/>
      <c r="H1425" s="8"/>
      <c r="I1425" s="11" t="str">
        <f aca="false">IF(OR(F1425="",G1425=""),"",ROUND(F1425*G1425,0))</f>
        <v/>
      </c>
    </row>
    <row r="1426" customFormat="false" ht="15" hidden="false" customHeight="false" outlineLevel="0" collapsed="false">
      <c r="A1426" s="8"/>
      <c r="B1426" s="10" t="str">
        <f aca="false">IF(A1426="","",IFERROR(VLOOKUP(A1426,DonHang!$A$2:$C$500,3,FALSE()),"mã đơn chưa có"))</f>
        <v/>
      </c>
      <c r="C1426" s="8"/>
      <c r="D1426" s="8"/>
      <c r="E1426" s="8"/>
      <c r="F1426" s="13"/>
      <c r="G1426" s="14"/>
      <c r="H1426" s="8"/>
      <c r="I1426" s="11" t="str">
        <f aca="false">IF(OR(F1426="",G1426=""),"",ROUND(F1426*G1426,0))</f>
        <v/>
      </c>
    </row>
    <row r="1427" customFormat="false" ht="15" hidden="false" customHeight="false" outlineLevel="0" collapsed="false">
      <c r="A1427" s="8"/>
      <c r="B1427" s="10" t="str">
        <f aca="false">IF(A1427="","",IFERROR(VLOOKUP(A1427,DonHang!$A$2:$C$500,3,FALSE()),"mã đơn chưa có"))</f>
        <v/>
      </c>
      <c r="C1427" s="8"/>
      <c r="D1427" s="8"/>
      <c r="E1427" s="8"/>
      <c r="F1427" s="13"/>
      <c r="G1427" s="14"/>
      <c r="H1427" s="8"/>
      <c r="I1427" s="11" t="str">
        <f aca="false">IF(OR(F1427="",G1427=""),"",ROUND(F1427*G1427,0))</f>
        <v/>
      </c>
    </row>
    <row r="1428" customFormat="false" ht="15" hidden="false" customHeight="false" outlineLevel="0" collapsed="false">
      <c r="A1428" s="8"/>
      <c r="B1428" s="10" t="str">
        <f aca="false">IF(A1428="","",IFERROR(VLOOKUP(A1428,DonHang!$A$2:$C$500,3,FALSE()),"mã đơn chưa có"))</f>
        <v/>
      </c>
      <c r="C1428" s="8"/>
      <c r="D1428" s="8"/>
      <c r="E1428" s="8"/>
      <c r="F1428" s="13"/>
      <c r="G1428" s="14"/>
      <c r="H1428" s="8"/>
      <c r="I1428" s="11" t="str">
        <f aca="false">IF(OR(F1428="",G1428=""),"",ROUND(F1428*G1428,0))</f>
        <v/>
      </c>
    </row>
    <row r="1429" customFormat="false" ht="15" hidden="false" customHeight="false" outlineLevel="0" collapsed="false">
      <c r="A1429" s="8"/>
      <c r="B1429" s="10" t="str">
        <f aca="false">IF(A1429="","",IFERROR(VLOOKUP(A1429,DonHang!$A$2:$C$500,3,FALSE()),"mã đơn chưa có"))</f>
        <v/>
      </c>
      <c r="C1429" s="8"/>
      <c r="D1429" s="8"/>
      <c r="E1429" s="8"/>
      <c r="F1429" s="13"/>
      <c r="G1429" s="14"/>
      <c r="H1429" s="8"/>
      <c r="I1429" s="11" t="str">
        <f aca="false">IF(OR(F1429="",G1429=""),"",ROUND(F1429*G1429,0))</f>
        <v/>
      </c>
    </row>
    <row r="1430" customFormat="false" ht="15" hidden="false" customHeight="false" outlineLevel="0" collapsed="false">
      <c r="A1430" s="8"/>
      <c r="B1430" s="10" t="str">
        <f aca="false">IF(A1430="","",IFERROR(VLOOKUP(A1430,DonHang!$A$2:$C$500,3,FALSE()),"mã đơn chưa có"))</f>
        <v/>
      </c>
      <c r="C1430" s="8"/>
      <c r="D1430" s="8"/>
      <c r="E1430" s="8"/>
      <c r="F1430" s="13"/>
      <c r="G1430" s="14"/>
      <c r="H1430" s="8"/>
      <c r="I1430" s="11" t="str">
        <f aca="false">IF(OR(F1430="",G1430=""),"",ROUND(F1430*G1430,0))</f>
        <v/>
      </c>
    </row>
    <row r="1431" customFormat="false" ht="15" hidden="false" customHeight="false" outlineLevel="0" collapsed="false">
      <c r="A1431" s="8"/>
      <c r="B1431" s="10" t="str">
        <f aca="false">IF(A1431="","",IFERROR(VLOOKUP(A1431,DonHang!$A$2:$C$500,3,FALSE()),"mã đơn chưa có"))</f>
        <v/>
      </c>
      <c r="C1431" s="8"/>
      <c r="D1431" s="8"/>
      <c r="E1431" s="8"/>
      <c r="F1431" s="13"/>
      <c r="G1431" s="14"/>
      <c r="H1431" s="8"/>
      <c r="I1431" s="11" t="str">
        <f aca="false">IF(OR(F1431="",G1431=""),"",ROUND(F1431*G1431,0))</f>
        <v/>
      </c>
    </row>
    <row r="1432" customFormat="false" ht="15" hidden="false" customHeight="false" outlineLevel="0" collapsed="false">
      <c r="A1432" s="8"/>
      <c r="B1432" s="10" t="str">
        <f aca="false">IF(A1432="","",IFERROR(VLOOKUP(A1432,DonHang!$A$2:$C$500,3,FALSE()),"mã đơn chưa có"))</f>
        <v/>
      </c>
      <c r="C1432" s="8"/>
      <c r="D1432" s="8"/>
      <c r="E1432" s="8"/>
      <c r="F1432" s="13"/>
      <c r="G1432" s="14"/>
      <c r="H1432" s="8"/>
      <c r="I1432" s="11" t="str">
        <f aca="false">IF(OR(F1432="",G1432=""),"",ROUND(F1432*G1432,0))</f>
        <v/>
      </c>
    </row>
    <row r="1433" customFormat="false" ht="15" hidden="false" customHeight="false" outlineLevel="0" collapsed="false">
      <c r="A1433" s="8"/>
      <c r="B1433" s="10" t="str">
        <f aca="false">IF(A1433="","",IFERROR(VLOOKUP(A1433,DonHang!$A$2:$C$500,3,FALSE()),"mã đơn chưa có"))</f>
        <v/>
      </c>
      <c r="C1433" s="8"/>
      <c r="D1433" s="8"/>
      <c r="E1433" s="8"/>
      <c r="F1433" s="13"/>
      <c r="G1433" s="14"/>
      <c r="H1433" s="8"/>
      <c r="I1433" s="11" t="str">
        <f aca="false">IF(OR(F1433="",G1433=""),"",ROUND(F1433*G1433,0))</f>
        <v/>
      </c>
    </row>
    <row r="1434" customFormat="false" ht="15" hidden="false" customHeight="false" outlineLevel="0" collapsed="false">
      <c r="A1434" s="8"/>
      <c r="B1434" s="10" t="str">
        <f aca="false">IF(A1434="","",IFERROR(VLOOKUP(A1434,DonHang!$A$2:$C$500,3,FALSE()),"mã đơn chưa có"))</f>
        <v/>
      </c>
      <c r="C1434" s="8"/>
      <c r="D1434" s="8"/>
      <c r="E1434" s="8"/>
      <c r="F1434" s="13"/>
      <c r="G1434" s="14"/>
      <c r="H1434" s="8"/>
      <c r="I1434" s="11" t="str">
        <f aca="false">IF(OR(F1434="",G1434=""),"",ROUND(F1434*G1434,0))</f>
        <v/>
      </c>
    </row>
    <row r="1435" customFormat="false" ht="15" hidden="false" customHeight="false" outlineLevel="0" collapsed="false">
      <c r="A1435" s="8"/>
      <c r="B1435" s="10" t="str">
        <f aca="false">IF(A1435="","",IFERROR(VLOOKUP(A1435,DonHang!$A$2:$C$500,3,FALSE()),"mã đơn chưa có"))</f>
        <v/>
      </c>
      <c r="C1435" s="8"/>
      <c r="D1435" s="8"/>
      <c r="E1435" s="8"/>
      <c r="F1435" s="13"/>
      <c r="G1435" s="14"/>
      <c r="H1435" s="8"/>
      <c r="I1435" s="11" t="str">
        <f aca="false">IF(OR(F1435="",G1435=""),"",ROUND(F1435*G1435,0))</f>
        <v/>
      </c>
    </row>
    <row r="1436" customFormat="false" ht="15" hidden="false" customHeight="false" outlineLevel="0" collapsed="false">
      <c r="A1436" s="8"/>
      <c r="B1436" s="10" t="str">
        <f aca="false">IF(A1436="","",IFERROR(VLOOKUP(A1436,DonHang!$A$2:$C$500,3,FALSE()),"mã đơn chưa có"))</f>
        <v/>
      </c>
      <c r="C1436" s="8"/>
      <c r="D1436" s="8"/>
      <c r="E1436" s="8"/>
      <c r="F1436" s="13"/>
      <c r="G1436" s="14"/>
      <c r="H1436" s="8"/>
      <c r="I1436" s="11" t="str">
        <f aca="false">IF(OR(F1436="",G1436=""),"",ROUND(F1436*G1436,0))</f>
        <v/>
      </c>
    </row>
    <row r="1437" customFormat="false" ht="15" hidden="false" customHeight="false" outlineLevel="0" collapsed="false">
      <c r="A1437" s="8"/>
      <c r="B1437" s="10" t="str">
        <f aca="false">IF(A1437="","",IFERROR(VLOOKUP(A1437,DonHang!$A$2:$C$500,3,FALSE()),"mã đơn chưa có"))</f>
        <v/>
      </c>
      <c r="C1437" s="8"/>
      <c r="D1437" s="8"/>
      <c r="E1437" s="8"/>
      <c r="F1437" s="13"/>
      <c r="G1437" s="14"/>
      <c r="H1437" s="8"/>
      <c r="I1437" s="11" t="str">
        <f aca="false">IF(OR(F1437="",G1437=""),"",ROUND(F1437*G1437,0))</f>
        <v/>
      </c>
    </row>
    <row r="1438" customFormat="false" ht="15" hidden="false" customHeight="false" outlineLevel="0" collapsed="false">
      <c r="A1438" s="8"/>
      <c r="B1438" s="10" t="str">
        <f aca="false">IF(A1438="","",IFERROR(VLOOKUP(A1438,DonHang!$A$2:$C$500,3,FALSE()),"mã đơn chưa có"))</f>
        <v/>
      </c>
      <c r="C1438" s="8"/>
      <c r="D1438" s="8"/>
      <c r="E1438" s="8"/>
      <c r="F1438" s="13"/>
      <c r="G1438" s="14"/>
      <c r="H1438" s="8"/>
      <c r="I1438" s="11" t="str">
        <f aca="false">IF(OR(F1438="",G1438=""),"",ROUND(F1438*G1438,0))</f>
        <v/>
      </c>
    </row>
    <row r="1439" customFormat="false" ht="15" hidden="false" customHeight="false" outlineLevel="0" collapsed="false">
      <c r="A1439" s="8"/>
      <c r="B1439" s="10" t="str">
        <f aca="false">IF(A1439="","",IFERROR(VLOOKUP(A1439,DonHang!$A$2:$C$500,3,FALSE()),"mã đơn chưa có"))</f>
        <v/>
      </c>
      <c r="C1439" s="8"/>
      <c r="D1439" s="8"/>
      <c r="E1439" s="8"/>
      <c r="F1439" s="13"/>
      <c r="G1439" s="14"/>
      <c r="H1439" s="8"/>
      <c r="I1439" s="11" t="str">
        <f aca="false">IF(OR(F1439="",G1439=""),"",ROUND(F1439*G1439,0))</f>
        <v/>
      </c>
    </row>
    <row r="1440" customFormat="false" ht="15" hidden="false" customHeight="false" outlineLevel="0" collapsed="false">
      <c r="A1440" s="8"/>
      <c r="B1440" s="10" t="str">
        <f aca="false">IF(A1440="","",IFERROR(VLOOKUP(A1440,DonHang!$A$2:$C$500,3,FALSE()),"mã đơn chưa có"))</f>
        <v/>
      </c>
      <c r="C1440" s="8"/>
      <c r="D1440" s="8"/>
      <c r="E1440" s="8"/>
      <c r="F1440" s="13"/>
      <c r="G1440" s="14"/>
      <c r="H1440" s="8"/>
      <c r="I1440" s="11" t="str">
        <f aca="false">IF(OR(F1440="",G1440=""),"",ROUND(F1440*G1440,0))</f>
        <v/>
      </c>
    </row>
    <row r="1441" customFormat="false" ht="15" hidden="false" customHeight="false" outlineLevel="0" collapsed="false">
      <c r="A1441" s="8"/>
      <c r="B1441" s="10" t="str">
        <f aca="false">IF(A1441="","",IFERROR(VLOOKUP(A1441,DonHang!$A$2:$C$500,3,FALSE()),"mã đơn chưa có"))</f>
        <v/>
      </c>
      <c r="C1441" s="8"/>
      <c r="D1441" s="8"/>
      <c r="E1441" s="8"/>
      <c r="F1441" s="13"/>
      <c r="G1441" s="14"/>
      <c r="H1441" s="8"/>
      <c r="I1441" s="11" t="str">
        <f aca="false">IF(OR(F1441="",G1441=""),"",ROUND(F1441*G1441,0))</f>
        <v/>
      </c>
    </row>
    <row r="1442" customFormat="false" ht="15" hidden="false" customHeight="false" outlineLevel="0" collapsed="false">
      <c r="A1442" s="8"/>
      <c r="B1442" s="10" t="str">
        <f aca="false">IF(A1442="","",IFERROR(VLOOKUP(A1442,DonHang!$A$2:$C$500,3,FALSE()),"mã đơn chưa có"))</f>
        <v/>
      </c>
      <c r="C1442" s="8"/>
      <c r="D1442" s="8"/>
      <c r="E1442" s="8"/>
      <c r="F1442" s="13"/>
      <c r="G1442" s="14"/>
      <c r="H1442" s="8"/>
      <c r="I1442" s="11" t="str">
        <f aca="false">IF(OR(F1442="",G1442=""),"",ROUND(F1442*G1442,0))</f>
        <v/>
      </c>
    </row>
    <row r="1443" customFormat="false" ht="15" hidden="false" customHeight="false" outlineLevel="0" collapsed="false">
      <c r="A1443" s="8"/>
      <c r="B1443" s="10" t="str">
        <f aca="false">IF(A1443="","",IFERROR(VLOOKUP(A1443,DonHang!$A$2:$C$500,3,FALSE()),"mã đơn chưa có"))</f>
        <v/>
      </c>
      <c r="C1443" s="8"/>
      <c r="D1443" s="8"/>
      <c r="E1443" s="8"/>
      <c r="F1443" s="13"/>
      <c r="G1443" s="14"/>
      <c r="H1443" s="8"/>
      <c r="I1443" s="11" t="str">
        <f aca="false">IF(OR(F1443="",G1443=""),"",ROUND(F1443*G1443,0))</f>
        <v/>
      </c>
    </row>
    <row r="1444" customFormat="false" ht="15" hidden="false" customHeight="false" outlineLevel="0" collapsed="false">
      <c r="A1444" s="8"/>
      <c r="B1444" s="10" t="str">
        <f aca="false">IF(A1444="","",IFERROR(VLOOKUP(A1444,DonHang!$A$2:$C$500,3,FALSE()),"mã đơn chưa có"))</f>
        <v/>
      </c>
      <c r="C1444" s="8"/>
      <c r="D1444" s="8"/>
      <c r="E1444" s="8"/>
      <c r="F1444" s="13"/>
      <c r="G1444" s="14"/>
      <c r="H1444" s="8"/>
      <c r="I1444" s="11" t="str">
        <f aca="false">IF(OR(F1444="",G1444=""),"",ROUND(F1444*G1444,0))</f>
        <v/>
      </c>
    </row>
    <row r="1445" customFormat="false" ht="15" hidden="false" customHeight="false" outlineLevel="0" collapsed="false">
      <c r="A1445" s="8"/>
      <c r="B1445" s="10" t="str">
        <f aca="false">IF(A1445="","",IFERROR(VLOOKUP(A1445,DonHang!$A$2:$C$500,3,FALSE()),"mã đơn chưa có"))</f>
        <v/>
      </c>
      <c r="C1445" s="8"/>
      <c r="D1445" s="8"/>
      <c r="E1445" s="8"/>
      <c r="F1445" s="13"/>
      <c r="G1445" s="14"/>
      <c r="H1445" s="8"/>
      <c r="I1445" s="11" t="str">
        <f aca="false">IF(OR(F1445="",G1445=""),"",ROUND(F1445*G1445,0))</f>
        <v/>
      </c>
    </row>
    <row r="1446" customFormat="false" ht="15" hidden="false" customHeight="false" outlineLevel="0" collapsed="false">
      <c r="A1446" s="8"/>
      <c r="B1446" s="10" t="str">
        <f aca="false">IF(A1446="","",IFERROR(VLOOKUP(A1446,DonHang!$A$2:$C$500,3,FALSE()),"mã đơn chưa có"))</f>
        <v/>
      </c>
      <c r="C1446" s="8"/>
      <c r="D1446" s="8"/>
      <c r="E1446" s="8"/>
      <c r="F1446" s="13"/>
      <c r="G1446" s="14"/>
      <c r="H1446" s="8"/>
      <c r="I1446" s="11" t="str">
        <f aca="false">IF(OR(F1446="",G1446=""),"",ROUND(F1446*G1446,0))</f>
        <v/>
      </c>
    </row>
    <row r="1447" customFormat="false" ht="15" hidden="false" customHeight="false" outlineLevel="0" collapsed="false">
      <c r="A1447" s="8"/>
      <c r="B1447" s="10" t="str">
        <f aca="false">IF(A1447="","",IFERROR(VLOOKUP(A1447,DonHang!$A$2:$C$500,3,FALSE()),"mã đơn chưa có"))</f>
        <v/>
      </c>
      <c r="C1447" s="8"/>
      <c r="D1447" s="8"/>
      <c r="E1447" s="8"/>
      <c r="F1447" s="13"/>
      <c r="G1447" s="14"/>
      <c r="H1447" s="8"/>
      <c r="I1447" s="11" t="str">
        <f aca="false">IF(OR(F1447="",G1447=""),"",ROUND(F1447*G1447,0))</f>
        <v/>
      </c>
    </row>
    <row r="1448" customFormat="false" ht="15" hidden="false" customHeight="false" outlineLevel="0" collapsed="false">
      <c r="A1448" s="8"/>
      <c r="B1448" s="10" t="str">
        <f aca="false">IF(A1448="","",IFERROR(VLOOKUP(A1448,DonHang!$A$2:$C$500,3,FALSE()),"mã đơn chưa có"))</f>
        <v/>
      </c>
      <c r="C1448" s="8"/>
      <c r="D1448" s="8"/>
      <c r="E1448" s="8"/>
      <c r="F1448" s="13"/>
      <c r="G1448" s="14"/>
      <c r="H1448" s="8"/>
      <c r="I1448" s="11" t="str">
        <f aca="false">IF(OR(F1448="",G1448=""),"",ROUND(F1448*G1448,0))</f>
        <v/>
      </c>
    </row>
    <row r="1449" customFormat="false" ht="15" hidden="false" customHeight="false" outlineLevel="0" collapsed="false">
      <c r="A1449" s="8"/>
      <c r="B1449" s="10" t="str">
        <f aca="false">IF(A1449="","",IFERROR(VLOOKUP(A1449,DonHang!$A$2:$C$500,3,FALSE()),"mã đơn chưa có"))</f>
        <v/>
      </c>
      <c r="C1449" s="8"/>
      <c r="D1449" s="8"/>
      <c r="E1449" s="8"/>
      <c r="F1449" s="13"/>
      <c r="G1449" s="14"/>
      <c r="H1449" s="8"/>
      <c r="I1449" s="11" t="str">
        <f aca="false">IF(OR(F1449="",G1449=""),"",ROUND(F1449*G1449,0))</f>
        <v/>
      </c>
    </row>
    <row r="1450" customFormat="false" ht="15" hidden="false" customHeight="false" outlineLevel="0" collapsed="false">
      <c r="A1450" s="8"/>
      <c r="B1450" s="10" t="str">
        <f aca="false">IF(A1450="","",IFERROR(VLOOKUP(A1450,DonHang!$A$2:$C$500,3,FALSE()),"mã đơn chưa có"))</f>
        <v/>
      </c>
      <c r="C1450" s="8"/>
      <c r="D1450" s="8"/>
      <c r="E1450" s="8"/>
      <c r="F1450" s="13"/>
      <c r="G1450" s="14"/>
      <c r="H1450" s="8"/>
      <c r="I1450" s="11" t="str">
        <f aca="false">IF(OR(F1450="",G1450=""),"",ROUND(F1450*G1450,0))</f>
        <v/>
      </c>
    </row>
    <row r="1451" customFormat="false" ht="15" hidden="false" customHeight="false" outlineLevel="0" collapsed="false">
      <c r="A1451" s="8"/>
      <c r="B1451" s="10" t="str">
        <f aca="false">IF(A1451="","",IFERROR(VLOOKUP(A1451,DonHang!$A$2:$C$500,3,FALSE()),"mã đơn chưa có"))</f>
        <v/>
      </c>
      <c r="C1451" s="8"/>
      <c r="D1451" s="8"/>
      <c r="E1451" s="8"/>
      <c r="F1451" s="13"/>
      <c r="G1451" s="14"/>
      <c r="H1451" s="8"/>
      <c r="I1451" s="11" t="str">
        <f aca="false">IF(OR(F1451="",G1451=""),"",ROUND(F1451*G1451,0))</f>
        <v/>
      </c>
    </row>
    <row r="1452" customFormat="false" ht="15" hidden="false" customHeight="false" outlineLevel="0" collapsed="false">
      <c r="A1452" s="8"/>
      <c r="B1452" s="10" t="str">
        <f aca="false">IF(A1452="","",IFERROR(VLOOKUP(A1452,DonHang!$A$2:$C$500,3,FALSE()),"mã đơn chưa có"))</f>
        <v/>
      </c>
      <c r="C1452" s="8"/>
      <c r="D1452" s="8"/>
      <c r="E1452" s="8"/>
      <c r="F1452" s="13"/>
      <c r="G1452" s="14"/>
      <c r="H1452" s="8"/>
      <c r="I1452" s="11" t="str">
        <f aca="false">IF(OR(F1452="",G1452=""),"",ROUND(F1452*G1452,0))</f>
        <v/>
      </c>
    </row>
    <row r="1453" customFormat="false" ht="15" hidden="false" customHeight="false" outlineLevel="0" collapsed="false">
      <c r="A1453" s="8"/>
      <c r="B1453" s="10" t="str">
        <f aca="false">IF(A1453="","",IFERROR(VLOOKUP(A1453,DonHang!$A$2:$C$500,3,FALSE()),"mã đơn chưa có"))</f>
        <v/>
      </c>
      <c r="C1453" s="8"/>
      <c r="D1453" s="8"/>
      <c r="E1453" s="8"/>
      <c r="F1453" s="13"/>
      <c r="G1453" s="14"/>
      <c r="H1453" s="8"/>
      <c r="I1453" s="11" t="str">
        <f aca="false">IF(OR(F1453="",G1453=""),"",ROUND(F1453*G1453,0))</f>
        <v/>
      </c>
    </row>
    <row r="1454" customFormat="false" ht="15" hidden="false" customHeight="false" outlineLevel="0" collapsed="false">
      <c r="A1454" s="8"/>
      <c r="B1454" s="10" t="str">
        <f aca="false">IF(A1454="","",IFERROR(VLOOKUP(A1454,DonHang!$A$2:$C$500,3,FALSE()),"mã đơn chưa có"))</f>
        <v/>
      </c>
      <c r="C1454" s="8"/>
      <c r="D1454" s="8"/>
      <c r="E1454" s="8"/>
      <c r="F1454" s="13"/>
      <c r="G1454" s="14"/>
      <c r="H1454" s="8"/>
      <c r="I1454" s="11" t="str">
        <f aca="false">IF(OR(F1454="",G1454=""),"",ROUND(F1454*G1454,0))</f>
        <v/>
      </c>
    </row>
    <row r="1455" customFormat="false" ht="15" hidden="false" customHeight="false" outlineLevel="0" collapsed="false">
      <c r="A1455" s="8"/>
      <c r="B1455" s="10" t="str">
        <f aca="false">IF(A1455="","",IFERROR(VLOOKUP(A1455,DonHang!$A$2:$C$500,3,FALSE()),"mã đơn chưa có"))</f>
        <v/>
      </c>
      <c r="C1455" s="8"/>
      <c r="D1455" s="8"/>
      <c r="E1455" s="8"/>
      <c r="F1455" s="13"/>
      <c r="G1455" s="14"/>
      <c r="H1455" s="8"/>
      <c r="I1455" s="11" t="str">
        <f aca="false">IF(OR(F1455="",G1455=""),"",ROUND(F1455*G1455,0))</f>
        <v/>
      </c>
    </row>
    <row r="1456" customFormat="false" ht="15" hidden="false" customHeight="false" outlineLevel="0" collapsed="false">
      <c r="A1456" s="8"/>
      <c r="B1456" s="10" t="str">
        <f aca="false">IF(A1456="","",IFERROR(VLOOKUP(A1456,DonHang!$A$2:$C$500,3,FALSE()),"mã đơn chưa có"))</f>
        <v/>
      </c>
      <c r="C1456" s="8"/>
      <c r="D1456" s="8"/>
      <c r="E1456" s="8"/>
      <c r="F1456" s="13"/>
      <c r="G1456" s="14"/>
      <c r="H1456" s="8"/>
      <c r="I1456" s="11" t="str">
        <f aca="false">IF(OR(F1456="",G1456=""),"",ROUND(F1456*G1456,0))</f>
        <v/>
      </c>
    </row>
    <row r="1457" customFormat="false" ht="15" hidden="false" customHeight="false" outlineLevel="0" collapsed="false">
      <c r="A1457" s="8"/>
      <c r="B1457" s="10" t="str">
        <f aca="false">IF(A1457="","",IFERROR(VLOOKUP(A1457,DonHang!$A$2:$C$500,3,FALSE()),"mã đơn chưa có"))</f>
        <v/>
      </c>
      <c r="C1457" s="8"/>
      <c r="D1457" s="8"/>
      <c r="E1457" s="8"/>
      <c r="F1457" s="13"/>
      <c r="G1457" s="14"/>
      <c r="H1457" s="8"/>
      <c r="I1457" s="11" t="str">
        <f aca="false">IF(OR(F1457="",G1457=""),"",ROUND(F1457*G1457,0))</f>
        <v/>
      </c>
    </row>
    <row r="1458" customFormat="false" ht="15" hidden="false" customHeight="false" outlineLevel="0" collapsed="false">
      <c r="A1458" s="8"/>
      <c r="B1458" s="10" t="str">
        <f aca="false">IF(A1458="","",IFERROR(VLOOKUP(A1458,DonHang!$A$2:$C$500,3,FALSE()),"mã đơn chưa có"))</f>
        <v/>
      </c>
      <c r="C1458" s="8"/>
      <c r="D1458" s="8"/>
      <c r="E1458" s="8"/>
      <c r="F1458" s="13"/>
      <c r="G1458" s="14"/>
      <c r="H1458" s="8"/>
      <c r="I1458" s="11" t="str">
        <f aca="false">IF(OR(F1458="",G1458=""),"",ROUND(F1458*G1458,0))</f>
        <v/>
      </c>
    </row>
    <row r="1459" customFormat="false" ht="15" hidden="false" customHeight="false" outlineLevel="0" collapsed="false">
      <c r="A1459" s="8"/>
      <c r="B1459" s="10" t="str">
        <f aca="false">IF(A1459="","",IFERROR(VLOOKUP(A1459,DonHang!$A$2:$C$500,3,FALSE()),"mã đơn chưa có"))</f>
        <v/>
      </c>
      <c r="C1459" s="8"/>
      <c r="D1459" s="8"/>
      <c r="E1459" s="8"/>
      <c r="F1459" s="13"/>
      <c r="G1459" s="14"/>
      <c r="H1459" s="8"/>
      <c r="I1459" s="11" t="str">
        <f aca="false">IF(OR(F1459="",G1459=""),"",ROUND(F1459*G1459,0))</f>
        <v/>
      </c>
    </row>
    <row r="1460" customFormat="false" ht="15" hidden="false" customHeight="false" outlineLevel="0" collapsed="false">
      <c r="A1460" s="8"/>
      <c r="B1460" s="10" t="str">
        <f aca="false">IF(A1460="","",IFERROR(VLOOKUP(A1460,DonHang!$A$2:$C$500,3,FALSE()),"mã đơn chưa có"))</f>
        <v/>
      </c>
      <c r="C1460" s="8"/>
      <c r="D1460" s="8"/>
      <c r="E1460" s="8"/>
      <c r="F1460" s="13"/>
      <c r="G1460" s="14"/>
      <c r="H1460" s="8"/>
      <c r="I1460" s="11" t="str">
        <f aca="false">IF(OR(F1460="",G1460=""),"",ROUND(F1460*G1460,0))</f>
        <v/>
      </c>
    </row>
    <row r="1461" customFormat="false" ht="15" hidden="false" customHeight="false" outlineLevel="0" collapsed="false">
      <c r="A1461" s="8"/>
      <c r="B1461" s="10" t="str">
        <f aca="false">IF(A1461="","",IFERROR(VLOOKUP(A1461,DonHang!$A$2:$C$500,3,FALSE()),"mã đơn chưa có"))</f>
        <v/>
      </c>
      <c r="C1461" s="8"/>
      <c r="D1461" s="8"/>
      <c r="E1461" s="8"/>
      <c r="F1461" s="13"/>
      <c r="G1461" s="14"/>
      <c r="H1461" s="8"/>
      <c r="I1461" s="11" t="str">
        <f aca="false">IF(OR(F1461="",G1461=""),"",ROUND(F1461*G1461,0))</f>
        <v/>
      </c>
    </row>
    <row r="1462" customFormat="false" ht="15" hidden="false" customHeight="false" outlineLevel="0" collapsed="false">
      <c r="A1462" s="8"/>
      <c r="B1462" s="10" t="str">
        <f aca="false">IF(A1462="","",IFERROR(VLOOKUP(A1462,DonHang!$A$2:$C$500,3,FALSE()),"mã đơn chưa có"))</f>
        <v/>
      </c>
      <c r="C1462" s="8"/>
      <c r="D1462" s="8"/>
      <c r="E1462" s="8"/>
      <c r="F1462" s="13"/>
      <c r="G1462" s="14"/>
      <c r="H1462" s="8"/>
      <c r="I1462" s="11" t="str">
        <f aca="false">IF(OR(F1462="",G1462=""),"",ROUND(F1462*G1462,0))</f>
        <v/>
      </c>
    </row>
    <row r="1463" customFormat="false" ht="15" hidden="false" customHeight="false" outlineLevel="0" collapsed="false">
      <c r="A1463" s="8"/>
      <c r="B1463" s="10" t="str">
        <f aca="false">IF(A1463="","",IFERROR(VLOOKUP(A1463,DonHang!$A$2:$C$500,3,FALSE()),"mã đơn chưa có"))</f>
        <v/>
      </c>
      <c r="C1463" s="8"/>
      <c r="D1463" s="8"/>
      <c r="E1463" s="8"/>
      <c r="F1463" s="13"/>
      <c r="G1463" s="14"/>
      <c r="H1463" s="8"/>
      <c r="I1463" s="11" t="str">
        <f aca="false">IF(OR(F1463="",G1463=""),"",ROUND(F1463*G1463,0))</f>
        <v/>
      </c>
    </row>
    <row r="1464" customFormat="false" ht="15" hidden="false" customHeight="false" outlineLevel="0" collapsed="false">
      <c r="A1464" s="8"/>
      <c r="B1464" s="10" t="str">
        <f aca="false">IF(A1464="","",IFERROR(VLOOKUP(A1464,DonHang!$A$2:$C$500,3,FALSE()),"mã đơn chưa có"))</f>
        <v/>
      </c>
      <c r="C1464" s="8"/>
      <c r="D1464" s="8"/>
      <c r="E1464" s="8"/>
      <c r="F1464" s="13"/>
      <c r="G1464" s="14"/>
      <c r="H1464" s="8"/>
      <c r="I1464" s="11" t="str">
        <f aca="false">IF(OR(F1464="",G1464=""),"",ROUND(F1464*G1464,0))</f>
        <v/>
      </c>
    </row>
    <row r="1465" customFormat="false" ht="15" hidden="false" customHeight="false" outlineLevel="0" collapsed="false">
      <c r="A1465" s="8"/>
      <c r="B1465" s="10" t="str">
        <f aca="false">IF(A1465="","",IFERROR(VLOOKUP(A1465,DonHang!$A$2:$C$500,3,FALSE()),"mã đơn chưa có"))</f>
        <v/>
      </c>
      <c r="C1465" s="8"/>
      <c r="D1465" s="8"/>
      <c r="E1465" s="8"/>
      <c r="F1465" s="13"/>
      <c r="G1465" s="14"/>
      <c r="H1465" s="8"/>
      <c r="I1465" s="11" t="str">
        <f aca="false">IF(OR(F1465="",G1465=""),"",ROUND(F1465*G1465,0))</f>
        <v/>
      </c>
    </row>
    <row r="1466" customFormat="false" ht="15" hidden="false" customHeight="false" outlineLevel="0" collapsed="false">
      <c r="A1466" s="8"/>
      <c r="B1466" s="10" t="str">
        <f aca="false">IF(A1466="","",IFERROR(VLOOKUP(A1466,DonHang!$A$2:$C$500,3,FALSE()),"mã đơn chưa có"))</f>
        <v/>
      </c>
      <c r="C1466" s="8"/>
      <c r="D1466" s="8"/>
      <c r="E1466" s="8"/>
      <c r="F1466" s="13"/>
      <c r="G1466" s="14"/>
      <c r="H1466" s="8"/>
      <c r="I1466" s="11" t="str">
        <f aca="false">IF(OR(F1466="",G1466=""),"",ROUND(F1466*G1466,0))</f>
        <v/>
      </c>
    </row>
    <row r="1467" customFormat="false" ht="15" hidden="false" customHeight="false" outlineLevel="0" collapsed="false">
      <c r="A1467" s="8"/>
      <c r="B1467" s="10" t="str">
        <f aca="false">IF(A1467="","",IFERROR(VLOOKUP(A1467,DonHang!$A$2:$C$500,3,FALSE()),"mã đơn chưa có"))</f>
        <v/>
      </c>
      <c r="C1467" s="8"/>
      <c r="D1467" s="8"/>
      <c r="E1467" s="8"/>
      <c r="F1467" s="13"/>
      <c r="G1467" s="14"/>
      <c r="H1467" s="8"/>
      <c r="I1467" s="11" t="str">
        <f aca="false">IF(OR(F1467="",G1467=""),"",ROUND(F1467*G1467,0))</f>
        <v/>
      </c>
    </row>
    <row r="1468" customFormat="false" ht="15" hidden="false" customHeight="false" outlineLevel="0" collapsed="false">
      <c r="A1468" s="8"/>
      <c r="B1468" s="10" t="str">
        <f aca="false">IF(A1468="","",IFERROR(VLOOKUP(A1468,DonHang!$A$2:$C$500,3,FALSE()),"mã đơn chưa có"))</f>
        <v/>
      </c>
      <c r="C1468" s="8"/>
      <c r="D1468" s="8"/>
      <c r="E1468" s="8"/>
      <c r="F1468" s="13"/>
      <c r="G1468" s="14"/>
      <c r="H1468" s="8"/>
      <c r="I1468" s="11" t="str">
        <f aca="false">IF(OR(F1468="",G1468=""),"",ROUND(F1468*G1468,0))</f>
        <v/>
      </c>
    </row>
    <row r="1469" customFormat="false" ht="15" hidden="false" customHeight="false" outlineLevel="0" collapsed="false">
      <c r="A1469" s="8"/>
      <c r="B1469" s="10" t="str">
        <f aca="false">IF(A1469="","",IFERROR(VLOOKUP(A1469,DonHang!$A$2:$C$500,3,FALSE()),"mã đơn chưa có"))</f>
        <v/>
      </c>
      <c r="C1469" s="8"/>
      <c r="D1469" s="8"/>
      <c r="E1469" s="8"/>
      <c r="F1469" s="13"/>
      <c r="G1469" s="14"/>
      <c r="H1469" s="8"/>
      <c r="I1469" s="11" t="str">
        <f aca="false">IF(OR(F1469="",G1469=""),"",ROUND(F1469*G1469,0))</f>
        <v/>
      </c>
    </row>
    <row r="1470" customFormat="false" ht="15" hidden="false" customHeight="false" outlineLevel="0" collapsed="false">
      <c r="A1470" s="8"/>
      <c r="B1470" s="10" t="str">
        <f aca="false">IF(A1470="","",IFERROR(VLOOKUP(A1470,DonHang!$A$2:$C$500,3,FALSE()),"mã đơn chưa có"))</f>
        <v/>
      </c>
      <c r="C1470" s="8"/>
      <c r="D1470" s="8"/>
      <c r="E1470" s="8"/>
      <c r="F1470" s="13"/>
      <c r="G1470" s="14"/>
      <c r="H1470" s="8"/>
      <c r="I1470" s="11" t="str">
        <f aca="false">IF(OR(F1470="",G1470=""),"",ROUND(F1470*G1470,0))</f>
        <v/>
      </c>
    </row>
    <row r="1471" customFormat="false" ht="15" hidden="false" customHeight="false" outlineLevel="0" collapsed="false">
      <c r="A1471" s="8"/>
      <c r="B1471" s="10" t="str">
        <f aca="false">IF(A1471="","",IFERROR(VLOOKUP(A1471,DonHang!$A$2:$C$500,3,FALSE()),"mã đơn chưa có"))</f>
        <v/>
      </c>
      <c r="C1471" s="8"/>
      <c r="D1471" s="8"/>
      <c r="E1471" s="8"/>
      <c r="F1471" s="13"/>
      <c r="G1471" s="14"/>
      <c r="H1471" s="8"/>
      <c r="I1471" s="11" t="str">
        <f aca="false">IF(OR(F1471="",G1471=""),"",ROUND(F1471*G1471,0))</f>
        <v/>
      </c>
    </row>
    <row r="1472" customFormat="false" ht="15" hidden="false" customHeight="false" outlineLevel="0" collapsed="false">
      <c r="A1472" s="8"/>
      <c r="B1472" s="10" t="str">
        <f aca="false">IF(A1472="","",IFERROR(VLOOKUP(A1472,DonHang!$A$2:$C$500,3,FALSE()),"mã đơn chưa có"))</f>
        <v/>
      </c>
      <c r="C1472" s="8"/>
      <c r="D1472" s="8"/>
      <c r="E1472" s="8"/>
      <c r="F1472" s="13"/>
      <c r="G1472" s="14"/>
      <c r="H1472" s="8"/>
      <c r="I1472" s="11" t="str">
        <f aca="false">IF(OR(F1472="",G1472=""),"",ROUND(F1472*G1472,0))</f>
        <v/>
      </c>
    </row>
    <row r="1473" customFormat="false" ht="15" hidden="false" customHeight="false" outlineLevel="0" collapsed="false">
      <c r="A1473" s="8"/>
      <c r="B1473" s="10" t="str">
        <f aca="false">IF(A1473="","",IFERROR(VLOOKUP(A1473,DonHang!$A$2:$C$500,3,FALSE()),"mã đơn chưa có"))</f>
        <v/>
      </c>
      <c r="C1473" s="8"/>
      <c r="D1473" s="8"/>
      <c r="E1473" s="8"/>
      <c r="F1473" s="13"/>
      <c r="G1473" s="14"/>
      <c r="H1473" s="8"/>
      <c r="I1473" s="11" t="str">
        <f aca="false">IF(OR(F1473="",G1473=""),"",ROUND(F1473*G1473,0))</f>
        <v/>
      </c>
    </row>
    <row r="1474" customFormat="false" ht="15" hidden="false" customHeight="false" outlineLevel="0" collapsed="false">
      <c r="A1474" s="8"/>
      <c r="B1474" s="10" t="str">
        <f aca="false">IF(A1474="","",IFERROR(VLOOKUP(A1474,DonHang!$A$2:$C$500,3,FALSE()),"mã đơn chưa có"))</f>
        <v/>
      </c>
      <c r="C1474" s="8"/>
      <c r="D1474" s="8"/>
      <c r="E1474" s="8"/>
      <c r="F1474" s="13"/>
      <c r="G1474" s="14"/>
      <c r="H1474" s="8"/>
      <c r="I1474" s="11" t="str">
        <f aca="false">IF(OR(F1474="",G1474=""),"",ROUND(F1474*G1474,0))</f>
        <v/>
      </c>
    </row>
    <row r="1475" customFormat="false" ht="15" hidden="false" customHeight="false" outlineLevel="0" collapsed="false">
      <c r="A1475" s="8"/>
      <c r="B1475" s="10" t="str">
        <f aca="false">IF(A1475="","",IFERROR(VLOOKUP(A1475,DonHang!$A$2:$C$500,3,FALSE()),"mã đơn chưa có"))</f>
        <v/>
      </c>
      <c r="C1475" s="8"/>
      <c r="D1475" s="8"/>
      <c r="E1475" s="8"/>
      <c r="F1475" s="13"/>
      <c r="G1475" s="14"/>
      <c r="H1475" s="8"/>
      <c r="I1475" s="11" t="str">
        <f aca="false">IF(OR(F1475="",G1475=""),"",ROUND(F1475*G1475,0))</f>
        <v/>
      </c>
    </row>
    <row r="1476" customFormat="false" ht="15" hidden="false" customHeight="false" outlineLevel="0" collapsed="false">
      <c r="A1476" s="8"/>
      <c r="B1476" s="10" t="str">
        <f aca="false">IF(A1476="","",IFERROR(VLOOKUP(A1476,DonHang!$A$2:$C$500,3,FALSE()),"mã đơn chưa có"))</f>
        <v/>
      </c>
      <c r="C1476" s="8"/>
      <c r="D1476" s="8"/>
      <c r="E1476" s="8"/>
      <c r="F1476" s="13"/>
      <c r="G1476" s="14"/>
      <c r="H1476" s="8"/>
      <c r="I1476" s="11" t="str">
        <f aca="false">IF(OR(F1476="",G1476=""),"",ROUND(F1476*G1476,0))</f>
        <v/>
      </c>
    </row>
    <row r="1477" customFormat="false" ht="15" hidden="false" customHeight="false" outlineLevel="0" collapsed="false">
      <c r="A1477" s="8"/>
      <c r="B1477" s="10" t="str">
        <f aca="false">IF(A1477="","",IFERROR(VLOOKUP(A1477,DonHang!$A$2:$C$500,3,FALSE()),"mã đơn chưa có"))</f>
        <v/>
      </c>
      <c r="C1477" s="8"/>
      <c r="D1477" s="8"/>
      <c r="E1477" s="8"/>
      <c r="F1477" s="13"/>
      <c r="G1477" s="14"/>
      <c r="H1477" s="8"/>
      <c r="I1477" s="11" t="str">
        <f aca="false">IF(OR(F1477="",G1477=""),"",ROUND(F1477*G1477,0))</f>
        <v/>
      </c>
    </row>
    <row r="1478" customFormat="false" ht="15" hidden="false" customHeight="false" outlineLevel="0" collapsed="false">
      <c r="A1478" s="8"/>
      <c r="B1478" s="10" t="str">
        <f aca="false">IF(A1478="","",IFERROR(VLOOKUP(A1478,DonHang!$A$2:$C$500,3,FALSE()),"mã đơn chưa có"))</f>
        <v/>
      </c>
      <c r="C1478" s="8"/>
      <c r="D1478" s="8"/>
      <c r="E1478" s="8"/>
      <c r="F1478" s="13"/>
      <c r="G1478" s="14"/>
      <c r="H1478" s="8"/>
      <c r="I1478" s="11" t="str">
        <f aca="false">IF(OR(F1478="",G1478=""),"",ROUND(F1478*G1478,0))</f>
        <v/>
      </c>
    </row>
    <row r="1479" customFormat="false" ht="15" hidden="false" customHeight="false" outlineLevel="0" collapsed="false">
      <c r="A1479" s="8"/>
      <c r="B1479" s="10" t="str">
        <f aca="false">IF(A1479="","",IFERROR(VLOOKUP(A1479,DonHang!$A$2:$C$500,3,FALSE()),"mã đơn chưa có"))</f>
        <v/>
      </c>
      <c r="C1479" s="8"/>
      <c r="D1479" s="8"/>
      <c r="E1479" s="8"/>
      <c r="F1479" s="13"/>
      <c r="G1479" s="14"/>
      <c r="H1479" s="8"/>
      <c r="I1479" s="11" t="str">
        <f aca="false">IF(OR(F1479="",G1479=""),"",ROUND(F1479*G1479,0))</f>
        <v/>
      </c>
    </row>
    <row r="1480" customFormat="false" ht="15" hidden="false" customHeight="false" outlineLevel="0" collapsed="false">
      <c r="A1480" s="8"/>
      <c r="B1480" s="10" t="str">
        <f aca="false">IF(A1480="","",IFERROR(VLOOKUP(A1480,DonHang!$A$2:$C$500,3,FALSE()),"mã đơn chưa có"))</f>
        <v/>
      </c>
      <c r="C1480" s="8"/>
      <c r="D1480" s="8"/>
      <c r="E1480" s="8"/>
      <c r="F1480" s="13"/>
      <c r="G1480" s="14"/>
      <c r="H1480" s="8"/>
      <c r="I1480" s="11" t="str">
        <f aca="false">IF(OR(F1480="",G1480=""),"",ROUND(F1480*G1480,0))</f>
        <v/>
      </c>
    </row>
    <row r="1481" customFormat="false" ht="15" hidden="false" customHeight="false" outlineLevel="0" collapsed="false">
      <c r="A1481" s="8"/>
      <c r="B1481" s="10" t="str">
        <f aca="false">IF(A1481="","",IFERROR(VLOOKUP(A1481,DonHang!$A$2:$C$500,3,FALSE()),"mã đơn chưa có"))</f>
        <v/>
      </c>
      <c r="C1481" s="8"/>
      <c r="D1481" s="8"/>
      <c r="E1481" s="8"/>
      <c r="F1481" s="13"/>
      <c r="G1481" s="14"/>
      <c r="H1481" s="8"/>
      <c r="I1481" s="11" t="str">
        <f aca="false">IF(OR(F1481="",G1481=""),"",ROUND(F1481*G1481,0))</f>
        <v/>
      </c>
    </row>
    <row r="1482" customFormat="false" ht="15" hidden="false" customHeight="false" outlineLevel="0" collapsed="false">
      <c r="A1482" s="8"/>
      <c r="B1482" s="10" t="str">
        <f aca="false">IF(A1482="","",IFERROR(VLOOKUP(A1482,DonHang!$A$2:$C$500,3,FALSE()),"mã đơn chưa có"))</f>
        <v/>
      </c>
      <c r="C1482" s="8"/>
      <c r="D1482" s="8"/>
      <c r="E1482" s="8"/>
      <c r="F1482" s="13"/>
      <c r="G1482" s="14"/>
      <c r="H1482" s="8"/>
      <c r="I1482" s="11" t="str">
        <f aca="false">IF(OR(F1482="",G1482=""),"",ROUND(F1482*G1482,0))</f>
        <v/>
      </c>
    </row>
    <row r="1483" customFormat="false" ht="15" hidden="false" customHeight="false" outlineLevel="0" collapsed="false">
      <c r="A1483" s="8"/>
      <c r="B1483" s="10" t="str">
        <f aca="false">IF(A1483="","",IFERROR(VLOOKUP(A1483,DonHang!$A$2:$C$500,3,FALSE()),"mã đơn chưa có"))</f>
        <v/>
      </c>
      <c r="C1483" s="8"/>
      <c r="D1483" s="8"/>
      <c r="E1483" s="8"/>
      <c r="F1483" s="13"/>
      <c r="G1483" s="14"/>
      <c r="H1483" s="8"/>
      <c r="I1483" s="11" t="str">
        <f aca="false">IF(OR(F1483="",G1483=""),"",ROUND(F1483*G1483,0))</f>
        <v/>
      </c>
    </row>
    <row r="1484" customFormat="false" ht="15" hidden="false" customHeight="false" outlineLevel="0" collapsed="false">
      <c r="A1484" s="8"/>
      <c r="B1484" s="10" t="str">
        <f aca="false">IF(A1484="","",IFERROR(VLOOKUP(A1484,DonHang!$A$2:$C$500,3,FALSE()),"mã đơn chưa có"))</f>
        <v/>
      </c>
      <c r="C1484" s="8"/>
      <c r="D1484" s="8"/>
      <c r="E1484" s="8"/>
      <c r="F1484" s="13"/>
      <c r="G1484" s="14"/>
      <c r="H1484" s="8"/>
      <c r="I1484" s="11" t="str">
        <f aca="false">IF(OR(F1484="",G1484=""),"",ROUND(F1484*G1484,0))</f>
        <v/>
      </c>
    </row>
    <row r="1485" customFormat="false" ht="15" hidden="false" customHeight="false" outlineLevel="0" collapsed="false">
      <c r="A1485" s="8"/>
      <c r="B1485" s="10" t="str">
        <f aca="false">IF(A1485="","",IFERROR(VLOOKUP(A1485,DonHang!$A$2:$C$500,3,FALSE()),"mã đơn chưa có"))</f>
        <v/>
      </c>
      <c r="C1485" s="8"/>
      <c r="D1485" s="8"/>
      <c r="E1485" s="8"/>
      <c r="F1485" s="13"/>
      <c r="G1485" s="14"/>
      <c r="H1485" s="8"/>
      <c r="I1485" s="11" t="str">
        <f aca="false">IF(OR(F1485="",G1485=""),"",ROUND(F1485*G1485,0))</f>
        <v/>
      </c>
    </row>
    <row r="1486" customFormat="false" ht="15" hidden="false" customHeight="false" outlineLevel="0" collapsed="false">
      <c r="A1486" s="8"/>
      <c r="B1486" s="10" t="str">
        <f aca="false">IF(A1486="","",IFERROR(VLOOKUP(A1486,DonHang!$A$2:$C$500,3,FALSE()),"mã đơn chưa có"))</f>
        <v/>
      </c>
      <c r="C1486" s="8"/>
      <c r="D1486" s="8"/>
      <c r="E1486" s="8"/>
      <c r="F1486" s="13"/>
      <c r="G1486" s="14"/>
      <c r="H1486" s="8"/>
      <c r="I1486" s="11" t="str">
        <f aca="false">IF(OR(F1486="",G1486=""),"",ROUND(F1486*G1486,0))</f>
        <v/>
      </c>
    </row>
    <row r="1487" customFormat="false" ht="15" hidden="false" customHeight="false" outlineLevel="0" collapsed="false">
      <c r="A1487" s="8"/>
      <c r="B1487" s="10" t="str">
        <f aca="false">IF(A1487="","",IFERROR(VLOOKUP(A1487,DonHang!$A$2:$C$500,3,FALSE()),"mã đơn chưa có"))</f>
        <v/>
      </c>
      <c r="C1487" s="8"/>
      <c r="D1487" s="8"/>
      <c r="E1487" s="8"/>
      <c r="F1487" s="13"/>
      <c r="G1487" s="14"/>
      <c r="H1487" s="8"/>
      <c r="I1487" s="11" t="str">
        <f aca="false">IF(OR(F1487="",G1487=""),"",ROUND(F1487*G1487,0))</f>
        <v/>
      </c>
    </row>
    <row r="1488" customFormat="false" ht="15" hidden="false" customHeight="false" outlineLevel="0" collapsed="false">
      <c r="A1488" s="8"/>
      <c r="B1488" s="10" t="str">
        <f aca="false">IF(A1488="","",IFERROR(VLOOKUP(A1488,DonHang!$A$2:$C$500,3,FALSE()),"mã đơn chưa có"))</f>
        <v/>
      </c>
      <c r="C1488" s="8"/>
      <c r="D1488" s="8"/>
      <c r="E1488" s="8"/>
      <c r="F1488" s="13"/>
      <c r="G1488" s="14"/>
      <c r="H1488" s="8"/>
      <c r="I1488" s="11" t="str">
        <f aca="false">IF(OR(F1488="",G1488=""),"",ROUND(F1488*G1488,0))</f>
        <v/>
      </c>
    </row>
    <row r="1489" customFormat="false" ht="15" hidden="false" customHeight="false" outlineLevel="0" collapsed="false">
      <c r="A1489" s="8"/>
      <c r="B1489" s="10" t="str">
        <f aca="false">IF(A1489="","",IFERROR(VLOOKUP(A1489,DonHang!$A$2:$C$500,3,FALSE()),"mã đơn chưa có"))</f>
        <v/>
      </c>
      <c r="C1489" s="8"/>
      <c r="D1489" s="8"/>
      <c r="E1489" s="8"/>
      <c r="F1489" s="13"/>
      <c r="G1489" s="14"/>
      <c r="H1489" s="8"/>
      <c r="I1489" s="11" t="str">
        <f aca="false">IF(OR(F1489="",G1489=""),"",ROUND(F1489*G1489,0))</f>
        <v/>
      </c>
    </row>
    <row r="1490" customFormat="false" ht="15" hidden="false" customHeight="false" outlineLevel="0" collapsed="false">
      <c r="A1490" s="8"/>
      <c r="B1490" s="10" t="str">
        <f aca="false">IF(A1490="","",IFERROR(VLOOKUP(A1490,DonHang!$A$2:$C$500,3,FALSE()),"mã đơn chưa có"))</f>
        <v/>
      </c>
      <c r="C1490" s="8"/>
      <c r="D1490" s="8"/>
      <c r="E1490" s="8"/>
      <c r="F1490" s="13"/>
      <c r="G1490" s="14"/>
      <c r="H1490" s="8"/>
      <c r="I1490" s="11" t="str">
        <f aca="false">IF(OR(F1490="",G1490=""),"",ROUND(F1490*G1490,0))</f>
        <v/>
      </c>
    </row>
    <row r="1491" customFormat="false" ht="15" hidden="false" customHeight="false" outlineLevel="0" collapsed="false">
      <c r="A1491" s="8"/>
      <c r="B1491" s="10" t="str">
        <f aca="false">IF(A1491="","",IFERROR(VLOOKUP(A1491,DonHang!$A$2:$C$500,3,FALSE()),"mã đơn chưa có"))</f>
        <v/>
      </c>
      <c r="C1491" s="8"/>
      <c r="D1491" s="8"/>
      <c r="E1491" s="8"/>
      <c r="F1491" s="13"/>
      <c r="G1491" s="14"/>
      <c r="H1491" s="8"/>
      <c r="I1491" s="11" t="str">
        <f aca="false">IF(OR(F1491="",G1491=""),"",ROUND(F1491*G1491,0))</f>
        <v/>
      </c>
    </row>
    <row r="1492" customFormat="false" ht="15" hidden="false" customHeight="false" outlineLevel="0" collapsed="false">
      <c r="A1492" s="8"/>
      <c r="B1492" s="10" t="str">
        <f aca="false">IF(A1492="","",IFERROR(VLOOKUP(A1492,DonHang!$A$2:$C$500,3,FALSE()),"mã đơn chưa có"))</f>
        <v/>
      </c>
      <c r="C1492" s="8"/>
      <c r="D1492" s="8"/>
      <c r="E1492" s="8"/>
      <c r="F1492" s="13"/>
      <c r="G1492" s="14"/>
      <c r="H1492" s="8"/>
      <c r="I1492" s="11" t="str">
        <f aca="false">IF(OR(F1492="",G1492=""),"",ROUND(F1492*G1492,0))</f>
        <v/>
      </c>
    </row>
    <row r="1493" customFormat="false" ht="15" hidden="false" customHeight="false" outlineLevel="0" collapsed="false">
      <c r="A1493" s="8"/>
      <c r="B1493" s="10" t="str">
        <f aca="false">IF(A1493="","",IFERROR(VLOOKUP(A1493,DonHang!$A$2:$C$500,3,FALSE()),"mã đơn chưa có"))</f>
        <v/>
      </c>
      <c r="C1493" s="8"/>
      <c r="D1493" s="8"/>
      <c r="E1493" s="8"/>
      <c r="F1493" s="13"/>
      <c r="G1493" s="14"/>
      <c r="H1493" s="8"/>
      <c r="I1493" s="11" t="str">
        <f aca="false">IF(OR(F1493="",G1493=""),"",ROUND(F1493*G1493,0))</f>
        <v/>
      </c>
    </row>
    <row r="1494" customFormat="false" ht="15" hidden="false" customHeight="false" outlineLevel="0" collapsed="false">
      <c r="A1494" s="8"/>
      <c r="B1494" s="10" t="str">
        <f aca="false">IF(A1494="","",IFERROR(VLOOKUP(A1494,DonHang!$A$2:$C$500,3,FALSE()),"mã đơn chưa có"))</f>
        <v/>
      </c>
      <c r="C1494" s="8"/>
      <c r="D1494" s="8"/>
      <c r="E1494" s="8"/>
      <c r="F1494" s="13"/>
      <c r="G1494" s="14"/>
      <c r="H1494" s="8"/>
      <c r="I1494" s="11" t="str">
        <f aca="false">IF(OR(F1494="",G1494=""),"",ROUND(F1494*G1494,0))</f>
        <v/>
      </c>
    </row>
    <row r="1495" customFormat="false" ht="15" hidden="false" customHeight="false" outlineLevel="0" collapsed="false">
      <c r="A1495" s="8"/>
      <c r="B1495" s="10" t="str">
        <f aca="false">IF(A1495="","",IFERROR(VLOOKUP(A1495,DonHang!$A$2:$C$500,3,FALSE()),"mã đơn chưa có"))</f>
        <v/>
      </c>
      <c r="C1495" s="8"/>
      <c r="D1495" s="8"/>
      <c r="E1495" s="8"/>
      <c r="F1495" s="13"/>
      <c r="G1495" s="14"/>
      <c r="H1495" s="8"/>
      <c r="I1495" s="11" t="str">
        <f aca="false">IF(OR(F1495="",G1495=""),"",ROUND(F1495*G1495,0))</f>
        <v/>
      </c>
    </row>
    <row r="1496" customFormat="false" ht="15" hidden="false" customHeight="false" outlineLevel="0" collapsed="false">
      <c r="A1496" s="8"/>
      <c r="B1496" s="10" t="str">
        <f aca="false">IF(A1496="","",IFERROR(VLOOKUP(A1496,DonHang!$A$2:$C$500,3,FALSE()),"mã đơn chưa có"))</f>
        <v/>
      </c>
      <c r="C1496" s="8"/>
      <c r="D1496" s="8"/>
      <c r="E1496" s="8"/>
      <c r="F1496" s="13"/>
      <c r="G1496" s="14"/>
      <c r="H1496" s="8"/>
      <c r="I1496" s="11" t="str">
        <f aca="false">IF(OR(F1496="",G1496=""),"",ROUND(F1496*G1496,0))</f>
        <v/>
      </c>
    </row>
    <row r="1497" customFormat="false" ht="15" hidden="false" customHeight="false" outlineLevel="0" collapsed="false">
      <c r="A1497" s="8"/>
      <c r="B1497" s="10" t="str">
        <f aca="false">IF(A1497="","",IFERROR(VLOOKUP(A1497,DonHang!$A$2:$C$500,3,FALSE()),"mã đơn chưa có"))</f>
        <v/>
      </c>
      <c r="C1497" s="8"/>
      <c r="D1497" s="8"/>
      <c r="E1497" s="8"/>
      <c r="F1497" s="13"/>
      <c r="G1497" s="14"/>
      <c r="H1497" s="8"/>
      <c r="I1497" s="11" t="str">
        <f aca="false">IF(OR(F1497="",G1497=""),"",ROUND(F1497*G1497,0))</f>
        <v/>
      </c>
    </row>
    <row r="1498" customFormat="false" ht="15" hidden="false" customHeight="false" outlineLevel="0" collapsed="false">
      <c r="A1498" s="8"/>
      <c r="B1498" s="10" t="str">
        <f aca="false">IF(A1498="","",IFERROR(VLOOKUP(A1498,DonHang!$A$2:$C$500,3,FALSE()),"mã đơn chưa có"))</f>
        <v/>
      </c>
      <c r="C1498" s="8"/>
      <c r="D1498" s="8"/>
      <c r="E1498" s="8"/>
      <c r="F1498" s="13"/>
      <c r="G1498" s="14"/>
      <c r="H1498" s="8"/>
      <c r="I1498" s="11" t="str">
        <f aca="false">IF(OR(F1498="",G1498=""),"",ROUND(F1498*G1498,0))</f>
        <v/>
      </c>
    </row>
    <row r="1499" customFormat="false" ht="15" hidden="false" customHeight="false" outlineLevel="0" collapsed="false">
      <c r="A1499" s="8"/>
      <c r="B1499" s="10" t="str">
        <f aca="false">IF(A1499="","",IFERROR(VLOOKUP(A1499,DonHang!$A$2:$C$500,3,FALSE()),"mã đơn chưa có"))</f>
        <v/>
      </c>
      <c r="C1499" s="8"/>
      <c r="D1499" s="8"/>
      <c r="E1499" s="8"/>
      <c r="F1499" s="13"/>
      <c r="G1499" s="14"/>
      <c r="H1499" s="8"/>
      <c r="I1499" s="11" t="str">
        <f aca="false">IF(OR(F1499="",G1499=""),"",ROUND(F1499*G1499,0))</f>
        <v/>
      </c>
    </row>
    <row r="1500" customFormat="false" ht="15" hidden="false" customHeight="false" outlineLevel="0" collapsed="false">
      <c r="A1500" s="8"/>
      <c r="B1500" s="10" t="str">
        <f aca="false">IF(A1500="","",IFERROR(VLOOKUP(A1500,DonHang!$A$2:$C$500,3,FALSE()),"mã đơn chưa có"))</f>
        <v/>
      </c>
      <c r="C1500" s="8"/>
      <c r="D1500" s="8"/>
      <c r="E1500" s="8"/>
      <c r="F1500" s="13"/>
      <c r="G1500" s="14"/>
      <c r="H1500" s="8"/>
      <c r="I1500" s="11" t="str">
        <f aca="false">IF(OR(F1500="",G1500=""),"",ROUND(F1500*G1500,0))</f>
        <v/>
      </c>
    </row>
    <row r="1501" customFormat="false" ht="15" hidden="false" customHeight="false" outlineLevel="0" collapsed="false">
      <c r="A1501" s="8"/>
      <c r="B1501" s="10" t="str">
        <f aca="false">IF(A1501="","",IFERROR(VLOOKUP(A1501,DonHang!$A$2:$C$500,3,FALSE()),"mã đơn chưa có"))</f>
        <v/>
      </c>
      <c r="C1501" s="8"/>
      <c r="D1501" s="8"/>
      <c r="E1501" s="8"/>
      <c r="F1501" s="13"/>
      <c r="G1501" s="14"/>
      <c r="H1501" s="8"/>
      <c r="I1501" s="11" t="str">
        <f aca="false">IF(OR(F1501="",G1501=""),"",ROUND(F1501*G1501,0))</f>
        <v/>
      </c>
    </row>
    <row r="1502" customFormat="false" ht="15" hidden="false" customHeight="false" outlineLevel="0" collapsed="false">
      <c r="A1502" s="8"/>
      <c r="B1502" s="10" t="str">
        <f aca="false">IF(A1502="","",IFERROR(VLOOKUP(A1502,DonHang!$A$2:$C$500,3,FALSE()),"mã đơn chưa có"))</f>
        <v/>
      </c>
      <c r="C1502" s="8"/>
      <c r="D1502" s="8"/>
      <c r="E1502" s="8"/>
      <c r="F1502" s="13"/>
      <c r="G1502" s="14"/>
      <c r="H1502" s="8"/>
      <c r="I1502" s="11" t="str">
        <f aca="false">IF(OR(F1502="",G1502=""),"",ROUND(F1502*G1502,0))</f>
        <v/>
      </c>
    </row>
    <row r="1503" customFormat="false" ht="15" hidden="false" customHeight="false" outlineLevel="0" collapsed="false">
      <c r="A1503" s="8"/>
      <c r="B1503" s="10" t="str">
        <f aca="false">IF(A1503="","",IFERROR(VLOOKUP(A1503,DonHang!$A$2:$C$500,3,FALSE()),"mã đơn chưa có"))</f>
        <v/>
      </c>
      <c r="C1503" s="8"/>
      <c r="D1503" s="8"/>
      <c r="E1503" s="8"/>
      <c r="F1503" s="13"/>
      <c r="G1503" s="14"/>
      <c r="H1503" s="8"/>
      <c r="I1503" s="11" t="str">
        <f aca="false">IF(OR(F1503="",G1503=""),"",ROUND(F1503*G1503,0))</f>
        <v/>
      </c>
    </row>
    <row r="1504" customFormat="false" ht="15" hidden="false" customHeight="false" outlineLevel="0" collapsed="false">
      <c r="A1504" s="8"/>
      <c r="B1504" s="10" t="str">
        <f aca="false">IF(A1504="","",IFERROR(VLOOKUP(A1504,DonHang!$A$2:$C$500,3,FALSE()),"mã đơn chưa có"))</f>
        <v/>
      </c>
      <c r="C1504" s="8"/>
      <c r="D1504" s="8"/>
      <c r="E1504" s="8"/>
      <c r="F1504" s="13"/>
      <c r="G1504" s="14"/>
      <c r="H1504" s="8"/>
      <c r="I1504" s="11" t="str">
        <f aca="false">IF(OR(F1504="",G1504=""),"",ROUND(F1504*G1504,0))</f>
        <v/>
      </c>
    </row>
    <row r="1505" customFormat="false" ht="15" hidden="false" customHeight="false" outlineLevel="0" collapsed="false">
      <c r="A1505" s="8"/>
      <c r="B1505" s="10" t="str">
        <f aca="false">IF(A1505="","",IFERROR(VLOOKUP(A1505,DonHang!$A$2:$C$500,3,FALSE()),"mã đơn chưa có"))</f>
        <v/>
      </c>
      <c r="C1505" s="8"/>
      <c r="D1505" s="8"/>
      <c r="E1505" s="8"/>
      <c r="F1505" s="13"/>
      <c r="G1505" s="14"/>
      <c r="H1505" s="8"/>
      <c r="I1505" s="11" t="str">
        <f aca="false">IF(OR(F1505="",G1505=""),"",ROUND(F1505*G1505,0))</f>
        <v/>
      </c>
    </row>
    <row r="1506" customFormat="false" ht="15" hidden="false" customHeight="false" outlineLevel="0" collapsed="false">
      <c r="A1506" s="8"/>
      <c r="B1506" s="10" t="str">
        <f aca="false">IF(A1506="","",IFERROR(VLOOKUP(A1506,DonHang!$A$2:$C$500,3,FALSE()),"mã đơn chưa có"))</f>
        <v/>
      </c>
      <c r="C1506" s="8"/>
      <c r="D1506" s="8"/>
      <c r="E1506" s="8"/>
      <c r="F1506" s="13"/>
      <c r="G1506" s="14"/>
      <c r="H1506" s="8"/>
      <c r="I1506" s="11" t="str">
        <f aca="false">IF(OR(F1506="",G1506=""),"",ROUND(F1506*G1506,0))</f>
        <v/>
      </c>
    </row>
    <row r="1507" customFormat="false" ht="15" hidden="false" customHeight="false" outlineLevel="0" collapsed="false">
      <c r="A1507" s="8"/>
      <c r="B1507" s="10" t="str">
        <f aca="false">IF(A1507="","",IFERROR(VLOOKUP(A1507,DonHang!$A$2:$C$500,3,FALSE()),"mã đơn chưa có"))</f>
        <v/>
      </c>
      <c r="C1507" s="8"/>
      <c r="D1507" s="8"/>
      <c r="E1507" s="8"/>
      <c r="F1507" s="13"/>
      <c r="G1507" s="14"/>
      <c r="H1507" s="8"/>
      <c r="I1507" s="11" t="str">
        <f aca="false">IF(OR(F1507="",G1507=""),"",ROUND(F1507*G1507,0))</f>
        <v/>
      </c>
    </row>
    <row r="1508" customFormat="false" ht="15" hidden="false" customHeight="false" outlineLevel="0" collapsed="false">
      <c r="A1508" s="8"/>
      <c r="B1508" s="10" t="str">
        <f aca="false">IF(A1508="","",IFERROR(VLOOKUP(A1508,DonHang!$A$2:$C$500,3,FALSE()),"mã đơn chưa có"))</f>
        <v/>
      </c>
      <c r="C1508" s="8"/>
      <c r="D1508" s="8"/>
      <c r="E1508" s="8"/>
      <c r="F1508" s="13"/>
      <c r="G1508" s="14"/>
      <c r="H1508" s="8"/>
      <c r="I1508" s="11" t="str">
        <f aca="false">IF(OR(F1508="",G1508=""),"",ROUND(F1508*G1508,0))</f>
        <v/>
      </c>
    </row>
    <row r="1509" customFormat="false" ht="15" hidden="false" customHeight="false" outlineLevel="0" collapsed="false">
      <c r="A1509" s="8"/>
      <c r="B1509" s="10" t="str">
        <f aca="false">IF(A1509="","",IFERROR(VLOOKUP(A1509,DonHang!$A$2:$C$500,3,FALSE()),"mã đơn chưa có"))</f>
        <v/>
      </c>
      <c r="C1509" s="8"/>
      <c r="D1509" s="8"/>
      <c r="E1509" s="8"/>
      <c r="F1509" s="13"/>
      <c r="G1509" s="14"/>
      <c r="H1509" s="8"/>
      <c r="I1509" s="11" t="str">
        <f aca="false">IF(OR(F1509="",G1509=""),"",ROUND(F1509*G1509,0))</f>
        <v/>
      </c>
    </row>
    <row r="1510" customFormat="false" ht="15" hidden="false" customHeight="false" outlineLevel="0" collapsed="false">
      <c r="A1510" s="8"/>
      <c r="B1510" s="10" t="str">
        <f aca="false">IF(A1510="","",IFERROR(VLOOKUP(A1510,DonHang!$A$2:$C$500,3,FALSE()),"mã đơn chưa có"))</f>
        <v/>
      </c>
      <c r="C1510" s="8"/>
      <c r="D1510" s="8"/>
      <c r="E1510" s="8"/>
      <c r="F1510" s="13"/>
      <c r="G1510" s="14"/>
      <c r="H1510" s="8"/>
      <c r="I1510" s="11" t="str">
        <f aca="false">IF(OR(F1510="",G1510=""),"",ROUND(F1510*G1510,0))</f>
        <v/>
      </c>
    </row>
    <row r="1511" customFormat="false" ht="15" hidden="false" customHeight="false" outlineLevel="0" collapsed="false">
      <c r="A1511" s="8"/>
      <c r="B1511" s="10" t="str">
        <f aca="false">IF(A1511="","",IFERROR(VLOOKUP(A1511,DonHang!$A$2:$C$500,3,FALSE()),"mã đơn chưa có"))</f>
        <v/>
      </c>
      <c r="C1511" s="8"/>
      <c r="D1511" s="8"/>
      <c r="E1511" s="8"/>
      <c r="F1511" s="13"/>
      <c r="G1511" s="14"/>
      <c r="H1511" s="8"/>
      <c r="I1511" s="11" t="str">
        <f aca="false">IF(OR(F1511="",G1511=""),"",ROUND(F1511*G1511,0))</f>
        <v/>
      </c>
    </row>
    <row r="1512" customFormat="false" ht="15" hidden="false" customHeight="false" outlineLevel="0" collapsed="false">
      <c r="A1512" s="8"/>
      <c r="B1512" s="10" t="str">
        <f aca="false">IF(A1512="","",IFERROR(VLOOKUP(A1512,DonHang!$A$2:$C$500,3,FALSE()),"mã đơn chưa có"))</f>
        <v/>
      </c>
      <c r="C1512" s="8"/>
      <c r="D1512" s="8"/>
      <c r="E1512" s="8"/>
      <c r="F1512" s="13"/>
      <c r="G1512" s="14"/>
      <c r="H1512" s="8"/>
      <c r="I1512" s="11" t="str">
        <f aca="false">IF(OR(F1512="",G1512=""),"",ROUND(F1512*G1512,0))</f>
        <v/>
      </c>
    </row>
    <row r="1513" customFormat="false" ht="15" hidden="false" customHeight="false" outlineLevel="0" collapsed="false">
      <c r="A1513" s="8"/>
      <c r="B1513" s="10" t="str">
        <f aca="false">IF(A1513="","",IFERROR(VLOOKUP(A1513,DonHang!$A$2:$C$500,3,FALSE()),"mã đơn chưa có"))</f>
        <v/>
      </c>
      <c r="C1513" s="8"/>
      <c r="D1513" s="8"/>
      <c r="E1513" s="8"/>
      <c r="F1513" s="13"/>
      <c r="G1513" s="14"/>
      <c r="H1513" s="8"/>
      <c r="I1513" s="11" t="str">
        <f aca="false">IF(OR(F1513="",G1513=""),"",ROUND(F1513*G1513,0))</f>
        <v/>
      </c>
    </row>
    <row r="1514" customFormat="false" ht="15" hidden="false" customHeight="false" outlineLevel="0" collapsed="false">
      <c r="A1514" s="8"/>
      <c r="B1514" s="10" t="str">
        <f aca="false">IF(A1514="","",IFERROR(VLOOKUP(A1514,DonHang!$A$2:$C$500,3,FALSE()),"mã đơn chưa có"))</f>
        <v/>
      </c>
      <c r="C1514" s="8"/>
      <c r="D1514" s="8"/>
      <c r="E1514" s="8"/>
      <c r="F1514" s="13"/>
      <c r="G1514" s="14"/>
      <c r="H1514" s="8"/>
      <c r="I1514" s="11" t="str">
        <f aca="false">IF(OR(F1514="",G1514=""),"",ROUND(F1514*G1514,0))</f>
        <v/>
      </c>
    </row>
    <row r="1515" customFormat="false" ht="15" hidden="false" customHeight="false" outlineLevel="0" collapsed="false">
      <c r="A1515" s="8"/>
      <c r="B1515" s="10" t="str">
        <f aca="false">IF(A1515="","",IFERROR(VLOOKUP(A1515,DonHang!$A$2:$C$500,3,FALSE()),"mã đơn chưa có"))</f>
        <v/>
      </c>
      <c r="C1515" s="8"/>
      <c r="D1515" s="8"/>
      <c r="E1515" s="8"/>
      <c r="F1515" s="13"/>
      <c r="G1515" s="14"/>
      <c r="H1515" s="8"/>
      <c r="I1515" s="11" t="str">
        <f aca="false">IF(OR(F1515="",G1515=""),"",ROUND(F1515*G1515,0))</f>
        <v/>
      </c>
    </row>
    <row r="1516" customFormat="false" ht="15" hidden="false" customHeight="false" outlineLevel="0" collapsed="false">
      <c r="A1516" s="8"/>
      <c r="B1516" s="10" t="str">
        <f aca="false">IF(A1516="","",IFERROR(VLOOKUP(A1516,DonHang!$A$2:$C$500,3,FALSE()),"mã đơn chưa có"))</f>
        <v/>
      </c>
      <c r="C1516" s="8"/>
      <c r="D1516" s="8"/>
      <c r="E1516" s="8"/>
      <c r="F1516" s="13"/>
      <c r="G1516" s="14"/>
      <c r="H1516" s="8"/>
      <c r="I1516" s="11" t="str">
        <f aca="false">IF(OR(F1516="",G1516=""),"",ROUND(F1516*G1516,0))</f>
        <v/>
      </c>
    </row>
    <row r="1517" customFormat="false" ht="15" hidden="false" customHeight="false" outlineLevel="0" collapsed="false">
      <c r="A1517" s="8"/>
      <c r="B1517" s="10" t="str">
        <f aca="false">IF(A1517="","",IFERROR(VLOOKUP(A1517,DonHang!$A$2:$C$500,3,FALSE()),"mã đơn chưa có"))</f>
        <v/>
      </c>
      <c r="C1517" s="8"/>
      <c r="D1517" s="8"/>
      <c r="E1517" s="8"/>
      <c r="F1517" s="13"/>
      <c r="G1517" s="14"/>
      <c r="H1517" s="8"/>
      <c r="I1517" s="11" t="str">
        <f aca="false">IF(OR(F1517="",G1517=""),"",ROUND(F1517*G1517,0))</f>
        <v/>
      </c>
    </row>
    <row r="1518" customFormat="false" ht="15" hidden="false" customHeight="false" outlineLevel="0" collapsed="false">
      <c r="A1518" s="8"/>
      <c r="B1518" s="10" t="str">
        <f aca="false">IF(A1518="","",IFERROR(VLOOKUP(A1518,DonHang!$A$2:$C$500,3,FALSE()),"mã đơn chưa có"))</f>
        <v/>
      </c>
      <c r="C1518" s="8"/>
      <c r="D1518" s="8"/>
      <c r="E1518" s="8"/>
      <c r="F1518" s="13"/>
      <c r="G1518" s="14"/>
      <c r="H1518" s="8"/>
      <c r="I1518" s="11" t="str">
        <f aca="false">IF(OR(F1518="",G1518=""),"",ROUND(F1518*G1518,0))</f>
        <v/>
      </c>
    </row>
    <row r="1519" customFormat="false" ht="15" hidden="false" customHeight="false" outlineLevel="0" collapsed="false">
      <c r="A1519" s="8"/>
      <c r="B1519" s="10" t="str">
        <f aca="false">IF(A1519="","",IFERROR(VLOOKUP(A1519,DonHang!$A$2:$C$500,3,FALSE()),"mã đơn chưa có"))</f>
        <v/>
      </c>
      <c r="C1519" s="8"/>
      <c r="D1519" s="8"/>
      <c r="E1519" s="8"/>
      <c r="F1519" s="13"/>
      <c r="G1519" s="14"/>
      <c r="H1519" s="8"/>
      <c r="I1519" s="11" t="str">
        <f aca="false">IF(OR(F1519="",G1519=""),"",ROUND(F1519*G1519,0))</f>
        <v/>
      </c>
    </row>
    <row r="1520" customFormat="false" ht="15" hidden="false" customHeight="false" outlineLevel="0" collapsed="false">
      <c r="A1520" s="8"/>
      <c r="B1520" s="10" t="str">
        <f aca="false">IF(A1520="","",IFERROR(VLOOKUP(A1520,DonHang!$A$2:$C$500,3,FALSE()),"mã đơn chưa có"))</f>
        <v/>
      </c>
      <c r="C1520" s="8"/>
      <c r="D1520" s="8"/>
      <c r="E1520" s="8"/>
      <c r="F1520" s="13"/>
      <c r="G1520" s="14"/>
      <c r="H1520" s="8"/>
      <c r="I1520" s="11" t="str">
        <f aca="false">IF(OR(F1520="",G1520=""),"",ROUND(F1520*G1520,0))</f>
        <v/>
      </c>
    </row>
    <row r="1521" customFormat="false" ht="15" hidden="false" customHeight="false" outlineLevel="0" collapsed="false">
      <c r="A1521" s="8"/>
      <c r="B1521" s="10" t="str">
        <f aca="false">IF(A1521="","",IFERROR(VLOOKUP(A1521,DonHang!$A$2:$C$500,3,FALSE()),"mã đơn chưa có"))</f>
        <v/>
      </c>
      <c r="C1521" s="8"/>
      <c r="D1521" s="8"/>
      <c r="E1521" s="8"/>
      <c r="F1521" s="13"/>
      <c r="G1521" s="14"/>
      <c r="H1521" s="8"/>
      <c r="I1521" s="11" t="str">
        <f aca="false">IF(OR(F1521="",G1521=""),"",ROUND(F1521*G1521,0))</f>
        <v/>
      </c>
    </row>
    <row r="1522" customFormat="false" ht="15" hidden="false" customHeight="false" outlineLevel="0" collapsed="false">
      <c r="A1522" s="8"/>
      <c r="B1522" s="10" t="str">
        <f aca="false">IF(A1522="","",IFERROR(VLOOKUP(A1522,DonHang!$A$2:$C$500,3,FALSE()),"mã đơn chưa có"))</f>
        <v/>
      </c>
      <c r="C1522" s="8"/>
      <c r="D1522" s="8"/>
      <c r="E1522" s="8"/>
      <c r="F1522" s="13"/>
      <c r="G1522" s="14"/>
      <c r="H1522" s="8"/>
      <c r="I1522" s="11" t="str">
        <f aca="false">IF(OR(F1522="",G1522=""),"",ROUND(F1522*G1522,0))</f>
        <v/>
      </c>
    </row>
    <row r="1523" customFormat="false" ht="15" hidden="false" customHeight="false" outlineLevel="0" collapsed="false">
      <c r="A1523" s="8"/>
      <c r="B1523" s="10" t="str">
        <f aca="false">IF(A1523="","",IFERROR(VLOOKUP(A1523,DonHang!$A$2:$C$500,3,FALSE()),"mã đơn chưa có"))</f>
        <v/>
      </c>
      <c r="C1523" s="8"/>
      <c r="D1523" s="8"/>
      <c r="E1523" s="8"/>
      <c r="F1523" s="13"/>
      <c r="G1523" s="14"/>
      <c r="H1523" s="8"/>
      <c r="I1523" s="11" t="str">
        <f aca="false">IF(OR(F1523="",G1523=""),"",ROUND(F1523*G1523,0))</f>
        <v/>
      </c>
    </row>
    <row r="1524" customFormat="false" ht="15" hidden="false" customHeight="false" outlineLevel="0" collapsed="false">
      <c r="A1524" s="8"/>
      <c r="B1524" s="10" t="str">
        <f aca="false">IF(A1524="","",IFERROR(VLOOKUP(A1524,DonHang!$A$2:$C$500,3,FALSE()),"mã đơn chưa có"))</f>
        <v/>
      </c>
      <c r="C1524" s="8"/>
      <c r="D1524" s="8"/>
      <c r="E1524" s="8"/>
      <c r="F1524" s="13"/>
      <c r="G1524" s="14"/>
      <c r="H1524" s="8"/>
      <c r="I1524" s="11" t="str">
        <f aca="false">IF(OR(F1524="",G1524=""),"",ROUND(F1524*G1524,0))</f>
        <v/>
      </c>
    </row>
    <row r="1525" customFormat="false" ht="15" hidden="false" customHeight="false" outlineLevel="0" collapsed="false">
      <c r="A1525" s="8"/>
      <c r="B1525" s="10" t="str">
        <f aca="false">IF(A1525="","",IFERROR(VLOOKUP(A1525,DonHang!$A$2:$C$500,3,FALSE()),"mã đơn chưa có"))</f>
        <v/>
      </c>
      <c r="C1525" s="8"/>
      <c r="D1525" s="8"/>
      <c r="E1525" s="8"/>
      <c r="F1525" s="13"/>
      <c r="G1525" s="14"/>
      <c r="H1525" s="8"/>
      <c r="I1525" s="11" t="str">
        <f aca="false">IF(OR(F1525="",G1525=""),"",ROUND(F1525*G1525,0))</f>
        <v/>
      </c>
    </row>
    <row r="1526" customFormat="false" ht="15" hidden="false" customHeight="false" outlineLevel="0" collapsed="false">
      <c r="A1526" s="8"/>
      <c r="B1526" s="10" t="str">
        <f aca="false">IF(A1526="","",IFERROR(VLOOKUP(A1526,DonHang!$A$2:$C$500,3,FALSE()),"mã đơn chưa có"))</f>
        <v/>
      </c>
      <c r="C1526" s="8"/>
      <c r="D1526" s="8"/>
      <c r="E1526" s="8"/>
      <c r="F1526" s="13"/>
      <c r="G1526" s="14"/>
      <c r="H1526" s="8"/>
      <c r="I1526" s="11" t="str">
        <f aca="false">IF(OR(F1526="",G1526=""),"",ROUND(F1526*G1526,0))</f>
        <v/>
      </c>
    </row>
    <row r="1527" customFormat="false" ht="15" hidden="false" customHeight="false" outlineLevel="0" collapsed="false">
      <c r="A1527" s="8"/>
      <c r="B1527" s="10" t="str">
        <f aca="false">IF(A1527="","",IFERROR(VLOOKUP(A1527,DonHang!$A$2:$C$500,3,FALSE()),"mã đơn chưa có"))</f>
        <v/>
      </c>
      <c r="C1527" s="8"/>
      <c r="D1527" s="8"/>
      <c r="E1527" s="8"/>
      <c r="F1527" s="13"/>
      <c r="G1527" s="14"/>
      <c r="H1527" s="8"/>
      <c r="I1527" s="11" t="str">
        <f aca="false">IF(OR(F1527="",G1527=""),"",ROUND(F1527*G1527,0))</f>
        <v/>
      </c>
    </row>
    <row r="1528" customFormat="false" ht="15" hidden="false" customHeight="false" outlineLevel="0" collapsed="false">
      <c r="A1528" s="8"/>
      <c r="B1528" s="10" t="str">
        <f aca="false">IF(A1528="","",IFERROR(VLOOKUP(A1528,DonHang!$A$2:$C$500,3,FALSE()),"mã đơn chưa có"))</f>
        <v/>
      </c>
      <c r="C1528" s="8"/>
      <c r="D1528" s="8"/>
      <c r="E1528" s="8"/>
      <c r="F1528" s="13"/>
      <c r="G1528" s="14"/>
      <c r="H1528" s="8"/>
      <c r="I1528" s="11" t="str">
        <f aca="false">IF(OR(F1528="",G1528=""),"",ROUND(F1528*G1528,0))</f>
        <v/>
      </c>
    </row>
    <row r="1529" customFormat="false" ht="15" hidden="false" customHeight="false" outlineLevel="0" collapsed="false">
      <c r="A1529" s="8"/>
      <c r="B1529" s="10" t="str">
        <f aca="false">IF(A1529="","",IFERROR(VLOOKUP(A1529,DonHang!$A$2:$C$500,3,FALSE()),"mã đơn chưa có"))</f>
        <v/>
      </c>
      <c r="C1529" s="8"/>
      <c r="D1529" s="8"/>
      <c r="E1529" s="8"/>
      <c r="F1529" s="13"/>
      <c r="G1529" s="14"/>
      <c r="H1529" s="8"/>
      <c r="I1529" s="11" t="str">
        <f aca="false">IF(OR(F1529="",G1529=""),"",ROUND(F1529*G1529,0))</f>
        <v/>
      </c>
    </row>
    <row r="1530" customFormat="false" ht="15" hidden="false" customHeight="false" outlineLevel="0" collapsed="false">
      <c r="A1530" s="8"/>
      <c r="B1530" s="10" t="str">
        <f aca="false">IF(A1530="","",IFERROR(VLOOKUP(A1530,DonHang!$A$2:$C$500,3,FALSE()),"mã đơn chưa có"))</f>
        <v/>
      </c>
      <c r="C1530" s="8"/>
      <c r="D1530" s="8"/>
      <c r="E1530" s="8"/>
      <c r="F1530" s="13"/>
      <c r="G1530" s="14"/>
      <c r="H1530" s="8"/>
      <c r="I1530" s="11" t="str">
        <f aca="false">IF(OR(F1530="",G1530=""),"",ROUND(F1530*G1530,0))</f>
        <v/>
      </c>
    </row>
    <row r="1531" customFormat="false" ht="15" hidden="false" customHeight="false" outlineLevel="0" collapsed="false">
      <c r="A1531" s="8"/>
      <c r="B1531" s="10" t="str">
        <f aca="false">IF(A1531="","",IFERROR(VLOOKUP(A1531,DonHang!$A$2:$C$500,3,FALSE()),"mã đơn chưa có"))</f>
        <v/>
      </c>
      <c r="C1531" s="8"/>
      <c r="D1531" s="8"/>
      <c r="E1531" s="8"/>
      <c r="F1531" s="13"/>
      <c r="G1531" s="14"/>
      <c r="H1531" s="8"/>
      <c r="I1531" s="11" t="str">
        <f aca="false">IF(OR(F1531="",G1531=""),"",ROUND(F1531*G1531,0))</f>
        <v/>
      </c>
    </row>
    <row r="1532" customFormat="false" ht="15" hidden="false" customHeight="false" outlineLevel="0" collapsed="false">
      <c r="A1532" s="8"/>
      <c r="B1532" s="10" t="str">
        <f aca="false">IF(A1532="","",IFERROR(VLOOKUP(A1532,DonHang!$A$2:$C$500,3,FALSE()),"mã đơn chưa có"))</f>
        <v/>
      </c>
      <c r="C1532" s="8"/>
      <c r="D1532" s="8"/>
      <c r="E1532" s="8"/>
      <c r="F1532" s="13"/>
      <c r="G1532" s="14"/>
      <c r="H1532" s="8"/>
      <c r="I1532" s="11" t="str">
        <f aca="false">IF(OR(F1532="",G1532=""),"",ROUND(F1532*G1532,0))</f>
        <v/>
      </c>
    </row>
    <row r="1533" customFormat="false" ht="15" hidden="false" customHeight="false" outlineLevel="0" collapsed="false">
      <c r="A1533" s="8"/>
      <c r="B1533" s="10" t="str">
        <f aca="false">IF(A1533="","",IFERROR(VLOOKUP(A1533,DonHang!$A$2:$C$500,3,FALSE()),"mã đơn chưa có"))</f>
        <v/>
      </c>
      <c r="C1533" s="8"/>
      <c r="D1533" s="8"/>
      <c r="E1533" s="8"/>
      <c r="F1533" s="13"/>
      <c r="G1533" s="14"/>
      <c r="H1533" s="8"/>
      <c r="I1533" s="11" t="str">
        <f aca="false">IF(OR(F1533="",G1533=""),"",ROUND(F1533*G1533,0))</f>
        <v/>
      </c>
    </row>
    <row r="1534" customFormat="false" ht="15" hidden="false" customHeight="false" outlineLevel="0" collapsed="false">
      <c r="A1534" s="8"/>
      <c r="B1534" s="10" t="str">
        <f aca="false">IF(A1534="","",IFERROR(VLOOKUP(A1534,DonHang!$A$2:$C$500,3,FALSE()),"mã đơn chưa có"))</f>
        <v/>
      </c>
      <c r="C1534" s="8"/>
      <c r="D1534" s="8"/>
      <c r="E1534" s="8"/>
      <c r="F1534" s="13"/>
      <c r="G1534" s="14"/>
      <c r="H1534" s="8"/>
      <c r="I1534" s="11" t="str">
        <f aca="false">IF(OR(F1534="",G1534=""),"",ROUND(F1534*G1534,0))</f>
        <v/>
      </c>
    </row>
    <row r="1535" customFormat="false" ht="15" hidden="false" customHeight="false" outlineLevel="0" collapsed="false">
      <c r="A1535" s="8"/>
      <c r="B1535" s="10" t="str">
        <f aca="false">IF(A1535="","",IFERROR(VLOOKUP(A1535,DonHang!$A$2:$C$500,3,FALSE()),"mã đơn chưa có"))</f>
        <v/>
      </c>
      <c r="C1535" s="8"/>
      <c r="D1535" s="8"/>
      <c r="E1535" s="8"/>
      <c r="F1535" s="13"/>
      <c r="G1535" s="14"/>
      <c r="H1535" s="8"/>
      <c r="I1535" s="11" t="str">
        <f aca="false">IF(OR(F1535="",G1535=""),"",ROUND(F1535*G1535,0))</f>
        <v/>
      </c>
    </row>
    <row r="1536" customFormat="false" ht="15" hidden="false" customHeight="false" outlineLevel="0" collapsed="false">
      <c r="A1536" s="8"/>
      <c r="B1536" s="10" t="str">
        <f aca="false">IF(A1536="","",IFERROR(VLOOKUP(A1536,DonHang!$A$2:$C$500,3,FALSE()),"mã đơn chưa có"))</f>
        <v/>
      </c>
      <c r="C1536" s="8"/>
      <c r="D1536" s="8"/>
      <c r="E1536" s="8"/>
      <c r="F1536" s="13"/>
      <c r="G1536" s="14"/>
      <c r="H1536" s="8"/>
      <c r="I1536" s="11" t="str">
        <f aca="false">IF(OR(F1536="",G1536=""),"",ROUND(F1536*G1536,0))</f>
        <v/>
      </c>
    </row>
    <row r="1537" customFormat="false" ht="15" hidden="false" customHeight="false" outlineLevel="0" collapsed="false">
      <c r="A1537" s="8"/>
      <c r="B1537" s="10" t="str">
        <f aca="false">IF(A1537="","",IFERROR(VLOOKUP(A1537,DonHang!$A$2:$C$500,3,FALSE()),"mã đơn chưa có"))</f>
        <v/>
      </c>
      <c r="C1537" s="8"/>
      <c r="D1537" s="8"/>
      <c r="E1537" s="8"/>
      <c r="F1537" s="13"/>
      <c r="G1537" s="14"/>
      <c r="H1537" s="8"/>
      <c r="I1537" s="11" t="str">
        <f aca="false">IF(OR(F1537="",G1537=""),"",ROUND(F1537*G1537,0))</f>
        <v/>
      </c>
    </row>
    <row r="1538" customFormat="false" ht="15" hidden="false" customHeight="false" outlineLevel="0" collapsed="false">
      <c r="A1538" s="8"/>
      <c r="B1538" s="10" t="str">
        <f aca="false">IF(A1538="","",IFERROR(VLOOKUP(A1538,DonHang!$A$2:$C$500,3,FALSE()),"mã đơn chưa có"))</f>
        <v/>
      </c>
      <c r="C1538" s="8"/>
      <c r="D1538" s="8"/>
      <c r="E1538" s="8"/>
      <c r="F1538" s="13"/>
      <c r="G1538" s="14"/>
      <c r="H1538" s="8"/>
      <c r="I1538" s="11" t="str">
        <f aca="false">IF(OR(F1538="",G1538=""),"",ROUND(F1538*G1538,0))</f>
        <v/>
      </c>
    </row>
    <row r="1539" customFormat="false" ht="15" hidden="false" customHeight="false" outlineLevel="0" collapsed="false">
      <c r="A1539" s="8"/>
      <c r="B1539" s="10" t="str">
        <f aca="false">IF(A1539="","",IFERROR(VLOOKUP(A1539,DonHang!$A$2:$C$500,3,FALSE()),"mã đơn chưa có"))</f>
        <v/>
      </c>
      <c r="C1539" s="8"/>
      <c r="D1539" s="8"/>
      <c r="E1539" s="8"/>
      <c r="F1539" s="13"/>
      <c r="G1539" s="14"/>
      <c r="H1539" s="8"/>
      <c r="I1539" s="11" t="str">
        <f aca="false">IF(OR(F1539="",G1539=""),"",ROUND(F1539*G1539,0))</f>
        <v/>
      </c>
    </row>
    <row r="1540" customFormat="false" ht="15" hidden="false" customHeight="false" outlineLevel="0" collapsed="false">
      <c r="A1540" s="8"/>
      <c r="B1540" s="10" t="str">
        <f aca="false">IF(A1540="","",IFERROR(VLOOKUP(A1540,DonHang!$A$2:$C$500,3,FALSE()),"mã đơn chưa có"))</f>
        <v/>
      </c>
      <c r="C1540" s="8"/>
      <c r="D1540" s="8"/>
      <c r="E1540" s="8"/>
      <c r="F1540" s="13"/>
      <c r="G1540" s="14"/>
      <c r="H1540" s="8"/>
      <c r="I1540" s="11" t="str">
        <f aca="false">IF(OR(F1540="",G1540=""),"",ROUND(F1540*G1540,0))</f>
        <v/>
      </c>
    </row>
    <row r="1541" customFormat="false" ht="15" hidden="false" customHeight="false" outlineLevel="0" collapsed="false">
      <c r="A1541" s="8"/>
      <c r="B1541" s="10" t="str">
        <f aca="false">IF(A1541="","",IFERROR(VLOOKUP(A1541,DonHang!$A$2:$C$500,3,FALSE()),"mã đơn chưa có"))</f>
        <v/>
      </c>
      <c r="C1541" s="8"/>
      <c r="D1541" s="8"/>
      <c r="E1541" s="8"/>
      <c r="F1541" s="13"/>
      <c r="G1541" s="14"/>
      <c r="H1541" s="8"/>
      <c r="I1541" s="11" t="str">
        <f aca="false">IF(OR(F1541="",G1541=""),"",ROUND(F1541*G1541,0))</f>
        <v/>
      </c>
    </row>
    <row r="1542" customFormat="false" ht="15" hidden="false" customHeight="false" outlineLevel="0" collapsed="false">
      <c r="A1542" s="8"/>
      <c r="B1542" s="10" t="str">
        <f aca="false">IF(A1542="","",IFERROR(VLOOKUP(A1542,DonHang!$A$2:$C$500,3,FALSE()),"mã đơn chưa có"))</f>
        <v/>
      </c>
      <c r="C1542" s="8"/>
      <c r="D1542" s="8"/>
      <c r="E1542" s="8"/>
      <c r="F1542" s="13"/>
      <c r="G1542" s="14"/>
      <c r="H1542" s="8"/>
      <c r="I1542" s="11" t="str">
        <f aca="false">IF(OR(F1542="",G1542=""),"",ROUND(F1542*G1542,0))</f>
        <v/>
      </c>
    </row>
    <row r="1543" customFormat="false" ht="15" hidden="false" customHeight="false" outlineLevel="0" collapsed="false">
      <c r="A1543" s="8"/>
      <c r="B1543" s="10" t="str">
        <f aca="false">IF(A1543="","",IFERROR(VLOOKUP(A1543,DonHang!$A$2:$C$500,3,FALSE()),"mã đơn chưa có"))</f>
        <v/>
      </c>
      <c r="C1543" s="8"/>
      <c r="D1543" s="8"/>
      <c r="E1543" s="8"/>
      <c r="F1543" s="13"/>
      <c r="G1543" s="14"/>
      <c r="H1543" s="8"/>
      <c r="I1543" s="11" t="str">
        <f aca="false">IF(OR(F1543="",G1543=""),"",ROUND(F1543*G1543,0))</f>
        <v/>
      </c>
    </row>
    <row r="1544" customFormat="false" ht="15" hidden="false" customHeight="false" outlineLevel="0" collapsed="false">
      <c r="A1544" s="8"/>
      <c r="B1544" s="10" t="str">
        <f aca="false">IF(A1544="","",IFERROR(VLOOKUP(A1544,DonHang!$A$2:$C$500,3,FALSE()),"mã đơn chưa có"))</f>
        <v/>
      </c>
      <c r="C1544" s="8"/>
      <c r="D1544" s="8"/>
      <c r="E1544" s="8"/>
      <c r="F1544" s="13"/>
      <c r="G1544" s="14"/>
      <c r="H1544" s="8"/>
      <c r="I1544" s="11" t="str">
        <f aca="false">IF(OR(F1544="",G1544=""),"",ROUND(F1544*G1544,0))</f>
        <v/>
      </c>
    </row>
    <row r="1545" customFormat="false" ht="15" hidden="false" customHeight="false" outlineLevel="0" collapsed="false">
      <c r="A1545" s="8"/>
      <c r="B1545" s="10" t="str">
        <f aca="false">IF(A1545="","",IFERROR(VLOOKUP(A1545,DonHang!$A$2:$C$500,3,FALSE()),"mã đơn chưa có"))</f>
        <v/>
      </c>
      <c r="C1545" s="8"/>
      <c r="D1545" s="8"/>
      <c r="E1545" s="8"/>
      <c r="F1545" s="13"/>
      <c r="G1545" s="14"/>
      <c r="H1545" s="8"/>
      <c r="I1545" s="11" t="str">
        <f aca="false">IF(OR(F1545="",G1545=""),"",ROUND(F1545*G1545,0))</f>
        <v/>
      </c>
    </row>
    <row r="1546" customFormat="false" ht="15" hidden="false" customHeight="false" outlineLevel="0" collapsed="false">
      <c r="A1546" s="8"/>
      <c r="B1546" s="10" t="str">
        <f aca="false">IF(A1546="","",IFERROR(VLOOKUP(A1546,DonHang!$A$2:$C$500,3,FALSE()),"mã đơn chưa có"))</f>
        <v/>
      </c>
      <c r="C1546" s="8"/>
      <c r="D1546" s="8"/>
      <c r="E1546" s="8"/>
      <c r="F1546" s="13"/>
      <c r="G1546" s="14"/>
      <c r="H1546" s="8"/>
      <c r="I1546" s="11" t="str">
        <f aca="false">IF(OR(F1546="",G1546=""),"",ROUND(F1546*G1546,0))</f>
        <v/>
      </c>
    </row>
    <row r="1547" customFormat="false" ht="15" hidden="false" customHeight="false" outlineLevel="0" collapsed="false">
      <c r="A1547" s="8"/>
      <c r="B1547" s="10" t="str">
        <f aca="false">IF(A1547="","",IFERROR(VLOOKUP(A1547,DonHang!$A$2:$C$500,3,FALSE()),"mã đơn chưa có"))</f>
        <v/>
      </c>
      <c r="C1547" s="8"/>
      <c r="D1547" s="8"/>
      <c r="E1547" s="8"/>
      <c r="F1547" s="13"/>
      <c r="G1547" s="14"/>
      <c r="H1547" s="8"/>
      <c r="I1547" s="11" t="str">
        <f aca="false">IF(OR(F1547="",G1547=""),"",ROUND(F1547*G1547,0))</f>
        <v/>
      </c>
    </row>
    <row r="1548" customFormat="false" ht="15" hidden="false" customHeight="false" outlineLevel="0" collapsed="false">
      <c r="A1548" s="8"/>
      <c r="B1548" s="10" t="str">
        <f aca="false">IF(A1548="","",IFERROR(VLOOKUP(A1548,DonHang!$A$2:$C$500,3,FALSE()),"mã đơn chưa có"))</f>
        <v/>
      </c>
      <c r="C1548" s="8"/>
      <c r="D1548" s="8"/>
      <c r="E1548" s="8"/>
      <c r="F1548" s="13"/>
      <c r="G1548" s="14"/>
      <c r="H1548" s="8"/>
      <c r="I1548" s="11" t="str">
        <f aca="false">IF(OR(F1548="",G1548=""),"",ROUND(F1548*G1548,0))</f>
        <v/>
      </c>
    </row>
    <row r="1549" customFormat="false" ht="15" hidden="false" customHeight="false" outlineLevel="0" collapsed="false">
      <c r="A1549" s="8"/>
      <c r="B1549" s="10" t="str">
        <f aca="false">IF(A1549="","",IFERROR(VLOOKUP(A1549,DonHang!$A$2:$C$500,3,FALSE()),"mã đơn chưa có"))</f>
        <v/>
      </c>
      <c r="C1549" s="8"/>
      <c r="D1549" s="8"/>
      <c r="E1549" s="8"/>
      <c r="F1549" s="13"/>
      <c r="G1549" s="14"/>
      <c r="H1549" s="8"/>
      <c r="I1549" s="11" t="str">
        <f aca="false">IF(OR(F1549="",G1549=""),"",ROUND(F1549*G1549,0))</f>
        <v/>
      </c>
    </row>
    <row r="1550" customFormat="false" ht="15" hidden="false" customHeight="false" outlineLevel="0" collapsed="false">
      <c r="A1550" s="8"/>
      <c r="B1550" s="10" t="str">
        <f aca="false">IF(A1550="","",IFERROR(VLOOKUP(A1550,DonHang!$A$2:$C$500,3,FALSE()),"mã đơn chưa có"))</f>
        <v/>
      </c>
      <c r="C1550" s="8"/>
      <c r="D1550" s="8"/>
      <c r="E1550" s="8"/>
      <c r="F1550" s="13"/>
      <c r="G1550" s="14"/>
      <c r="H1550" s="8"/>
      <c r="I1550" s="11" t="str">
        <f aca="false">IF(OR(F1550="",G1550=""),"",ROUND(F1550*G1550,0))</f>
        <v/>
      </c>
    </row>
    <row r="1551" customFormat="false" ht="15" hidden="false" customHeight="false" outlineLevel="0" collapsed="false">
      <c r="A1551" s="8"/>
      <c r="B1551" s="10" t="str">
        <f aca="false">IF(A1551="","",IFERROR(VLOOKUP(A1551,DonHang!$A$2:$C$500,3,FALSE()),"mã đơn chưa có"))</f>
        <v/>
      </c>
      <c r="C1551" s="8"/>
      <c r="D1551" s="8"/>
      <c r="E1551" s="8"/>
      <c r="F1551" s="13"/>
      <c r="G1551" s="14"/>
      <c r="H1551" s="8"/>
      <c r="I1551" s="11" t="str">
        <f aca="false">IF(OR(F1551="",G1551=""),"",ROUND(F1551*G1551,0))</f>
        <v/>
      </c>
    </row>
    <row r="1552" customFormat="false" ht="15" hidden="false" customHeight="false" outlineLevel="0" collapsed="false">
      <c r="A1552" s="8"/>
      <c r="B1552" s="10" t="str">
        <f aca="false">IF(A1552="","",IFERROR(VLOOKUP(A1552,DonHang!$A$2:$C$500,3,FALSE()),"mã đơn chưa có"))</f>
        <v/>
      </c>
      <c r="C1552" s="8"/>
      <c r="D1552" s="8"/>
      <c r="E1552" s="8"/>
      <c r="F1552" s="13"/>
      <c r="G1552" s="14"/>
      <c r="H1552" s="8"/>
      <c r="I1552" s="11" t="str">
        <f aca="false">IF(OR(F1552="",G1552=""),"",ROUND(F1552*G1552,0))</f>
        <v/>
      </c>
    </row>
    <row r="1553" customFormat="false" ht="15" hidden="false" customHeight="false" outlineLevel="0" collapsed="false">
      <c r="A1553" s="8"/>
      <c r="B1553" s="10" t="str">
        <f aca="false">IF(A1553="","",IFERROR(VLOOKUP(A1553,DonHang!$A$2:$C$500,3,FALSE()),"mã đơn chưa có"))</f>
        <v/>
      </c>
      <c r="C1553" s="8"/>
      <c r="D1553" s="8"/>
      <c r="E1553" s="8"/>
      <c r="F1553" s="13"/>
      <c r="G1553" s="14"/>
      <c r="H1553" s="8"/>
      <c r="I1553" s="11" t="str">
        <f aca="false">IF(OR(F1553="",G1553=""),"",ROUND(F1553*G1553,0))</f>
        <v/>
      </c>
    </row>
    <row r="1554" customFormat="false" ht="15" hidden="false" customHeight="false" outlineLevel="0" collapsed="false">
      <c r="A1554" s="8"/>
      <c r="B1554" s="10" t="str">
        <f aca="false">IF(A1554="","",IFERROR(VLOOKUP(A1554,DonHang!$A$2:$C$500,3,FALSE()),"mã đơn chưa có"))</f>
        <v/>
      </c>
      <c r="C1554" s="8"/>
      <c r="D1554" s="8"/>
      <c r="E1554" s="8"/>
      <c r="F1554" s="13"/>
      <c r="G1554" s="14"/>
      <c r="H1554" s="8"/>
      <c r="I1554" s="11" t="str">
        <f aca="false">IF(OR(F1554="",G1554=""),"",ROUND(F1554*G1554,0))</f>
        <v/>
      </c>
    </row>
    <row r="1555" customFormat="false" ht="15" hidden="false" customHeight="false" outlineLevel="0" collapsed="false">
      <c r="A1555" s="8"/>
      <c r="B1555" s="10" t="str">
        <f aca="false">IF(A1555="","",IFERROR(VLOOKUP(A1555,DonHang!$A$2:$C$500,3,FALSE()),"mã đơn chưa có"))</f>
        <v/>
      </c>
      <c r="C1555" s="8"/>
      <c r="D1555" s="8"/>
      <c r="E1555" s="8"/>
      <c r="F1555" s="13"/>
      <c r="G1555" s="14"/>
      <c r="H1555" s="8"/>
      <c r="I1555" s="11" t="str">
        <f aca="false">IF(OR(F1555="",G1555=""),"",ROUND(F1555*G1555,0))</f>
        <v/>
      </c>
    </row>
    <row r="1556" customFormat="false" ht="15" hidden="false" customHeight="false" outlineLevel="0" collapsed="false">
      <c r="A1556" s="8"/>
      <c r="B1556" s="10" t="str">
        <f aca="false">IF(A1556="","",IFERROR(VLOOKUP(A1556,DonHang!$A$2:$C$500,3,FALSE()),"mã đơn chưa có"))</f>
        <v/>
      </c>
      <c r="C1556" s="8"/>
      <c r="D1556" s="8"/>
      <c r="E1556" s="8"/>
      <c r="F1556" s="13"/>
      <c r="G1556" s="14"/>
      <c r="H1556" s="8"/>
      <c r="I1556" s="11" t="str">
        <f aca="false">IF(OR(F1556="",G1556=""),"",ROUND(F1556*G1556,0))</f>
        <v/>
      </c>
    </row>
    <row r="1557" customFormat="false" ht="15" hidden="false" customHeight="false" outlineLevel="0" collapsed="false">
      <c r="A1557" s="8"/>
      <c r="B1557" s="10" t="str">
        <f aca="false">IF(A1557="","",IFERROR(VLOOKUP(A1557,DonHang!$A$2:$C$500,3,FALSE()),"mã đơn chưa có"))</f>
        <v/>
      </c>
      <c r="C1557" s="8"/>
      <c r="D1557" s="8"/>
      <c r="E1557" s="8"/>
      <c r="F1557" s="13"/>
      <c r="G1557" s="14"/>
      <c r="H1557" s="8"/>
      <c r="I1557" s="11" t="str">
        <f aca="false">IF(OR(F1557="",G1557=""),"",ROUND(F1557*G1557,0))</f>
        <v/>
      </c>
    </row>
    <row r="1558" customFormat="false" ht="15" hidden="false" customHeight="false" outlineLevel="0" collapsed="false">
      <c r="A1558" s="8"/>
      <c r="B1558" s="10" t="str">
        <f aca="false">IF(A1558="","",IFERROR(VLOOKUP(A1558,DonHang!$A$2:$C$500,3,FALSE()),"mã đơn chưa có"))</f>
        <v/>
      </c>
      <c r="C1558" s="8"/>
      <c r="D1558" s="8"/>
      <c r="E1558" s="8"/>
      <c r="F1558" s="13"/>
      <c r="G1558" s="14"/>
      <c r="H1558" s="8"/>
      <c r="I1558" s="11" t="str">
        <f aca="false">IF(OR(F1558="",G1558=""),"",ROUND(F1558*G1558,0))</f>
        <v/>
      </c>
    </row>
    <row r="1559" customFormat="false" ht="15" hidden="false" customHeight="false" outlineLevel="0" collapsed="false">
      <c r="A1559" s="8"/>
      <c r="B1559" s="10" t="str">
        <f aca="false">IF(A1559="","",IFERROR(VLOOKUP(A1559,DonHang!$A$2:$C$500,3,FALSE()),"mã đơn chưa có"))</f>
        <v/>
      </c>
      <c r="C1559" s="8"/>
      <c r="D1559" s="8"/>
      <c r="E1559" s="8"/>
      <c r="F1559" s="13"/>
      <c r="G1559" s="14"/>
      <c r="H1559" s="8"/>
      <c r="I1559" s="11" t="str">
        <f aca="false">IF(OR(F1559="",G1559=""),"",ROUND(F1559*G1559,0))</f>
        <v/>
      </c>
    </row>
    <row r="1560" customFormat="false" ht="15" hidden="false" customHeight="false" outlineLevel="0" collapsed="false">
      <c r="A1560" s="8"/>
      <c r="B1560" s="10" t="str">
        <f aca="false">IF(A1560="","",IFERROR(VLOOKUP(A1560,DonHang!$A$2:$C$500,3,FALSE()),"mã đơn chưa có"))</f>
        <v/>
      </c>
      <c r="C1560" s="8"/>
      <c r="D1560" s="8"/>
      <c r="E1560" s="8"/>
      <c r="F1560" s="13"/>
      <c r="G1560" s="14"/>
      <c r="H1560" s="8"/>
      <c r="I1560" s="11" t="str">
        <f aca="false">IF(OR(F1560="",G1560=""),"",ROUND(F1560*G1560,0))</f>
        <v/>
      </c>
    </row>
    <row r="1561" customFormat="false" ht="15" hidden="false" customHeight="false" outlineLevel="0" collapsed="false">
      <c r="A1561" s="8"/>
      <c r="B1561" s="10" t="str">
        <f aca="false">IF(A1561="","",IFERROR(VLOOKUP(A1561,DonHang!$A$2:$C$500,3,FALSE()),"mã đơn chưa có"))</f>
        <v/>
      </c>
      <c r="C1561" s="8"/>
      <c r="D1561" s="8"/>
      <c r="E1561" s="8"/>
      <c r="F1561" s="13"/>
      <c r="G1561" s="14"/>
      <c r="H1561" s="8"/>
      <c r="I1561" s="11" t="str">
        <f aca="false">IF(OR(F1561="",G1561=""),"",ROUND(F1561*G1561,0))</f>
        <v/>
      </c>
    </row>
    <row r="1562" customFormat="false" ht="15" hidden="false" customHeight="false" outlineLevel="0" collapsed="false">
      <c r="A1562" s="8"/>
      <c r="B1562" s="10" t="str">
        <f aca="false">IF(A1562="","",IFERROR(VLOOKUP(A1562,DonHang!$A$2:$C$500,3,FALSE()),"mã đơn chưa có"))</f>
        <v/>
      </c>
      <c r="C1562" s="8"/>
      <c r="D1562" s="8"/>
      <c r="E1562" s="8"/>
      <c r="F1562" s="13"/>
      <c r="G1562" s="14"/>
      <c r="H1562" s="8"/>
      <c r="I1562" s="11" t="str">
        <f aca="false">IF(OR(F1562="",G1562=""),"",ROUND(F1562*G1562,0))</f>
        <v/>
      </c>
    </row>
    <row r="1563" customFormat="false" ht="15" hidden="false" customHeight="false" outlineLevel="0" collapsed="false">
      <c r="A1563" s="8"/>
      <c r="B1563" s="10" t="str">
        <f aca="false">IF(A1563="","",IFERROR(VLOOKUP(A1563,DonHang!$A$2:$C$500,3,FALSE()),"mã đơn chưa có"))</f>
        <v/>
      </c>
      <c r="C1563" s="8"/>
      <c r="D1563" s="8"/>
      <c r="E1563" s="8"/>
      <c r="F1563" s="13"/>
      <c r="G1563" s="14"/>
      <c r="H1563" s="8"/>
      <c r="I1563" s="11" t="str">
        <f aca="false">IF(OR(F1563="",G1563=""),"",ROUND(F1563*G1563,0))</f>
        <v/>
      </c>
    </row>
    <row r="1564" customFormat="false" ht="15" hidden="false" customHeight="false" outlineLevel="0" collapsed="false">
      <c r="A1564" s="8"/>
      <c r="B1564" s="10" t="str">
        <f aca="false">IF(A1564="","",IFERROR(VLOOKUP(A1564,DonHang!$A$2:$C$500,3,FALSE()),"mã đơn chưa có"))</f>
        <v/>
      </c>
      <c r="C1564" s="8"/>
      <c r="D1564" s="8"/>
      <c r="E1564" s="8"/>
      <c r="F1564" s="13"/>
      <c r="G1564" s="14"/>
      <c r="H1564" s="8"/>
      <c r="I1564" s="11" t="str">
        <f aca="false">IF(OR(F1564="",G1564=""),"",ROUND(F1564*G1564,0))</f>
        <v/>
      </c>
    </row>
    <row r="1565" customFormat="false" ht="15" hidden="false" customHeight="false" outlineLevel="0" collapsed="false">
      <c r="A1565" s="8"/>
      <c r="B1565" s="10" t="str">
        <f aca="false">IF(A1565="","",IFERROR(VLOOKUP(A1565,DonHang!$A$2:$C$500,3,FALSE()),"mã đơn chưa có"))</f>
        <v/>
      </c>
      <c r="C1565" s="8"/>
      <c r="D1565" s="8"/>
      <c r="E1565" s="8"/>
      <c r="F1565" s="13"/>
      <c r="G1565" s="14"/>
      <c r="H1565" s="8"/>
      <c r="I1565" s="11" t="str">
        <f aca="false">IF(OR(F1565="",G1565=""),"",ROUND(F1565*G1565,0))</f>
        <v/>
      </c>
    </row>
    <row r="1566" customFormat="false" ht="15" hidden="false" customHeight="false" outlineLevel="0" collapsed="false">
      <c r="A1566" s="8"/>
      <c r="B1566" s="10" t="str">
        <f aca="false">IF(A1566="","",IFERROR(VLOOKUP(A1566,DonHang!$A$2:$C$500,3,FALSE()),"mã đơn chưa có"))</f>
        <v/>
      </c>
      <c r="C1566" s="8"/>
      <c r="D1566" s="8"/>
      <c r="E1566" s="8"/>
      <c r="F1566" s="13"/>
      <c r="G1566" s="14"/>
      <c r="H1566" s="8"/>
      <c r="I1566" s="11" t="str">
        <f aca="false">IF(OR(F1566="",G1566=""),"",ROUND(F1566*G1566,0))</f>
        <v/>
      </c>
    </row>
    <row r="1567" customFormat="false" ht="15" hidden="false" customHeight="false" outlineLevel="0" collapsed="false">
      <c r="A1567" s="8"/>
      <c r="B1567" s="10" t="str">
        <f aca="false">IF(A1567="","",IFERROR(VLOOKUP(A1567,DonHang!$A$2:$C$500,3,FALSE()),"mã đơn chưa có"))</f>
        <v/>
      </c>
      <c r="C1567" s="8"/>
      <c r="D1567" s="8"/>
      <c r="E1567" s="8"/>
      <c r="F1567" s="13"/>
      <c r="G1567" s="14"/>
      <c r="H1567" s="8"/>
      <c r="I1567" s="11" t="str">
        <f aca="false">IF(OR(F1567="",G1567=""),"",ROUND(F1567*G1567,0))</f>
        <v/>
      </c>
    </row>
    <row r="1568" customFormat="false" ht="15" hidden="false" customHeight="false" outlineLevel="0" collapsed="false">
      <c r="A1568" s="8"/>
      <c r="B1568" s="10" t="str">
        <f aca="false">IF(A1568="","",IFERROR(VLOOKUP(A1568,DonHang!$A$2:$C$500,3,FALSE()),"mã đơn chưa có"))</f>
        <v/>
      </c>
      <c r="C1568" s="8"/>
      <c r="D1568" s="8"/>
      <c r="E1568" s="8"/>
      <c r="F1568" s="13"/>
      <c r="G1568" s="14"/>
      <c r="H1568" s="8"/>
      <c r="I1568" s="11" t="str">
        <f aca="false">IF(OR(F1568="",G1568=""),"",ROUND(F1568*G1568,0))</f>
        <v/>
      </c>
    </row>
    <row r="1569" customFormat="false" ht="15" hidden="false" customHeight="false" outlineLevel="0" collapsed="false">
      <c r="A1569" s="8"/>
      <c r="B1569" s="10" t="str">
        <f aca="false">IF(A1569="","",IFERROR(VLOOKUP(A1569,DonHang!$A$2:$C$500,3,FALSE()),"mã đơn chưa có"))</f>
        <v/>
      </c>
      <c r="C1569" s="8"/>
      <c r="D1569" s="8"/>
      <c r="E1569" s="8"/>
      <c r="F1569" s="13"/>
      <c r="G1569" s="14"/>
      <c r="H1569" s="8"/>
      <c r="I1569" s="11" t="str">
        <f aca="false">IF(OR(F1569="",G1569=""),"",ROUND(F1569*G1569,0))</f>
        <v/>
      </c>
    </row>
    <row r="1570" customFormat="false" ht="15" hidden="false" customHeight="false" outlineLevel="0" collapsed="false">
      <c r="A1570" s="8"/>
      <c r="B1570" s="10" t="str">
        <f aca="false">IF(A1570="","",IFERROR(VLOOKUP(A1570,DonHang!$A$2:$C$500,3,FALSE()),"mã đơn chưa có"))</f>
        <v/>
      </c>
      <c r="C1570" s="8"/>
      <c r="D1570" s="8"/>
      <c r="E1570" s="8"/>
      <c r="F1570" s="13"/>
      <c r="G1570" s="14"/>
      <c r="H1570" s="8"/>
      <c r="I1570" s="11" t="str">
        <f aca="false">IF(OR(F1570="",G1570=""),"",ROUND(F1570*G1570,0))</f>
        <v/>
      </c>
    </row>
    <row r="1571" customFormat="false" ht="15" hidden="false" customHeight="false" outlineLevel="0" collapsed="false">
      <c r="A1571" s="8"/>
      <c r="B1571" s="10" t="str">
        <f aca="false">IF(A1571="","",IFERROR(VLOOKUP(A1571,DonHang!$A$2:$C$500,3,FALSE()),"mã đơn chưa có"))</f>
        <v/>
      </c>
      <c r="C1571" s="8"/>
      <c r="D1571" s="8"/>
      <c r="E1571" s="8"/>
      <c r="F1571" s="13"/>
      <c r="G1571" s="14"/>
      <c r="H1571" s="8"/>
      <c r="I1571" s="11" t="str">
        <f aca="false">IF(OR(F1571="",G1571=""),"",ROUND(F1571*G1571,0))</f>
        <v/>
      </c>
    </row>
    <row r="1572" customFormat="false" ht="15" hidden="false" customHeight="false" outlineLevel="0" collapsed="false">
      <c r="A1572" s="8"/>
      <c r="B1572" s="10" t="str">
        <f aca="false">IF(A1572="","",IFERROR(VLOOKUP(A1572,DonHang!$A$2:$C$500,3,FALSE()),"mã đơn chưa có"))</f>
        <v/>
      </c>
      <c r="C1572" s="8"/>
      <c r="D1572" s="8"/>
      <c r="E1572" s="8"/>
      <c r="F1572" s="13"/>
      <c r="G1572" s="14"/>
      <c r="H1572" s="8"/>
      <c r="I1572" s="11" t="str">
        <f aca="false">IF(OR(F1572="",G1572=""),"",ROUND(F1572*G1572,0))</f>
        <v/>
      </c>
    </row>
    <row r="1573" customFormat="false" ht="15" hidden="false" customHeight="false" outlineLevel="0" collapsed="false">
      <c r="A1573" s="8"/>
      <c r="B1573" s="10" t="str">
        <f aca="false">IF(A1573="","",IFERROR(VLOOKUP(A1573,DonHang!$A$2:$C$500,3,FALSE()),"mã đơn chưa có"))</f>
        <v/>
      </c>
      <c r="C1573" s="8"/>
      <c r="D1573" s="8"/>
      <c r="E1573" s="8"/>
      <c r="F1573" s="13"/>
      <c r="G1573" s="14"/>
      <c r="H1573" s="8"/>
      <c r="I1573" s="11" t="str">
        <f aca="false">IF(OR(F1573="",G1573=""),"",ROUND(F1573*G1573,0))</f>
        <v/>
      </c>
    </row>
    <row r="1574" customFormat="false" ht="15" hidden="false" customHeight="false" outlineLevel="0" collapsed="false">
      <c r="A1574" s="8"/>
      <c r="B1574" s="10" t="str">
        <f aca="false">IF(A1574="","",IFERROR(VLOOKUP(A1574,DonHang!$A$2:$C$500,3,FALSE()),"mã đơn chưa có"))</f>
        <v/>
      </c>
      <c r="C1574" s="8"/>
      <c r="D1574" s="8"/>
      <c r="E1574" s="8"/>
      <c r="F1574" s="13"/>
      <c r="G1574" s="14"/>
      <c r="H1574" s="8"/>
      <c r="I1574" s="11" t="str">
        <f aca="false">IF(OR(F1574="",G1574=""),"",ROUND(F1574*G1574,0))</f>
        <v/>
      </c>
    </row>
    <row r="1575" customFormat="false" ht="15" hidden="false" customHeight="false" outlineLevel="0" collapsed="false">
      <c r="A1575" s="8"/>
      <c r="B1575" s="10" t="str">
        <f aca="false">IF(A1575="","",IFERROR(VLOOKUP(A1575,DonHang!$A$2:$C$500,3,FALSE()),"mã đơn chưa có"))</f>
        <v/>
      </c>
      <c r="C1575" s="8"/>
      <c r="D1575" s="8"/>
      <c r="E1575" s="8"/>
      <c r="F1575" s="13"/>
      <c r="G1575" s="14"/>
      <c r="H1575" s="8"/>
      <c r="I1575" s="11" t="str">
        <f aca="false">IF(OR(F1575="",G1575=""),"",ROUND(F1575*G1575,0))</f>
        <v/>
      </c>
    </row>
    <row r="1576" customFormat="false" ht="15" hidden="false" customHeight="false" outlineLevel="0" collapsed="false">
      <c r="A1576" s="8"/>
      <c r="B1576" s="10" t="str">
        <f aca="false">IF(A1576="","",IFERROR(VLOOKUP(A1576,DonHang!$A$2:$C$500,3,FALSE()),"mã đơn chưa có"))</f>
        <v/>
      </c>
      <c r="C1576" s="8"/>
      <c r="D1576" s="8"/>
      <c r="E1576" s="8"/>
      <c r="F1576" s="13"/>
      <c r="G1576" s="14"/>
      <c r="H1576" s="8"/>
      <c r="I1576" s="11" t="str">
        <f aca="false">IF(OR(F1576="",G1576=""),"",ROUND(F1576*G1576,0))</f>
        <v/>
      </c>
    </row>
    <row r="1577" customFormat="false" ht="15" hidden="false" customHeight="false" outlineLevel="0" collapsed="false">
      <c r="A1577" s="8"/>
      <c r="B1577" s="10" t="str">
        <f aca="false">IF(A1577="","",IFERROR(VLOOKUP(A1577,DonHang!$A$2:$C$500,3,FALSE()),"mã đơn chưa có"))</f>
        <v/>
      </c>
      <c r="C1577" s="8"/>
      <c r="D1577" s="8"/>
      <c r="E1577" s="8"/>
      <c r="F1577" s="13"/>
      <c r="G1577" s="14"/>
      <c r="H1577" s="8"/>
      <c r="I1577" s="11" t="str">
        <f aca="false">IF(OR(F1577="",G1577=""),"",ROUND(F1577*G1577,0))</f>
        <v/>
      </c>
    </row>
    <row r="1578" customFormat="false" ht="15" hidden="false" customHeight="false" outlineLevel="0" collapsed="false">
      <c r="A1578" s="8"/>
      <c r="B1578" s="10" t="str">
        <f aca="false">IF(A1578="","",IFERROR(VLOOKUP(A1578,DonHang!$A$2:$C$500,3,FALSE()),"mã đơn chưa có"))</f>
        <v/>
      </c>
      <c r="C1578" s="8"/>
      <c r="D1578" s="8"/>
      <c r="E1578" s="8"/>
      <c r="F1578" s="13"/>
      <c r="G1578" s="14"/>
      <c r="H1578" s="8"/>
      <c r="I1578" s="11" t="str">
        <f aca="false">IF(OR(F1578="",G1578=""),"",ROUND(F1578*G1578,0))</f>
        <v/>
      </c>
    </row>
    <row r="1579" customFormat="false" ht="15" hidden="false" customHeight="false" outlineLevel="0" collapsed="false">
      <c r="A1579" s="8"/>
      <c r="B1579" s="10" t="str">
        <f aca="false">IF(A1579="","",IFERROR(VLOOKUP(A1579,DonHang!$A$2:$C$500,3,FALSE()),"mã đơn chưa có"))</f>
        <v/>
      </c>
      <c r="C1579" s="8"/>
      <c r="D1579" s="8"/>
      <c r="E1579" s="8"/>
      <c r="F1579" s="13"/>
      <c r="G1579" s="14"/>
      <c r="H1579" s="8"/>
      <c r="I1579" s="11" t="str">
        <f aca="false">IF(OR(F1579="",G1579=""),"",ROUND(F1579*G1579,0))</f>
        <v/>
      </c>
    </row>
    <row r="1580" customFormat="false" ht="15" hidden="false" customHeight="false" outlineLevel="0" collapsed="false">
      <c r="A1580" s="8"/>
      <c r="B1580" s="10" t="str">
        <f aca="false">IF(A1580="","",IFERROR(VLOOKUP(A1580,DonHang!$A$2:$C$500,3,FALSE()),"mã đơn chưa có"))</f>
        <v/>
      </c>
      <c r="C1580" s="8"/>
      <c r="D1580" s="8"/>
      <c r="E1580" s="8"/>
      <c r="F1580" s="13"/>
      <c r="G1580" s="14"/>
      <c r="H1580" s="8"/>
      <c r="I1580" s="11" t="str">
        <f aca="false">IF(OR(F1580="",G1580=""),"",ROUND(F1580*G1580,0))</f>
        <v/>
      </c>
    </row>
    <row r="1581" customFormat="false" ht="15" hidden="false" customHeight="false" outlineLevel="0" collapsed="false">
      <c r="A1581" s="8"/>
      <c r="B1581" s="10" t="str">
        <f aca="false">IF(A1581="","",IFERROR(VLOOKUP(A1581,DonHang!$A$2:$C$500,3,FALSE()),"mã đơn chưa có"))</f>
        <v/>
      </c>
      <c r="C1581" s="8"/>
      <c r="D1581" s="8"/>
      <c r="E1581" s="8"/>
      <c r="F1581" s="13"/>
      <c r="G1581" s="14"/>
      <c r="H1581" s="8"/>
      <c r="I1581" s="11" t="str">
        <f aca="false">IF(OR(F1581="",G1581=""),"",ROUND(F1581*G1581,0))</f>
        <v/>
      </c>
    </row>
    <row r="1582" customFormat="false" ht="15" hidden="false" customHeight="false" outlineLevel="0" collapsed="false">
      <c r="A1582" s="8"/>
      <c r="B1582" s="10" t="str">
        <f aca="false">IF(A1582="","",IFERROR(VLOOKUP(A1582,DonHang!$A$2:$C$500,3,FALSE()),"mã đơn chưa có"))</f>
        <v/>
      </c>
      <c r="C1582" s="8"/>
      <c r="D1582" s="8"/>
      <c r="E1582" s="8"/>
      <c r="F1582" s="13"/>
      <c r="G1582" s="14"/>
      <c r="H1582" s="8"/>
      <c r="I1582" s="11" t="str">
        <f aca="false">IF(OR(F1582="",G1582=""),"",ROUND(F1582*G1582,0))</f>
        <v/>
      </c>
    </row>
    <row r="1583" customFormat="false" ht="15" hidden="false" customHeight="false" outlineLevel="0" collapsed="false">
      <c r="A1583" s="8"/>
      <c r="B1583" s="10" t="str">
        <f aca="false">IF(A1583="","",IFERROR(VLOOKUP(A1583,DonHang!$A$2:$C$500,3,FALSE()),"mã đơn chưa có"))</f>
        <v/>
      </c>
      <c r="C1583" s="8"/>
      <c r="D1583" s="8"/>
      <c r="E1583" s="8"/>
      <c r="F1583" s="13"/>
      <c r="G1583" s="14"/>
      <c r="H1583" s="8"/>
      <c r="I1583" s="11" t="str">
        <f aca="false">IF(OR(F1583="",G1583=""),"",ROUND(F1583*G1583,0))</f>
        <v/>
      </c>
    </row>
    <row r="1584" customFormat="false" ht="15" hidden="false" customHeight="false" outlineLevel="0" collapsed="false">
      <c r="A1584" s="8"/>
      <c r="B1584" s="10" t="str">
        <f aca="false">IF(A1584="","",IFERROR(VLOOKUP(A1584,DonHang!$A$2:$C$500,3,FALSE()),"mã đơn chưa có"))</f>
        <v/>
      </c>
      <c r="C1584" s="8"/>
      <c r="D1584" s="8"/>
      <c r="E1584" s="8"/>
      <c r="F1584" s="13"/>
      <c r="G1584" s="14"/>
      <c r="H1584" s="8"/>
      <c r="I1584" s="11" t="str">
        <f aca="false">IF(OR(F1584="",G1584=""),"",ROUND(F1584*G1584,0))</f>
        <v/>
      </c>
    </row>
    <row r="1585" customFormat="false" ht="15" hidden="false" customHeight="false" outlineLevel="0" collapsed="false">
      <c r="A1585" s="8"/>
      <c r="B1585" s="10" t="str">
        <f aca="false">IF(A1585="","",IFERROR(VLOOKUP(A1585,DonHang!$A$2:$C$500,3,FALSE()),"mã đơn chưa có"))</f>
        <v/>
      </c>
      <c r="C1585" s="8"/>
      <c r="D1585" s="8"/>
      <c r="E1585" s="8"/>
      <c r="F1585" s="13"/>
      <c r="G1585" s="14"/>
      <c r="H1585" s="8"/>
      <c r="I1585" s="11" t="str">
        <f aca="false">IF(OR(F1585="",G1585=""),"",ROUND(F1585*G1585,0))</f>
        <v/>
      </c>
    </row>
    <row r="1586" customFormat="false" ht="15" hidden="false" customHeight="false" outlineLevel="0" collapsed="false">
      <c r="A1586" s="8"/>
      <c r="B1586" s="10" t="str">
        <f aca="false">IF(A1586="","",IFERROR(VLOOKUP(A1586,DonHang!$A$2:$C$500,3,FALSE()),"mã đơn chưa có"))</f>
        <v/>
      </c>
      <c r="C1586" s="8"/>
      <c r="D1586" s="8"/>
      <c r="E1586" s="8"/>
      <c r="F1586" s="13"/>
      <c r="G1586" s="14"/>
      <c r="H1586" s="8"/>
      <c r="I1586" s="11" t="str">
        <f aca="false">IF(OR(F1586="",G1586=""),"",ROUND(F1586*G1586,0))</f>
        <v/>
      </c>
    </row>
    <row r="1587" customFormat="false" ht="15" hidden="false" customHeight="false" outlineLevel="0" collapsed="false">
      <c r="A1587" s="8"/>
      <c r="B1587" s="10" t="str">
        <f aca="false">IF(A1587="","",IFERROR(VLOOKUP(A1587,DonHang!$A$2:$C$500,3,FALSE()),"mã đơn chưa có"))</f>
        <v/>
      </c>
      <c r="C1587" s="8"/>
      <c r="D1587" s="8"/>
      <c r="E1587" s="8"/>
      <c r="F1587" s="13"/>
      <c r="G1587" s="14"/>
      <c r="H1587" s="8"/>
      <c r="I1587" s="11" t="str">
        <f aca="false">IF(OR(F1587="",G1587=""),"",ROUND(F1587*G1587,0))</f>
        <v/>
      </c>
    </row>
    <row r="1588" customFormat="false" ht="15" hidden="false" customHeight="false" outlineLevel="0" collapsed="false">
      <c r="A1588" s="8"/>
      <c r="B1588" s="10" t="str">
        <f aca="false">IF(A1588="","",IFERROR(VLOOKUP(A1588,DonHang!$A$2:$C$500,3,FALSE()),"mã đơn chưa có"))</f>
        <v/>
      </c>
      <c r="C1588" s="8"/>
      <c r="D1588" s="8"/>
      <c r="E1588" s="8"/>
      <c r="F1588" s="13"/>
      <c r="G1588" s="14"/>
      <c r="H1588" s="8"/>
      <c r="I1588" s="11" t="str">
        <f aca="false">IF(OR(F1588="",G1588=""),"",ROUND(F1588*G1588,0))</f>
        <v/>
      </c>
    </row>
    <row r="1589" customFormat="false" ht="15" hidden="false" customHeight="false" outlineLevel="0" collapsed="false">
      <c r="A1589" s="8"/>
      <c r="B1589" s="10" t="str">
        <f aca="false">IF(A1589="","",IFERROR(VLOOKUP(A1589,DonHang!$A$2:$C$500,3,FALSE()),"mã đơn chưa có"))</f>
        <v/>
      </c>
      <c r="C1589" s="8"/>
      <c r="D1589" s="8"/>
      <c r="E1589" s="8"/>
      <c r="F1589" s="13"/>
      <c r="G1589" s="14"/>
      <c r="H1589" s="8"/>
      <c r="I1589" s="11" t="str">
        <f aca="false">IF(OR(F1589="",G1589=""),"",ROUND(F1589*G1589,0))</f>
        <v/>
      </c>
    </row>
    <row r="1590" customFormat="false" ht="15" hidden="false" customHeight="false" outlineLevel="0" collapsed="false">
      <c r="A1590" s="8"/>
      <c r="B1590" s="10" t="str">
        <f aca="false">IF(A1590="","",IFERROR(VLOOKUP(A1590,DonHang!$A$2:$C$500,3,FALSE()),"mã đơn chưa có"))</f>
        <v/>
      </c>
      <c r="C1590" s="8"/>
      <c r="D1590" s="8"/>
      <c r="E1590" s="8"/>
      <c r="F1590" s="13"/>
      <c r="G1590" s="14"/>
      <c r="H1590" s="8"/>
      <c r="I1590" s="11" t="str">
        <f aca="false">IF(OR(F1590="",G1590=""),"",ROUND(F1590*G1590,0))</f>
        <v/>
      </c>
    </row>
    <row r="1591" customFormat="false" ht="15" hidden="false" customHeight="false" outlineLevel="0" collapsed="false">
      <c r="A1591" s="8"/>
      <c r="B1591" s="10" t="str">
        <f aca="false">IF(A1591="","",IFERROR(VLOOKUP(A1591,DonHang!$A$2:$C$500,3,FALSE()),"mã đơn chưa có"))</f>
        <v/>
      </c>
      <c r="C1591" s="8"/>
      <c r="D1591" s="8"/>
      <c r="E1591" s="8"/>
      <c r="F1591" s="13"/>
      <c r="G1591" s="14"/>
      <c r="H1591" s="8"/>
      <c r="I1591" s="11" t="str">
        <f aca="false">IF(OR(F1591="",G1591=""),"",ROUND(F1591*G1591,0))</f>
        <v/>
      </c>
    </row>
    <row r="1592" customFormat="false" ht="15" hidden="false" customHeight="false" outlineLevel="0" collapsed="false">
      <c r="A1592" s="8"/>
      <c r="B1592" s="10" t="str">
        <f aca="false">IF(A1592="","",IFERROR(VLOOKUP(A1592,DonHang!$A$2:$C$500,3,FALSE()),"mã đơn chưa có"))</f>
        <v/>
      </c>
      <c r="C1592" s="8"/>
      <c r="D1592" s="8"/>
      <c r="E1592" s="8"/>
      <c r="F1592" s="13"/>
      <c r="G1592" s="14"/>
      <c r="H1592" s="8"/>
      <c r="I1592" s="11" t="str">
        <f aca="false">IF(OR(F1592="",G1592=""),"",ROUND(F1592*G1592,0))</f>
        <v/>
      </c>
    </row>
    <row r="1593" customFormat="false" ht="15" hidden="false" customHeight="false" outlineLevel="0" collapsed="false">
      <c r="A1593" s="8"/>
      <c r="B1593" s="10" t="str">
        <f aca="false">IF(A1593="","",IFERROR(VLOOKUP(A1593,DonHang!$A$2:$C$500,3,FALSE()),"mã đơn chưa có"))</f>
        <v/>
      </c>
      <c r="C1593" s="8"/>
      <c r="D1593" s="8"/>
      <c r="E1593" s="8"/>
      <c r="F1593" s="13"/>
      <c r="G1593" s="14"/>
      <c r="H1593" s="8"/>
      <c r="I1593" s="11" t="str">
        <f aca="false">IF(OR(F1593="",G1593=""),"",ROUND(F1593*G1593,0))</f>
        <v/>
      </c>
    </row>
    <row r="1594" customFormat="false" ht="15" hidden="false" customHeight="false" outlineLevel="0" collapsed="false">
      <c r="A1594" s="8"/>
      <c r="B1594" s="10" t="str">
        <f aca="false">IF(A1594="","",IFERROR(VLOOKUP(A1594,DonHang!$A$2:$C$500,3,FALSE()),"mã đơn chưa có"))</f>
        <v/>
      </c>
      <c r="C1594" s="8"/>
      <c r="D1594" s="8"/>
      <c r="E1594" s="8"/>
      <c r="F1594" s="13"/>
      <c r="G1594" s="14"/>
      <c r="H1594" s="8"/>
      <c r="I1594" s="11" t="str">
        <f aca="false">IF(OR(F1594="",G1594=""),"",ROUND(F1594*G1594,0))</f>
        <v/>
      </c>
    </row>
    <row r="1595" customFormat="false" ht="15" hidden="false" customHeight="false" outlineLevel="0" collapsed="false">
      <c r="A1595" s="8"/>
      <c r="B1595" s="10" t="str">
        <f aca="false">IF(A1595="","",IFERROR(VLOOKUP(A1595,DonHang!$A$2:$C$500,3,FALSE()),"mã đơn chưa có"))</f>
        <v/>
      </c>
      <c r="C1595" s="8"/>
      <c r="D1595" s="8"/>
      <c r="E1595" s="8"/>
      <c r="F1595" s="13"/>
      <c r="G1595" s="14"/>
      <c r="H1595" s="8"/>
      <c r="I1595" s="11" t="str">
        <f aca="false">IF(OR(F1595="",G1595=""),"",ROUND(F1595*G1595,0))</f>
        <v/>
      </c>
    </row>
    <row r="1596" customFormat="false" ht="15" hidden="false" customHeight="false" outlineLevel="0" collapsed="false">
      <c r="A1596" s="8"/>
      <c r="B1596" s="10" t="str">
        <f aca="false">IF(A1596="","",IFERROR(VLOOKUP(A1596,DonHang!$A$2:$C$500,3,FALSE()),"mã đơn chưa có"))</f>
        <v/>
      </c>
      <c r="C1596" s="8"/>
      <c r="D1596" s="8"/>
      <c r="E1596" s="8"/>
      <c r="F1596" s="13"/>
      <c r="G1596" s="14"/>
      <c r="H1596" s="8"/>
      <c r="I1596" s="11" t="str">
        <f aca="false">IF(OR(F1596="",G1596=""),"",ROUND(F1596*G1596,0))</f>
        <v/>
      </c>
    </row>
    <row r="1597" customFormat="false" ht="15" hidden="false" customHeight="false" outlineLevel="0" collapsed="false">
      <c r="A1597" s="8"/>
      <c r="B1597" s="10" t="str">
        <f aca="false">IF(A1597="","",IFERROR(VLOOKUP(A1597,DonHang!$A$2:$C$500,3,FALSE()),"mã đơn chưa có"))</f>
        <v/>
      </c>
      <c r="C1597" s="8"/>
      <c r="D1597" s="8"/>
      <c r="E1597" s="8"/>
      <c r="F1597" s="13"/>
      <c r="G1597" s="14"/>
      <c r="H1597" s="8"/>
      <c r="I1597" s="11" t="str">
        <f aca="false">IF(OR(F1597="",G1597=""),"",ROUND(F1597*G1597,0))</f>
        <v/>
      </c>
    </row>
    <row r="1598" customFormat="false" ht="15" hidden="false" customHeight="false" outlineLevel="0" collapsed="false">
      <c r="A1598" s="8"/>
      <c r="B1598" s="10" t="str">
        <f aca="false">IF(A1598="","",IFERROR(VLOOKUP(A1598,DonHang!$A$2:$C$500,3,FALSE()),"mã đơn chưa có"))</f>
        <v/>
      </c>
      <c r="C1598" s="8"/>
      <c r="D1598" s="8"/>
      <c r="E1598" s="8"/>
      <c r="F1598" s="13"/>
      <c r="G1598" s="14"/>
      <c r="H1598" s="8"/>
      <c r="I1598" s="11" t="str">
        <f aca="false">IF(OR(F1598="",G1598=""),"",ROUND(F1598*G1598,0))</f>
        <v/>
      </c>
    </row>
    <row r="1599" customFormat="false" ht="15" hidden="false" customHeight="false" outlineLevel="0" collapsed="false">
      <c r="A1599" s="8"/>
      <c r="B1599" s="10" t="str">
        <f aca="false">IF(A1599="","",IFERROR(VLOOKUP(A1599,DonHang!$A$2:$C$500,3,FALSE()),"mã đơn chưa có"))</f>
        <v/>
      </c>
      <c r="C1599" s="8"/>
      <c r="D1599" s="8"/>
      <c r="E1599" s="8"/>
      <c r="F1599" s="13"/>
      <c r="G1599" s="14"/>
      <c r="H1599" s="8"/>
      <c r="I1599" s="11" t="str">
        <f aca="false">IF(OR(F1599="",G1599=""),"",ROUND(F1599*G1599,0))</f>
        <v/>
      </c>
    </row>
    <row r="1600" customFormat="false" ht="15" hidden="false" customHeight="false" outlineLevel="0" collapsed="false">
      <c r="A1600" s="8"/>
      <c r="B1600" s="10" t="str">
        <f aca="false">IF(A1600="","",IFERROR(VLOOKUP(A1600,DonHang!$A$2:$C$500,3,FALSE()),"mã đơn chưa có"))</f>
        <v/>
      </c>
      <c r="C1600" s="8"/>
      <c r="D1600" s="8"/>
      <c r="E1600" s="8"/>
      <c r="F1600" s="13"/>
      <c r="G1600" s="14"/>
      <c r="H1600" s="8"/>
      <c r="I1600" s="11" t="str">
        <f aca="false">IF(OR(F1600="",G1600=""),"",ROUND(F1600*G1600,0))</f>
        <v/>
      </c>
    </row>
    <row r="1601" customFormat="false" ht="15" hidden="false" customHeight="false" outlineLevel="0" collapsed="false">
      <c r="A1601" s="8"/>
      <c r="B1601" s="10" t="str">
        <f aca="false">IF(A1601="","",IFERROR(VLOOKUP(A1601,DonHang!$A$2:$C$500,3,FALSE()),"mã đơn chưa có"))</f>
        <v/>
      </c>
      <c r="C1601" s="8"/>
      <c r="D1601" s="8"/>
      <c r="E1601" s="8"/>
      <c r="F1601" s="13"/>
      <c r="G1601" s="14"/>
      <c r="H1601" s="8"/>
      <c r="I1601" s="11" t="str">
        <f aca="false">IF(OR(F1601="",G1601=""),"",ROUND(F1601*G1601,0))</f>
        <v/>
      </c>
    </row>
    <row r="1602" customFormat="false" ht="15" hidden="false" customHeight="false" outlineLevel="0" collapsed="false">
      <c r="A1602" s="8"/>
      <c r="B1602" s="10" t="str">
        <f aca="false">IF(A1602="","",IFERROR(VLOOKUP(A1602,DonHang!$A$2:$C$500,3,FALSE()),"mã đơn chưa có"))</f>
        <v/>
      </c>
      <c r="C1602" s="8"/>
      <c r="D1602" s="8"/>
      <c r="E1602" s="8"/>
      <c r="F1602" s="13"/>
      <c r="G1602" s="14"/>
      <c r="H1602" s="8"/>
      <c r="I1602" s="11" t="str">
        <f aca="false">IF(OR(F1602="",G1602=""),"",ROUND(F1602*G1602,0))</f>
        <v/>
      </c>
    </row>
    <row r="1603" customFormat="false" ht="15" hidden="false" customHeight="false" outlineLevel="0" collapsed="false">
      <c r="A1603" s="8"/>
      <c r="B1603" s="10" t="str">
        <f aca="false">IF(A1603="","",IFERROR(VLOOKUP(A1603,DonHang!$A$2:$C$500,3,FALSE()),"mã đơn chưa có"))</f>
        <v/>
      </c>
      <c r="C1603" s="8"/>
      <c r="D1603" s="8"/>
      <c r="E1603" s="8"/>
      <c r="F1603" s="13"/>
      <c r="G1603" s="14"/>
      <c r="H1603" s="8"/>
      <c r="I1603" s="11" t="str">
        <f aca="false">IF(OR(F1603="",G1603=""),"",ROUND(F1603*G1603,0))</f>
        <v/>
      </c>
    </row>
    <row r="1604" customFormat="false" ht="15" hidden="false" customHeight="false" outlineLevel="0" collapsed="false">
      <c r="A1604" s="8"/>
      <c r="B1604" s="10" t="str">
        <f aca="false">IF(A1604="","",IFERROR(VLOOKUP(A1604,DonHang!$A$2:$C$500,3,FALSE()),"mã đơn chưa có"))</f>
        <v/>
      </c>
      <c r="C1604" s="8"/>
      <c r="D1604" s="8"/>
      <c r="E1604" s="8"/>
      <c r="F1604" s="13"/>
      <c r="G1604" s="14"/>
      <c r="H1604" s="8"/>
      <c r="I1604" s="11" t="str">
        <f aca="false">IF(OR(F1604="",G1604=""),"",ROUND(F1604*G1604,0))</f>
        <v/>
      </c>
    </row>
    <row r="1605" customFormat="false" ht="15" hidden="false" customHeight="false" outlineLevel="0" collapsed="false">
      <c r="A1605" s="8"/>
      <c r="B1605" s="10" t="str">
        <f aca="false">IF(A1605="","",IFERROR(VLOOKUP(A1605,DonHang!$A$2:$C$500,3,FALSE()),"mã đơn chưa có"))</f>
        <v/>
      </c>
      <c r="C1605" s="8"/>
      <c r="D1605" s="8"/>
      <c r="E1605" s="8"/>
      <c r="F1605" s="13"/>
      <c r="G1605" s="14"/>
      <c r="H1605" s="8"/>
      <c r="I1605" s="11" t="str">
        <f aca="false">IF(OR(F1605="",G1605=""),"",ROUND(F1605*G1605,0))</f>
        <v/>
      </c>
    </row>
    <row r="1606" customFormat="false" ht="15" hidden="false" customHeight="false" outlineLevel="0" collapsed="false">
      <c r="A1606" s="8"/>
      <c r="B1606" s="10" t="str">
        <f aca="false">IF(A1606="","",IFERROR(VLOOKUP(A1606,DonHang!$A$2:$C$500,3,FALSE()),"mã đơn chưa có"))</f>
        <v/>
      </c>
      <c r="C1606" s="8"/>
      <c r="D1606" s="8"/>
      <c r="E1606" s="8"/>
      <c r="F1606" s="13"/>
      <c r="G1606" s="14"/>
      <c r="H1606" s="8"/>
      <c r="I1606" s="11" t="str">
        <f aca="false">IF(OR(F1606="",G1606=""),"",ROUND(F1606*G1606,0))</f>
        <v/>
      </c>
    </row>
    <row r="1607" customFormat="false" ht="15" hidden="false" customHeight="false" outlineLevel="0" collapsed="false">
      <c r="A1607" s="8"/>
      <c r="B1607" s="10" t="str">
        <f aca="false">IF(A1607="","",IFERROR(VLOOKUP(A1607,DonHang!$A$2:$C$500,3,FALSE()),"mã đơn chưa có"))</f>
        <v/>
      </c>
      <c r="C1607" s="8"/>
      <c r="D1607" s="8"/>
      <c r="E1607" s="8"/>
      <c r="F1607" s="13"/>
      <c r="G1607" s="14"/>
      <c r="H1607" s="8"/>
      <c r="I1607" s="11" t="str">
        <f aca="false">IF(OR(F1607="",G1607=""),"",ROUND(F1607*G1607,0))</f>
        <v/>
      </c>
    </row>
    <row r="1608" customFormat="false" ht="15" hidden="false" customHeight="false" outlineLevel="0" collapsed="false">
      <c r="A1608" s="8"/>
      <c r="B1608" s="10" t="str">
        <f aca="false">IF(A1608="","",IFERROR(VLOOKUP(A1608,DonHang!$A$2:$C$500,3,FALSE()),"mã đơn chưa có"))</f>
        <v/>
      </c>
      <c r="C1608" s="8"/>
      <c r="D1608" s="8"/>
      <c r="E1608" s="8"/>
      <c r="F1608" s="13"/>
      <c r="G1608" s="14"/>
      <c r="H1608" s="8"/>
      <c r="I1608" s="11" t="str">
        <f aca="false">IF(OR(F1608="",G1608=""),"",ROUND(F1608*G1608,0))</f>
        <v/>
      </c>
    </row>
    <row r="1609" customFormat="false" ht="15" hidden="false" customHeight="false" outlineLevel="0" collapsed="false">
      <c r="A1609" s="8"/>
      <c r="B1609" s="10" t="str">
        <f aca="false">IF(A1609="","",IFERROR(VLOOKUP(A1609,DonHang!$A$2:$C$500,3,FALSE()),"mã đơn chưa có"))</f>
        <v/>
      </c>
      <c r="C1609" s="8"/>
      <c r="D1609" s="8"/>
      <c r="E1609" s="8"/>
      <c r="F1609" s="13"/>
      <c r="G1609" s="14"/>
      <c r="H1609" s="8"/>
      <c r="I1609" s="11" t="str">
        <f aca="false">IF(OR(F1609="",G1609=""),"",ROUND(F1609*G1609,0))</f>
        <v/>
      </c>
    </row>
    <row r="1610" customFormat="false" ht="15" hidden="false" customHeight="false" outlineLevel="0" collapsed="false">
      <c r="A1610" s="8"/>
      <c r="B1610" s="10" t="str">
        <f aca="false">IF(A1610="","",IFERROR(VLOOKUP(A1610,DonHang!$A$2:$C$500,3,FALSE()),"mã đơn chưa có"))</f>
        <v/>
      </c>
      <c r="C1610" s="8"/>
      <c r="D1610" s="8"/>
      <c r="E1610" s="8"/>
      <c r="F1610" s="13"/>
      <c r="G1610" s="14"/>
      <c r="H1610" s="8"/>
      <c r="I1610" s="11" t="str">
        <f aca="false">IF(OR(F1610="",G1610=""),"",ROUND(F1610*G1610,0))</f>
        <v/>
      </c>
    </row>
    <row r="1611" customFormat="false" ht="15" hidden="false" customHeight="false" outlineLevel="0" collapsed="false">
      <c r="A1611" s="8"/>
      <c r="B1611" s="10" t="str">
        <f aca="false">IF(A1611="","",IFERROR(VLOOKUP(A1611,DonHang!$A$2:$C$500,3,FALSE()),"mã đơn chưa có"))</f>
        <v/>
      </c>
      <c r="C1611" s="8"/>
      <c r="D1611" s="8"/>
      <c r="E1611" s="8"/>
      <c r="F1611" s="13"/>
      <c r="G1611" s="14"/>
      <c r="H1611" s="8"/>
      <c r="I1611" s="11" t="str">
        <f aca="false">IF(OR(F1611="",G1611=""),"",ROUND(F1611*G1611,0))</f>
        <v/>
      </c>
    </row>
    <row r="1612" customFormat="false" ht="15" hidden="false" customHeight="false" outlineLevel="0" collapsed="false">
      <c r="A1612" s="8"/>
      <c r="B1612" s="10" t="str">
        <f aca="false">IF(A1612="","",IFERROR(VLOOKUP(A1612,DonHang!$A$2:$C$500,3,FALSE()),"mã đơn chưa có"))</f>
        <v/>
      </c>
      <c r="C1612" s="8"/>
      <c r="D1612" s="8"/>
      <c r="E1612" s="8"/>
      <c r="F1612" s="13"/>
      <c r="G1612" s="14"/>
      <c r="H1612" s="8"/>
      <c r="I1612" s="11" t="str">
        <f aca="false">IF(OR(F1612="",G1612=""),"",ROUND(F1612*G1612,0))</f>
        <v/>
      </c>
    </row>
    <row r="1613" customFormat="false" ht="15" hidden="false" customHeight="false" outlineLevel="0" collapsed="false">
      <c r="A1613" s="8"/>
      <c r="B1613" s="10" t="str">
        <f aca="false">IF(A1613="","",IFERROR(VLOOKUP(A1613,DonHang!$A$2:$C$500,3,FALSE()),"mã đơn chưa có"))</f>
        <v/>
      </c>
      <c r="C1613" s="8"/>
      <c r="D1613" s="8"/>
      <c r="E1613" s="8"/>
      <c r="F1613" s="13"/>
      <c r="G1613" s="14"/>
      <c r="H1613" s="8"/>
      <c r="I1613" s="11" t="str">
        <f aca="false">IF(OR(F1613="",G1613=""),"",ROUND(F1613*G1613,0))</f>
        <v/>
      </c>
    </row>
    <row r="1614" customFormat="false" ht="15" hidden="false" customHeight="false" outlineLevel="0" collapsed="false">
      <c r="A1614" s="8"/>
      <c r="B1614" s="10" t="str">
        <f aca="false">IF(A1614="","",IFERROR(VLOOKUP(A1614,DonHang!$A$2:$C$500,3,FALSE()),"mã đơn chưa có"))</f>
        <v/>
      </c>
      <c r="C1614" s="8"/>
      <c r="D1614" s="8"/>
      <c r="E1614" s="8"/>
      <c r="F1614" s="13"/>
      <c r="G1614" s="14"/>
      <c r="H1614" s="8"/>
      <c r="I1614" s="11" t="str">
        <f aca="false">IF(OR(F1614="",G1614=""),"",ROUND(F1614*G1614,0))</f>
        <v/>
      </c>
    </row>
    <row r="1615" customFormat="false" ht="15" hidden="false" customHeight="false" outlineLevel="0" collapsed="false">
      <c r="A1615" s="8"/>
      <c r="B1615" s="10" t="str">
        <f aca="false">IF(A1615="","",IFERROR(VLOOKUP(A1615,DonHang!$A$2:$C$500,3,FALSE()),"mã đơn chưa có"))</f>
        <v/>
      </c>
      <c r="C1615" s="8"/>
      <c r="D1615" s="8"/>
      <c r="E1615" s="8"/>
      <c r="F1615" s="13"/>
      <c r="G1615" s="14"/>
      <c r="H1615" s="8"/>
      <c r="I1615" s="11" t="str">
        <f aca="false">IF(OR(F1615="",G1615=""),"",ROUND(F1615*G1615,0))</f>
        <v/>
      </c>
    </row>
    <row r="1616" customFormat="false" ht="15" hidden="false" customHeight="false" outlineLevel="0" collapsed="false">
      <c r="A1616" s="8"/>
      <c r="B1616" s="10" t="str">
        <f aca="false">IF(A1616="","",IFERROR(VLOOKUP(A1616,DonHang!$A$2:$C$500,3,FALSE()),"mã đơn chưa có"))</f>
        <v/>
      </c>
      <c r="C1616" s="8"/>
      <c r="D1616" s="8"/>
      <c r="E1616" s="8"/>
      <c r="F1616" s="13"/>
      <c r="G1616" s="14"/>
      <c r="H1616" s="8"/>
      <c r="I1616" s="11" t="str">
        <f aca="false">IF(OR(F1616="",G1616=""),"",ROUND(F1616*G1616,0))</f>
        <v/>
      </c>
    </row>
    <row r="1617" customFormat="false" ht="15" hidden="false" customHeight="false" outlineLevel="0" collapsed="false">
      <c r="A1617" s="8"/>
      <c r="B1617" s="10" t="str">
        <f aca="false">IF(A1617="","",IFERROR(VLOOKUP(A1617,DonHang!$A$2:$C$500,3,FALSE()),"mã đơn chưa có"))</f>
        <v/>
      </c>
      <c r="C1617" s="8"/>
      <c r="D1617" s="8"/>
      <c r="E1617" s="8"/>
      <c r="F1617" s="13"/>
      <c r="G1617" s="14"/>
      <c r="H1617" s="8"/>
      <c r="I1617" s="11" t="str">
        <f aca="false">IF(OR(F1617="",G1617=""),"",ROUND(F1617*G1617,0))</f>
        <v/>
      </c>
    </row>
    <row r="1618" customFormat="false" ht="15" hidden="false" customHeight="false" outlineLevel="0" collapsed="false">
      <c r="A1618" s="8"/>
      <c r="B1618" s="10" t="str">
        <f aca="false">IF(A1618="","",IFERROR(VLOOKUP(A1618,DonHang!$A$2:$C$500,3,FALSE()),"mã đơn chưa có"))</f>
        <v/>
      </c>
      <c r="C1618" s="8"/>
      <c r="D1618" s="8"/>
      <c r="E1618" s="8"/>
      <c r="F1618" s="13"/>
      <c r="G1618" s="14"/>
      <c r="H1618" s="8"/>
      <c r="I1618" s="11" t="str">
        <f aca="false">IF(OR(F1618="",G1618=""),"",ROUND(F1618*G1618,0))</f>
        <v/>
      </c>
    </row>
    <row r="1619" customFormat="false" ht="15" hidden="false" customHeight="false" outlineLevel="0" collapsed="false">
      <c r="A1619" s="8"/>
      <c r="B1619" s="10" t="str">
        <f aca="false">IF(A1619="","",IFERROR(VLOOKUP(A1619,DonHang!$A$2:$C$500,3,FALSE()),"mã đơn chưa có"))</f>
        <v/>
      </c>
      <c r="C1619" s="8"/>
      <c r="D1619" s="8"/>
      <c r="E1619" s="8"/>
      <c r="F1619" s="13"/>
      <c r="G1619" s="14"/>
      <c r="H1619" s="8"/>
      <c r="I1619" s="11" t="str">
        <f aca="false">IF(OR(F1619="",G1619=""),"",ROUND(F1619*G1619,0))</f>
        <v/>
      </c>
    </row>
    <row r="1620" customFormat="false" ht="15" hidden="false" customHeight="false" outlineLevel="0" collapsed="false">
      <c r="A1620" s="8"/>
      <c r="B1620" s="10" t="str">
        <f aca="false">IF(A1620="","",IFERROR(VLOOKUP(A1620,DonHang!$A$2:$C$500,3,FALSE()),"mã đơn chưa có"))</f>
        <v/>
      </c>
      <c r="C1620" s="8"/>
      <c r="D1620" s="8"/>
      <c r="E1620" s="8"/>
      <c r="F1620" s="13"/>
      <c r="G1620" s="14"/>
      <c r="H1620" s="8"/>
      <c r="I1620" s="11" t="str">
        <f aca="false">IF(OR(F1620="",G1620=""),"",ROUND(F1620*G1620,0))</f>
        <v/>
      </c>
    </row>
    <row r="1621" customFormat="false" ht="15" hidden="false" customHeight="false" outlineLevel="0" collapsed="false">
      <c r="A1621" s="8"/>
      <c r="B1621" s="10" t="str">
        <f aca="false">IF(A1621="","",IFERROR(VLOOKUP(A1621,DonHang!$A$2:$C$500,3,FALSE()),"mã đơn chưa có"))</f>
        <v/>
      </c>
      <c r="C1621" s="8"/>
      <c r="D1621" s="8"/>
      <c r="E1621" s="8"/>
      <c r="F1621" s="13"/>
      <c r="G1621" s="14"/>
      <c r="H1621" s="8"/>
      <c r="I1621" s="11" t="str">
        <f aca="false">IF(OR(F1621="",G1621=""),"",ROUND(F1621*G1621,0))</f>
        <v/>
      </c>
    </row>
    <row r="1622" customFormat="false" ht="15" hidden="false" customHeight="false" outlineLevel="0" collapsed="false">
      <c r="A1622" s="8"/>
      <c r="B1622" s="10" t="str">
        <f aca="false">IF(A1622="","",IFERROR(VLOOKUP(A1622,DonHang!$A$2:$C$500,3,FALSE()),"mã đơn chưa có"))</f>
        <v/>
      </c>
      <c r="C1622" s="8"/>
      <c r="D1622" s="8"/>
      <c r="E1622" s="8"/>
      <c r="F1622" s="13"/>
      <c r="G1622" s="14"/>
      <c r="H1622" s="8"/>
      <c r="I1622" s="11" t="str">
        <f aca="false">IF(OR(F1622="",G1622=""),"",ROUND(F1622*G1622,0))</f>
        <v/>
      </c>
    </row>
    <row r="1623" customFormat="false" ht="15" hidden="false" customHeight="false" outlineLevel="0" collapsed="false">
      <c r="A1623" s="8"/>
      <c r="B1623" s="10" t="str">
        <f aca="false">IF(A1623="","",IFERROR(VLOOKUP(A1623,DonHang!$A$2:$C$500,3,FALSE()),"mã đơn chưa có"))</f>
        <v/>
      </c>
      <c r="C1623" s="8"/>
      <c r="D1623" s="8"/>
      <c r="E1623" s="8"/>
      <c r="F1623" s="13"/>
      <c r="G1623" s="14"/>
      <c r="H1623" s="8"/>
      <c r="I1623" s="11" t="str">
        <f aca="false">IF(OR(F1623="",G1623=""),"",ROUND(F1623*G1623,0))</f>
        <v/>
      </c>
    </row>
    <row r="1624" customFormat="false" ht="15" hidden="false" customHeight="false" outlineLevel="0" collapsed="false">
      <c r="A1624" s="8"/>
      <c r="B1624" s="10" t="str">
        <f aca="false">IF(A1624="","",IFERROR(VLOOKUP(A1624,DonHang!$A$2:$C$500,3,FALSE()),"mã đơn chưa có"))</f>
        <v/>
      </c>
      <c r="C1624" s="8"/>
      <c r="D1624" s="8"/>
      <c r="E1624" s="8"/>
      <c r="F1624" s="13"/>
      <c r="G1624" s="14"/>
      <c r="H1624" s="8"/>
      <c r="I1624" s="11" t="str">
        <f aca="false">IF(OR(F1624="",G1624=""),"",ROUND(F1624*G1624,0))</f>
        <v/>
      </c>
    </row>
    <row r="1625" customFormat="false" ht="15" hidden="false" customHeight="false" outlineLevel="0" collapsed="false">
      <c r="A1625" s="8"/>
      <c r="B1625" s="10" t="str">
        <f aca="false">IF(A1625="","",IFERROR(VLOOKUP(A1625,DonHang!$A$2:$C$500,3,FALSE()),"mã đơn chưa có"))</f>
        <v/>
      </c>
      <c r="C1625" s="8"/>
      <c r="D1625" s="8"/>
      <c r="E1625" s="8"/>
      <c r="F1625" s="13"/>
      <c r="G1625" s="14"/>
      <c r="H1625" s="8"/>
      <c r="I1625" s="11" t="str">
        <f aca="false">IF(OR(F1625="",G1625=""),"",ROUND(F1625*G1625,0))</f>
        <v/>
      </c>
    </row>
    <row r="1626" customFormat="false" ht="15" hidden="false" customHeight="false" outlineLevel="0" collapsed="false">
      <c r="A1626" s="8"/>
      <c r="B1626" s="10" t="str">
        <f aca="false">IF(A1626="","",IFERROR(VLOOKUP(A1626,DonHang!$A$2:$C$500,3,FALSE()),"mã đơn chưa có"))</f>
        <v/>
      </c>
      <c r="C1626" s="8"/>
      <c r="D1626" s="8"/>
      <c r="E1626" s="8"/>
      <c r="F1626" s="13"/>
      <c r="G1626" s="14"/>
      <c r="H1626" s="8"/>
      <c r="I1626" s="11" t="str">
        <f aca="false">IF(OR(F1626="",G1626=""),"",ROUND(F1626*G1626,0))</f>
        <v/>
      </c>
    </row>
    <row r="1627" customFormat="false" ht="15" hidden="false" customHeight="false" outlineLevel="0" collapsed="false">
      <c r="A1627" s="8"/>
      <c r="B1627" s="10" t="str">
        <f aca="false">IF(A1627="","",IFERROR(VLOOKUP(A1627,DonHang!$A$2:$C$500,3,FALSE()),"mã đơn chưa có"))</f>
        <v/>
      </c>
      <c r="C1627" s="8"/>
      <c r="D1627" s="8"/>
      <c r="E1627" s="8"/>
      <c r="F1627" s="13"/>
      <c r="G1627" s="14"/>
      <c r="H1627" s="8"/>
      <c r="I1627" s="11" t="str">
        <f aca="false">IF(OR(F1627="",G1627=""),"",ROUND(F1627*G1627,0))</f>
        <v/>
      </c>
    </row>
    <row r="1628" customFormat="false" ht="15" hidden="false" customHeight="false" outlineLevel="0" collapsed="false">
      <c r="A1628" s="8"/>
      <c r="B1628" s="10" t="str">
        <f aca="false">IF(A1628="","",IFERROR(VLOOKUP(A1628,DonHang!$A$2:$C$500,3,FALSE()),"mã đơn chưa có"))</f>
        <v/>
      </c>
      <c r="C1628" s="8"/>
      <c r="D1628" s="8"/>
      <c r="E1628" s="8"/>
      <c r="F1628" s="13"/>
      <c r="G1628" s="14"/>
      <c r="H1628" s="8"/>
      <c r="I1628" s="11" t="str">
        <f aca="false">IF(OR(F1628="",G1628=""),"",ROUND(F1628*G1628,0))</f>
        <v/>
      </c>
    </row>
    <row r="1629" customFormat="false" ht="15" hidden="false" customHeight="false" outlineLevel="0" collapsed="false">
      <c r="A1629" s="8"/>
      <c r="B1629" s="10" t="str">
        <f aca="false">IF(A1629="","",IFERROR(VLOOKUP(A1629,DonHang!$A$2:$C$500,3,FALSE()),"mã đơn chưa có"))</f>
        <v/>
      </c>
      <c r="C1629" s="8"/>
      <c r="D1629" s="8"/>
      <c r="E1629" s="8"/>
      <c r="F1629" s="13"/>
      <c r="G1629" s="14"/>
      <c r="H1629" s="8"/>
      <c r="I1629" s="11" t="str">
        <f aca="false">IF(OR(F1629="",G1629=""),"",ROUND(F1629*G1629,0))</f>
        <v/>
      </c>
    </row>
    <row r="1630" customFormat="false" ht="15" hidden="false" customHeight="false" outlineLevel="0" collapsed="false">
      <c r="A1630" s="8"/>
      <c r="B1630" s="10" t="str">
        <f aca="false">IF(A1630="","",IFERROR(VLOOKUP(A1630,DonHang!$A$2:$C$500,3,FALSE()),"mã đơn chưa có"))</f>
        <v/>
      </c>
      <c r="C1630" s="8"/>
      <c r="D1630" s="8"/>
      <c r="E1630" s="8"/>
      <c r="F1630" s="13"/>
      <c r="G1630" s="14"/>
      <c r="H1630" s="8"/>
      <c r="I1630" s="11" t="str">
        <f aca="false">IF(OR(F1630="",G1630=""),"",ROUND(F1630*G1630,0))</f>
        <v/>
      </c>
    </row>
    <row r="1631" customFormat="false" ht="15" hidden="false" customHeight="false" outlineLevel="0" collapsed="false">
      <c r="A1631" s="8"/>
      <c r="B1631" s="10" t="str">
        <f aca="false">IF(A1631="","",IFERROR(VLOOKUP(A1631,DonHang!$A$2:$C$500,3,FALSE()),"mã đơn chưa có"))</f>
        <v/>
      </c>
      <c r="C1631" s="8"/>
      <c r="D1631" s="8"/>
      <c r="E1631" s="8"/>
      <c r="F1631" s="13"/>
      <c r="G1631" s="14"/>
      <c r="H1631" s="8"/>
      <c r="I1631" s="11" t="str">
        <f aca="false">IF(OR(F1631="",G1631=""),"",ROUND(F1631*G1631,0))</f>
        <v/>
      </c>
    </row>
    <row r="1632" customFormat="false" ht="15" hidden="false" customHeight="false" outlineLevel="0" collapsed="false">
      <c r="A1632" s="8"/>
      <c r="B1632" s="10" t="str">
        <f aca="false">IF(A1632="","",IFERROR(VLOOKUP(A1632,DonHang!$A$2:$C$500,3,FALSE()),"mã đơn chưa có"))</f>
        <v/>
      </c>
      <c r="C1632" s="8"/>
      <c r="D1632" s="8"/>
      <c r="E1632" s="8"/>
      <c r="F1632" s="13"/>
      <c r="G1632" s="14"/>
      <c r="H1632" s="8"/>
      <c r="I1632" s="11" t="str">
        <f aca="false">IF(OR(F1632="",G1632=""),"",ROUND(F1632*G1632,0))</f>
        <v/>
      </c>
    </row>
    <row r="1633" customFormat="false" ht="15" hidden="false" customHeight="false" outlineLevel="0" collapsed="false">
      <c r="A1633" s="8"/>
      <c r="B1633" s="10" t="str">
        <f aca="false">IF(A1633="","",IFERROR(VLOOKUP(A1633,DonHang!$A$2:$C$500,3,FALSE()),"mã đơn chưa có"))</f>
        <v/>
      </c>
      <c r="C1633" s="8"/>
      <c r="D1633" s="8"/>
      <c r="E1633" s="8"/>
      <c r="F1633" s="13"/>
      <c r="G1633" s="14"/>
      <c r="H1633" s="8"/>
      <c r="I1633" s="11" t="str">
        <f aca="false">IF(OR(F1633="",G1633=""),"",ROUND(F1633*G1633,0))</f>
        <v/>
      </c>
    </row>
    <row r="1634" customFormat="false" ht="15" hidden="false" customHeight="false" outlineLevel="0" collapsed="false">
      <c r="A1634" s="8"/>
      <c r="B1634" s="10" t="str">
        <f aca="false">IF(A1634="","",IFERROR(VLOOKUP(A1634,DonHang!$A$2:$C$500,3,FALSE()),"mã đơn chưa có"))</f>
        <v/>
      </c>
      <c r="C1634" s="8"/>
      <c r="D1634" s="8"/>
      <c r="E1634" s="8"/>
      <c r="F1634" s="13"/>
      <c r="G1634" s="14"/>
      <c r="H1634" s="8"/>
      <c r="I1634" s="11" t="str">
        <f aca="false">IF(OR(F1634="",G1634=""),"",ROUND(F1634*G1634,0))</f>
        <v/>
      </c>
    </row>
    <row r="1635" customFormat="false" ht="15" hidden="false" customHeight="false" outlineLevel="0" collapsed="false">
      <c r="A1635" s="8"/>
      <c r="B1635" s="10" t="str">
        <f aca="false">IF(A1635="","",IFERROR(VLOOKUP(A1635,DonHang!$A$2:$C$500,3,FALSE()),"mã đơn chưa có"))</f>
        <v/>
      </c>
      <c r="C1635" s="8"/>
      <c r="D1635" s="8"/>
      <c r="E1635" s="8"/>
      <c r="F1635" s="13"/>
      <c r="G1635" s="14"/>
      <c r="H1635" s="8"/>
      <c r="I1635" s="11" t="str">
        <f aca="false">IF(OR(F1635="",G1635=""),"",ROUND(F1635*G1635,0))</f>
        <v/>
      </c>
    </row>
    <row r="1636" customFormat="false" ht="15" hidden="false" customHeight="false" outlineLevel="0" collapsed="false">
      <c r="A1636" s="8"/>
      <c r="B1636" s="10" t="str">
        <f aca="false">IF(A1636="","",IFERROR(VLOOKUP(A1636,DonHang!$A$2:$C$500,3,FALSE()),"mã đơn chưa có"))</f>
        <v/>
      </c>
      <c r="C1636" s="8"/>
      <c r="D1636" s="8"/>
      <c r="E1636" s="8"/>
      <c r="F1636" s="13"/>
      <c r="G1636" s="14"/>
      <c r="H1636" s="8"/>
      <c r="I1636" s="11" t="str">
        <f aca="false">IF(OR(F1636="",G1636=""),"",ROUND(F1636*G1636,0))</f>
        <v/>
      </c>
    </row>
    <row r="1637" customFormat="false" ht="15" hidden="false" customHeight="false" outlineLevel="0" collapsed="false">
      <c r="A1637" s="8"/>
      <c r="B1637" s="10" t="str">
        <f aca="false">IF(A1637="","",IFERROR(VLOOKUP(A1637,DonHang!$A$2:$C$500,3,FALSE()),"mã đơn chưa có"))</f>
        <v/>
      </c>
      <c r="C1637" s="8"/>
      <c r="D1637" s="8"/>
      <c r="E1637" s="8"/>
      <c r="F1637" s="13"/>
      <c r="G1637" s="14"/>
      <c r="H1637" s="8"/>
      <c r="I1637" s="11" t="str">
        <f aca="false">IF(OR(F1637="",G1637=""),"",ROUND(F1637*G1637,0))</f>
        <v/>
      </c>
    </row>
    <row r="1638" customFormat="false" ht="15" hidden="false" customHeight="false" outlineLevel="0" collapsed="false">
      <c r="A1638" s="8"/>
      <c r="B1638" s="10" t="str">
        <f aca="false">IF(A1638="","",IFERROR(VLOOKUP(A1638,DonHang!$A$2:$C$500,3,FALSE()),"mã đơn chưa có"))</f>
        <v/>
      </c>
      <c r="C1638" s="8"/>
      <c r="D1638" s="8"/>
      <c r="E1638" s="8"/>
      <c r="F1638" s="13"/>
      <c r="G1638" s="14"/>
      <c r="H1638" s="8"/>
      <c r="I1638" s="11" t="str">
        <f aca="false">IF(OR(F1638="",G1638=""),"",ROUND(F1638*G1638,0))</f>
        <v/>
      </c>
    </row>
    <row r="1639" customFormat="false" ht="15" hidden="false" customHeight="false" outlineLevel="0" collapsed="false">
      <c r="A1639" s="8"/>
      <c r="B1639" s="10" t="str">
        <f aca="false">IF(A1639="","",IFERROR(VLOOKUP(A1639,DonHang!$A$2:$C$500,3,FALSE()),"mã đơn chưa có"))</f>
        <v/>
      </c>
      <c r="C1639" s="8"/>
      <c r="D1639" s="8"/>
      <c r="E1639" s="8"/>
      <c r="F1639" s="13"/>
      <c r="G1639" s="14"/>
      <c r="H1639" s="8"/>
      <c r="I1639" s="11" t="str">
        <f aca="false">IF(OR(F1639="",G1639=""),"",ROUND(F1639*G1639,0))</f>
        <v/>
      </c>
    </row>
    <row r="1640" customFormat="false" ht="15" hidden="false" customHeight="false" outlineLevel="0" collapsed="false">
      <c r="A1640" s="8"/>
      <c r="B1640" s="10" t="str">
        <f aca="false">IF(A1640="","",IFERROR(VLOOKUP(A1640,DonHang!$A$2:$C$500,3,FALSE()),"mã đơn chưa có"))</f>
        <v/>
      </c>
      <c r="C1640" s="8"/>
      <c r="D1640" s="8"/>
      <c r="E1640" s="8"/>
      <c r="F1640" s="13"/>
      <c r="G1640" s="14"/>
      <c r="H1640" s="8"/>
      <c r="I1640" s="11" t="str">
        <f aca="false">IF(OR(F1640="",G1640=""),"",ROUND(F1640*G1640,0))</f>
        <v/>
      </c>
    </row>
    <row r="1641" customFormat="false" ht="15" hidden="false" customHeight="false" outlineLevel="0" collapsed="false">
      <c r="A1641" s="8"/>
      <c r="B1641" s="10" t="str">
        <f aca="false">IF(A1641="","",IFERROR(VLOOKUP(A1641,DonHang!$A$2:$C$500,3,FALSE()),"mã đơn chưa có"))</f>
        <v/>
      </c>
      <c r="C1641" s="8"/>
      <c r="D1641" s="8"/>
      <c r="E1641" s="8"/>
      <c r="F1641" s="13"/>
      <c r="G1641" s="14"/>
      <c r="H1641" s="8"/>
      <c r="I1641" s="11" t="str">
        <f aca="false">IF(OR(F1641="",G1641=""),"",ROUND(F1641*G1641,0))</f>
        <v/>
      </c>
    </row>
    <row r="1642" customFormat="false" ht="15" hidden="false" customHeight="false" outlineLevel="0" collapsed="false">
      <c r="A1642" s="8"/>
      <c r="B1642" s="10" t="str">
        <f aca="false">IF(A1642="","",IFERROR(VLOOKUP(A1642,DonHang!$A$2:$C$500,3,FALSE()),"mã đơn chưa có"))</f>
        <v/>
      </c>
      <c r="C1642" s="8"/>
      <c r="D1642" s="8"/>
      <c r="E1642" s="8"/>
      <c r="F1642" s="13"/>
      <c r="G1642" s="14"/>
      <c r="H1642" s="8"/>
      <c r="I1642" s="11" t="str">
        <f aca="false">IF(OR(F1642="",G1642=""),"",ROUND(F1642*G1642,0))</f>
        <v/>
      </c>
    </row>
    <row r="1643" customFormat="false" ht="15" hidden="false" customHeight="false" outlineLevel="0" collapsed="false">
      <c r="A1643" s="8"/>
      <c r="B1643" s="10" t="str">
        <f aca="false">IF(A1643="","",IFERROR(VLOOKUP(A1643,DonHang!$A$2:$C$500,3,FALSE()),"mã đơn chưa có"))</f>
        <v/>
      </c>
      <c r="C1643" s="8"/>
      <c r="D1643" s="8"/>
      <c r="E1643" s="8"/>
      <c r="F1643" s="13"/>
      <c r="G1643" s="14"/>
      <c r="H1643" s="8"/>
      <c r="I1643" s="11" t="str">
        <f aca="false">IF(OR(F1643="",G1643=""),"",ROUND(F1643*G1643,0))</f>
        <v/>
      </c>
    </row>
    <row r="1644" customFormat="false" ht="15" hidden="false" customHeight="false" outlineLevel="0" collapsed="false">
      <c r="A1644" s="8"/>
      <c r="B1644" s="10" t="str">
        <f aca="false">IF(A1644="","",IFERROR(VLOOKUP(A1644,DonHang!$A$2:$C$500,3,FALSE()),"mã đơn chưa có"))</f>
        <v/>
      </c>
      <c r="C1644" s="8"/>
      <c r="D1644" s="8"/>
      <c r="E1644" s="8"/>
      <c r="F1644" s="13"/>
      <c r="G1644" s="14"/>
      <c r="H1644" s="8"/>
      <c r="I1644" s="11" t="str">
        <f aca="false">IF(OR(F1644="",G1644=""),"",ROUND(F1644*G1644,0))</f>
        <v/>
      </c>
    </row>
    <row r="1645" customFormat="false" ht="15" hidden="false" customHeight="false" outlineLevel="0" collapsed="false">
      <c r="A1645" s="8"/>
      <c r="B1645" s="10" t="str">
        <f aca="false">IF(A1645="","",IFERROR(VLOOKUP(A1645,DonHang!$A$2:$C$500,3,FALSE()),"mã đơn chưa có"))</f>
        <v/>
      </c>
      <c r="C1645" s="8"/>
      <c r="D1645" s="8"/>
      <c r="E1645" s="8"/>
      <c r="F1645" s="13"/>
      <c r="G1645" s="14"/>
      <c r="H1645" s="8"/>
      <c r="I1645" s="11" t="str">
        <f aca="false">IF(OR(F1645="",G1645=""),"",ROUND(F1645*G1645,0))</f>
        <v/>
      </c>
    </row>
    <row r="1646" customFormat="false" ht="15" hidden="false" customHeight="false" outlineLevel="0" collapsed="false">
      <c r="A1646" s="8"/>
      <c r="B1646" s="10" t="str">
        <f aca="false">IF(A1646="","",IFERROR(VLOOKUP(A1646,DonHang!$A$2:$C$500,3,FALSE()),"mã đơn chưa có"))</f>
        <v/>
      </c>
      <c r="C1646" s="8"/>
      <c r="D1646" s="8"/>
      <c r="E1646" s="8"/>
      <c r="F1646" s="13"/>
      <c r="G1646" s="14"/>
      <c r="H1646" s="8"/>
      <c r="I1646" s="11" t="str">
        <f aca="false">IF(OR(F1646="",G1646=""),"",ROUND(F1646*G1646,0))</f>
        <v/>
      </c>
    </row>
    <row r="1647" customFormat="false" ht="15" hidden="false" customHeight="false" outlineLevel="0" collapsed="false">
      <c r="A1647" s="8"/>
      <c r="B1647" s="10" t="str">
        <f aca="false">IF(A1647="","",IFERROR(VLOOKUP(A1647,DonHang!$A$2:$C$500,3,FALSE()),"mã đơn chưa có"))</f>
        <v/>
      </c>
      <c r="C1647" s="8"/>
      <c r="D1647" s="8"/>
      <c r="E1647" s="8"/>
      <c r="F1647" s="13"/>
      <c r="G1647" s="14"/>
      <c r="H1647" s="8"/>
      <c r="I1647" s="11" t="str">
        <f aca="false">IF(OR(F1647="",G1647=""),"",ROUND(F1647*G1647,0))</f>
        <v/>
      </c>
    </row>
    <row r="1648" customFormat="false" ht="15" hidden="false" customHeight="false" outlineLevel="0" collapsed="false">
      <c r="A1648" s="8"/>
      <c r="B1648" s="10" t="str">
        <f aca="false">IF(A1648="","",IFERROR(VLOOKUP(A1648,DonHang!$A$2:$C$500,3,FALSE()),"mã đơn chưa có"))</f>
        <v/>
      </c>
      <c r="C1648" s="8"/>
      <c r="D1648" s="8"/>
      <c r="E1648" s="8"/>
      <c r="F1648" s="13"/>
      <c r="G1648" s="14"/>
      <c r="H1648" s="8"/>
      <c r="I1648" s="11" t="str">
        <f aca="false">IF(OR(F1648="",G1648=""),"",ROUND(F1648*G1648,0))</f>
        <v/>
      </c>
    </row>
    <row r="1649" customFormat="false" ht="15" hidden="false" customHeight="false" outlineLevel="0" collapsed="false">
      <c r="A1649" s="8"/>
      <c r="B1649" s="10" t="str">
        <f aca="false">IF(A1649="","",IFERROR(VLOOKUP(A1649,DonHang!$A$2:$C$500,3,FALSE()),"mã đơn chưa có"))</f>
        <v/>
      </c>
      <c r="C1649" s="8"/>
      <c r="D1649" s="8"/>
      <c r="E1649" s="8"/>
      <c r="F1649" s="13"/>
      <c r="G1649" s="14"/>
      <c r="H1649" s="8"/>
      <c r="I1649" s="11" t="str">
        <f aca="false">IF(OR(F1649="",G1649=""),"",ROUND(F1649*G1649,0))</f>
        <v/>
      </c>
    </row>
    <row r="1650" customFormat="false" ht="15" hidden="false" customHeight="false" outlineLevel="0" collapsed="false">
      <c r="A1650" s="8"/>
      <c r="B1650" s="10" t="str">
        <f aca="false">IF(A1650="","",IFERROR(VLOOKUP(A1650,DonHang!$A$2:$C$500,3,FALSE()),"mã đơn chưa có"))</f>
        <v/>
      </c>
      <c r="C1650" s="8"/>
      <c r="D1650" s="8"/>
      <c r="E1650" s="8"/>
      <c r="F1650" s="13"/>
      <c r="G1650" s="14"/>
      <c r="H1650" s="8"/>
      <c r="I1650" s="11" t="str">
        <f aca="false">IF(OR(F1650="",G1650=""),"",ROUND(F1650*G1650,0))</f>
        <v/>
      </c>
    </row>
    <row r="1651" customFormat="false" ht="15" hidden="false" customHeight="false" outlineLevel="0" collapsed="false">
      <c r="A1651" s="8"/>
      <c r="B1651" s="10" t="str">
        <f aca="false">IF(A1651="","",IFERROR(VLOOKUP(A1651,DonHang!$A$2:$C$500,3,FALSE()),"mã đơn chưa có"))</f>
        <v/>
      </c>
      <c r="C1651" s="8"/>
      <c r="D1651" s="8"/>
      <c r="E1651" s="8"/>
      <c r="F1651" s="13"/>
      <c r="G1651" s="14"/>
      <c r="H1651" s="8"/>
      <c r="I1651" s="11" t="str">
        <f aca="false">IF(OR(F1651="",G1651=""),"",ROUND(F1651*G1651,0))</f>
        <v/>
      </c>
    </row>
    <row r="1652" customFormat="false" ht="15" hidden="false" customHeight="false" outlineLevel="0" collapsed="false">
      <c r="A1652" s="8"/>
      <c r="B1652" s="10" t="str">
        <f aca="false">IF(A1652="","",IFERROR(VLOOKUP(A1652,DonHang!$A$2:$C$500,3,FALSE()),"mã đơn chưa có"))</f>
        <v/>
      </c>
      <c r="C1652" s="8"/>
      <c r="D1652" s="8"/>
      <c r="E1652" s="8"/>
      <c r="F1652" s="13"/>
      <c r="G1652" s="14"/>
      <c r="H1652" s="8"/>
      <c r="I1652" s="11" t="str">
        <f aca="false">IF(OR(F1652="",G1652=""),"",ROUND(F1652*G1652,0))</f>
        <v/>
      </c>
    </row>
    <row r="1653" customFormat="false" ht="15" hidden="false" customHeight="false" outlineLevel="0" collapsed="false">
      <c r="A1653" s="8"/>
      <c r="B1653" s="10" t="str">
        <f aca="false">IF(A1653="","",IFERROR(VLOOKUP(A1653,DonHang!$A$2:$C$500,3,FALSE()),"mã đơn chưa có"))</f>
        <v/>
      </c>
      <c r="C1653" s="8"/>
      <c r="D1653" s="8"/>
      <c r="E1653" s="8"/>
      <c r="F1653" s="13"/>
      <c r="G1653" s="14"/>
      <c r="H1653" s="8"/>
      <c r="I1653" s="11" t="str">
        <f aca="false">IF(OR(F1653="",G1653=""),"",ROUND(F1653*G1653,0))</f>
        <v/>
      </c>
    </row>
    <row r="1654" customFormat="false" ht="15" hidden="false" customHeight="false" outlineLevel="0" collapsed="false">
      <c r="A1654" s="8"/>
      <c r="B1654" s="10" t="str">
        <f aca="false">IF(A1654="","",IFERROR(VLOOKUP(A1654,DonHang!$A$2:$C$500,3,FALSE()),"mã đơn chưa có"))</f>
        <v/>
      </c>
      <c r="C1654" s="8"/>
      <c r="D1654" s="8"/>
      <c r="E1654" s="8"/>
      <c r="F1654" s="13"/>
      <c r="G1654" s="14"/>
      <c r="H1654" s="8"/>
      <c r="I1654" s="11" t="str">
        <f aca="false">IF(OR(F1654="",G1654=""),"",ROUND(F1654*G1654,0))</f>
        <v/>
      </c>
    </row>
    <row r="1655" customFormat="false" ht="15" hidden="false" customHeight="false" outlineLevel="0" collapsed="false">
      <c r="A1655" s="8"/>
      <c r="B1655" s="10" t="str">
        <f aca="false">IF(A1655="","",IFERROR(VLOOKUP(A1655,DonHang!$A$2:$C$500,3,FALSE()),"mã đơn chưa có"))</f>
        <v/>
      </c>
      <c r="C1655" s="8"/>
      <c r="D1655" s="8"/>
      <c r="E1655" s="8"/>
      <c r="F1655" s="13"/>
      <c r="G1655" s="14"/>
      <c r="H1655" s="8"/>
      <c r="I1655" s="11" t="str">
        <f aca="false">IF(OR(F1655="",G1655=""),"",ROUND(F1655*G1655,0))</f>
        <v/>
      </c>
    </row>
    <row r="1656" customFormat="false" ht="15" hidden="false" customHeight="false" outlineLevel="0" collapsed="false">
      <c r="A1656" s="8"/>
      <c r="B1656" s="10" t="str">
        <f aca="false">IF(A1656="","",IFERROR(VLOOKUP(A1656,DonHang!$A$2:$C$500,3,FALSE()),"mã đơn chưa có"))</f>
        <v/>
      </c>
      <c r="C1656" s="8"/>
      <c r="D1656" s="8"/>
      <c r="E1656" s="8"/>
      <c r="F1656" s="13"/>
      <c r="G1656" s="14"/>
      <c r="H1656" s="8"/>
      <c r="I1656" s="11" t="str">
        <f aca="false">IF(OR(F1656="",G1656=""),"",ROUND(F1656*G1656,0))</f>
        <v/>
      </c>
    </row>
    <row r="1657" customFormat="false" ht="15" hidden="false" customHeight="false" outlineLevel="0" collapsed="false">
      <c r="A1657" s="8"/>
      <c r="B1657" s="10" t="str">
        <f aca="false">IF(A1657="","",IFERROR(VLOOKUP(A1657,DonHang!$A$2:$C$500,3,FALSE()),"mã đơn chưa có"))</f>
        <v/>
      </c>
      <c r="C1657" s="8"/>
      <c r="D1657" s="8"/>
      <c r="E1657" s="8"/>
      <c r="F1657" s="13"/>
      <c r="G1657" s="14"/>
      <c r="H1657" s="8"/>
      <c r="I1657" s="11" t="str">
        <f aca="false">IF(OR(F1657="",G1657=""),"",ROUND(F1657*G1657,0))</f>
        <v/>
      </c>
    </row>
    <row r="1658" customFormat="false" ht="15" hidden="false" customHeight="false" outlineLevel="0" collapsed="false">
      <c r="A1658" s="8"/>
      <c r="B1658" s="10" t="str">
        <f aca="false">IF(A1658="","",IFERROR(VLOOKUP(A1658,DonHang!$A$2:$C$500,3,FALSE()),"mã đơn chưa có"))</f>
        <v/>
      </c>
      <c r="C1658" s="8"/>
      <c r="D1658" s="8"/>
      <c r="E1658" s="8"/>
      <c r="F1658" s="13"/>
      <c r="G1658" s="14"/>
      <c r="H1658" s="8"/>
      <c r="I1658" s="11" t="str">
        <f aca="false">IF(OR(F1658="",G1658=""),"",ROUND(F1658*G1658,0))</f>
        <v/>
      </c>
    </row>
    <row r="1659" customFormat="false" ht="15" hidden="false" customHeight="false" outlineLevel="0" collapsed="false">
      <c r="A1659" s="8"/>
      <c r="B1659" s="10" t="str">
        <f aca="false">IF(A1659="","",IFERROR(VLOOKUP(A1659,DonHang!$A$2:$C$500,3,FALSE()),"mã đơn chưa có"))</f>
        <v/>
      </c>
      <c r="C1659" s="8"/>
      <c r="D1659" s="8"/>
      <c r="E1659" s="8"/>
      <c r="F1659" s="13"/>
      <c r="G1659" s="14"/>
      <c r="H1659" s="8"/>
      <c r="I1659" s="11" t="str">
        <f aca="false">IF(OR(F1659="",G1659=""),"",ROUND(F1659*G1659,0))</f>
        <v/>
      </c>
    </row>
    <row r="1660" customFormat="false" ht="15" hidden="false" customHeight="false" outlineLevel="0" collapsed="false">
      <c r="A1660" s="8"/>
      <c r="B1660" s="10" t="str">
        <f aca="false">IF(A1660="","",IFERROR(VLOOKUP(A1660,DonHang!$A$2:$C$500,3,FALSE()),"mã đơn chưa có"))</f>
        <v/>
      </c>
      <c r="C1660" s="8"/>
      <c r="D1660" s="8"/>
      <c r="E1660" s="8"/>
      <c r="F1660" s="13"/>
      <c r="G1660" s="14"/>
      <c r="H1660" s="8"/>
      <c r="I1660" s="11" t="str">
        <f aca="false">IF(OR(F1660="",G1660=""),"",ROUND(F1660*G1660,0))</f>
        <v/>
      </c>
    </row>
    <row r="1661" customFormat="false" ht="15" hidden="false" customHeight="false" outlineLevel="0" collapsed="false">
      <c r="A1661" s="8"/>
      <c r="B1661" s="10" t="str">
        <f aca="false">IF(A1661="","",IFERROR(VLOOKUP(A1661,DonHang!$A$2:$C$500,3,FALSE()),"mã đơn chưa có"))</f>
        <v/>
      </c>
      <c r="C1661" s="8"/>
      <c r="D1661" s="8"/>
      <c r="E1661" s="8"/>
      <c r="F1661" s="13"/>
      <c r="G1661" s="14"/>
      <c r="H1661" s="8"/>
      <c r="I1661" s="11" t="str">
        <f aca="false">IF(OR(F1661="",G1661=""),"",ROUND(F1661*G1661,0))</f>
        <v/>
      </c>
    </row>
    <row r="1662" customFormat="false" ht="15" hidden="false" customHeight="false" outlineLevel="0" collapsed="false">
      <c r="A1662" s="8"/>
      <c r="B1662" s="10" t="str">
        <f aca="false">IF(A1662="","",IFERROR(VLOOKUP(A1662,DonHang!$A$2:$C$500,3,FALSE()),"mã đơn chưa có"))</f>
        <v/>
      </c>
      <c r="C1662" s="8"/>
      <c r="D1662" s="8"/>
      <c r="E1662" s="8"/>
      <c r="F1662" s="13"/>
      <c r="G1662" s="14"/>
      <c r="H1662" s="8"/>
      <c r="I1662" s="11" t="str">
        <f aca="false">IF(OR(F1662="",G1662=""),"",ROUND(F1662*G1662,0))</f>
        <v/>
      </c>
    </row>
    <row r="1663" customFormat="false" ht="15" hidden="false" customHeight="false" outlineLevel="0" collapsed="false">
      <c r="A1663" s="8"/>
      <c r="B1663" s="10" t="str">
        <f aca="false">IF(A1663="","",IFERROR(VLOOKUP(A1663,DonHang!$A$2:$C$500,3,FALSE()),"mã đơn chưa có"))</f>
        <v/>
      </c>
      <c r="C1663" s="8"/>
      <c r="D1663" s="8"/>
      <c r="E1663" s="8"/>
      <c r="F1663" s="13"/>
      <c r="G1663" s="14"/>
      <c r="H1663" s="8"/>
      <c r="I1663" s="11" t="str">
        <f aca="false">IF(OR(F1663="",G1663=""),"",ROUND(F1663*G1663,0))</f>
        <v/>
      </c>
    </row>
    <row r="1664" customFormat="false" ht="15" hidden="false" customHeight="false" outlineLevel="0" collapsed="false">
      <c r="A1664" s="8"/>
      <c r="B1664" s="10" t="str">
        <f aca="false">IF(A1664="","",IFERROR(VLOOKUP(A1664,DonHang!$A$2:$C$500,3,FALSE()),"mã đơn chưa có"))</f>
        <v/>
      </c>
      <c r="C1664" s="8"/>
      <c r="D1664" s="8"/>
      <c r="E1664" s="8"/>
      <c r="F1664" s="13"/>
      <c r="G1664" s="14"/>
      <c r="H1664" s="8"/>
      <c r="I1664" s="11" t="str">
        <f aca="false">IF(OR(F1664="",G1664=""),"",ROUND(F1664*G1664,0))</f>
        <v/>
      </c>
    </row>
    <row r="1665" customFormat="false" ht="15" hidden="false" customHeight="false" outlineLevel="0" collapsed="false">
      <c r="A1665" s="8"/>
      <c r="B1665" s="10" t="str">
        <f aca="false">IF(A1665="","",IFERROR(VLOOKUP(A1665,DonHang!$A$2:$C$500,3,FALSE()),"mã đơn chưa có"))</f>
        <v/>
      </c>
      <c r="C1665" s="8"/>
      <c r="D1665" s="8"/>
      <c r="E1665" s="8"/>
      <c r="F1665" s="13"/>
      <c r="G1665" s="14"/>
      <c r="H1665" s="8"/>
      <c r="I1665" s="11" t="str">
        <f aca="false">IF(OR(F1665="",G1665=""),"",ROUND(F1665*G1665,0))</f>
        <v/>
      </c>
    </row>
    <row r="1666" customFormat="false" ht="15" hidden="false" customHeight="false" outlineLevel="0" collapsed="false">
      <c r="A1666" s="8"/>
      <c r="B1666" s="10" t="str">
        <f aca="false">IF(A1666="","",IFERROR(VLOOKUP(A1666,DonHang!$A$2:$C$500,3,FALSE()),"mã đơn chưa có"))</f>
        <v/>
      </c>
      <c r="C1666" s="8"/>
      <c r="D1666" s="8"/>
      <c r="E1666" s="8"/>
      <c r="F1666" s="13"/>
      <c r="G1666" s="14"/>
      <c r="H1666" s="8"/>
      <c r="I1666" s="11" t="str">
        <f aca="false">IF(OR(F1666="",G1666=""),"",ROUND(F1666*G1666,0))</f>
        <v/>
      </c>
    </row>
    <row r="1667" customFormat="false" ht="15" hidden="false" customHeight="false" outlineLevel="0" collapsed="false">
      <c r="A1667" s="8"/>
      <c r="B1667" s="10" t="str">
        <f aca="false">IF(A1667="","",IFERROR(VLOOKUP(A1667,DonHang!$A$2:$C$500,3,FALSE()),"mã đơn chưa có"))</f>
        <v/>
      </c>
      <c r="C1667" s="8"/>
      <c r="D1667" s="8"/>
      <c r="E1667" s="8"/>
      <c r="F1667" s="13"/>
      <c r="G1667" s="14"/>
      <c r="H1667" s="8"/>
      <c r="I1667" s="11" t="str">
        <f aca="false">IF(OR(F1667="",G1667=""),"",ROUND(F1667*G1667,0))</f>
        <v/>
      </c>
    </row>
    <row r="1668" customFormat="false" ht="15" hidden="false" customHeight="false" outlineLevel="0" collapsed="false">
      <c r="A1668" s="8"/>
      <c r="B1668" s="10" t="str">
        <f aca="false">IF(A1668="","",IFERROR(VLOOKUP(A1668,DonHang!$A$2:$C$500,3,FALSE()),"mã đơn chưa có"))</f>
        <v/>
      </c>
      <c r="C1668" s="8"/>
      <c r="D1668" s="8"/>
      <c r="E1668" s="8"/>
      <c r="F1668" s="13"/>
      <c r="G1668" s="14"/>
      <c r="H1668" s="8"/>
      <c r="I1668" s="11" t="str">
        <f aca="false">IF(OR(F1668="",G1668=""),"",ROUND(F1668*G1668,0))</f>
        <v/>
      </c>
    </row>
    <row r="1669" customFormat="false" ht="15" hidden="false" customHeight="false" outlineLevel="0" collapsed="false">
      <c r="A1669" s="8"/>
      <c r="B1669" s="10" t="str">
        <f aca="false">IF(A1669="","",IFERROR(VLOOKUP(A1669,DonHang!$A$2:$C$500,3,FALSE()),"mã đơn chưa có"))</f>
        <v/>
      </c>
      <c r="C1669" s="8"/>
      <c r="D1669" s="8"/>
      <c r="E1669" s="8"/>
      <c r="F1669" s="13"/>
      <c r="G1669" s="14"/>
      <c r="H1669" s="8"/>
      <c r="I1669" s="11" t="str">
        <f aca="false">IF(OR(F1669="",G1669=""),"",ROUND(F1669*G1669,0))</f>
        <v/>
      </c>
    </row>
    <row r="1670" customFormat="false" ht="15" hidden="false" customHeight="false" outlineLevel="0" collapsed="false">
      <c r="A1670" s="8"/>
      <c r="B1670" s="10" t="str">
        <f aca="false">IF(A1670="","",IFERROR(VLOOKUP(A1670,DonHang!$A$2:$C$500,3,FALSE()),"mã đơn chưa có"))</f>
        <v/>
      </c>
      <c r="C1670" s="8"/>
      <c r="D1670" s="8"/>
      <c r="E1670" s="8"/>
      <c r="F1670" s="13"/>
      <c r="G1670" s="14"/>
      <c r="H1670" s="8"/>
      <c r="I1670" s="11" t="str">
        <f aca="false">IF(OR(F1670="",G1670=""),"",ROUND(F1670*G1670,0))</f>
        <v/>
      </c>
    </row>
    <row r="1671" customFormat="false" ht="15" hidden="false" customHeight="false" outlineLevel="0" collapsed="false">
      <c r="A1671" s="8"/>
      <c r="B1671" s="10" t="str">
        <f aca="false">IF(A1671="","",IFERROR(VLOOKUP(A1671,DonHang!$A$2:$C$500,3,FALSE()),"mã đơn chưa có"))</f>
        <v/>
      </c>
      <c r="C1671" s="8"/>
      <c r="D1671" s="8"/>
      <c r="E1671" s="8"/>
      <c r="F1671" s="13"/>
      <c r="G1671" s="14"/>
      <c r="H1671" s="8"/>
      <c r="I1671" s="11" t="str">
        <f aca="false">IF(OR(F1671="",G1671=""),"",ROUND(F1671*G1671,0))</f>
        <v/>
      </c>
    </row>
    <row r="1672" customFormat="false" ht="15" hidden="false" customHeight="false" outlineLevel="0" collapsed="false">
      <c r="A1672" s="8"/>
      <c r="B1672" s="10" t="str">
        <f aca="false">IF(A1672="","",IFERROR(VLOOKUP(A1672,DonHang!$A$2:$C$500,3,FALSE()),"mã đơn chưa có"))</f>
        <v/>
      </c>
      <c r="C1672" s="8"/>
      <c r="D1672" s="8"/>
      <c r="E1672" s="8"/>
      <c r="F1672" s="13"/>
      <c r="G1672" s="14"/>
      <c r="H1672" s="8"/>
      <c r="I1672" s="11" t="str">
        <f aca="false">IF(OR(F1672="",G1672=""),"",ROUND(F1672*G1672,0))</f>
        <v/>
      </c>
    </row>
    <row r="1673" customFormat="false" ht="15" hidden="false" customHeight="false" outlineLevel="0" collapsed="false">
      <c r="A1673" s="8"/>
      <c r="B1673" s="10" t="str">
        <f aca="false">IF(A1673="","",IFERROR(VLOOKUP(A1673,DonHang!$A$2:$C$500,3,FALSE()),"mã đơn chưa có"))</f>
        <v/>
      </c>
      <c r="C1673" s="8"/>
      <c r="D1673" s="8"/>
      <c r="E1673" s="8"/>
      <c r="F1673" s="13"/>
      <c r="G1673" s="14"/>
      <c r="H1673" s="8"/>
      <c r="I1673" s="11" t="str">
        <f aca="false">IF(OR(F1673="",G1673=""),"",ROUND(F1673*G1673,0))</f>
        <v/>
      </c>
    </row>
    <row r="1674" customFormat="false" ht="15" hidden="false" customHeight="false" outlineLevel="0" collapsed="false">
      <c r="A1674" s="8"/>
      <c r="B1674" s="10" t="str">
        <f aca="false">IF(A1674="","",IFERROR(VLOOKUP(A1674,DonHang!$A$2:$C$500,3,FALSE()),"mã đơn chưa có"))</f>
        <v/>
      </c>
      <c r="C1674" s="8"/>
      <c r="D1674" s="8"/>
      <c r="E1674" s="8"/>
      <c r="F1674" s="13"/>
      <c r="G1674" s="14"/>
      <c r="H1674" s="8"/>
      <c r="I1674" s="11" t="str">
        <f aca="false">IF(OR(F1674="",G1674=""),"",ROUND(F1674*G1674,0))</f>
        <v/>
      </c>
    </row>
    <row r="1675" customFormat="false" ht="15" hidden="false" customHeight="false" outlineLevel="0" collapsed="false">
      <c r="A1675" s="8"/>
      <c r="B1675" s="10" t="str">
        <f aca="false">IF(A1675="","",IFERROR(VLOOKUP(A1675,DonHang!$A$2:$C$500,3,FALSE()),"mã đơn chưa có"))</f>
        <v/>
      </c>
      <c r="C1675" s="8"/>
      <c r="D1675" s="8"/>
      <c r="E1675" s="8"/>
      <c r="F1675" s="13"/>
      <c r="G1675" s="14"/>
      <c r="H1675" s="8"/>
      <c r="I1675" s="11" t="str">
        <f aca="false">IF(OR(F1675="",G1675=""),"",ROUND(F1675*G1675,0))</f>
        <v/>
      </c>
    </row>
    <row r="1676" customFormat="false" ht="15" hidden="false" customHeight="false" outlineLevel="0" collapsed="false">
      <c r="A1676" s="8"/>
      <c r="B1676" s="10" t="str">
        <f aca="false">IF(A1676="","",IFERROR(VLOOKUP(A1676,DonHang!$A$2:$C$500,3,FALSE()),"mã đơn chưa có"))</f>
        <v/>
      </c>
      <c r="C1676" s="8"/>
      <c r="D1676" s="8"/>
      <c r="E1676" s="8"/>
      <c r="F1676" s="13"/>
      <c r="G1676" s="14"/>
      <c r="H1676" s="8"/>
      <c r="I1676" s="11" t="str">
        <f aca="false">IF(OR(F1676="",G1676=""),"",ROUND(F1676*G1676,0))</f>
        <v/>
      </c>
    </row>
    <row r="1677" customFormat="false" ht="15" hidden="false" customHeight="false" outlineLevel="0" collapsed="false">
      <c r="A1677" s="8"/>
      <c r="B1677" s="10" t="str">
        <f aca="false">IF(A1677="","",IFERROR(VLOOKUP(A1677,DonHang!$A$2:$C$500,3,FALSE()),"mã đơn chưa có"))</f>
        <v/>
      </c>
      <c r="C1677" s="8"/>
      <c r="D1677" s="8"/>
      <c r="E1677" s="8"/>
      <c r="F1677" s="13"/>
      <c r="G1677" s="14"/>
      <c r="H1677" s="8"/>
      <c r="I1677" s="11" t="str">
        <f aca="false">IF(OR(F1677="",G1677=""),"",ROUND(F1677*G1677,0))</f>
        <v/>
      </c>
    </row>
    <row r="1678" customFormat="false" ht="15" hidden="false" customHeight="false" outlineLevel="0" collapsed="false">
      <c r="A1678" s="8"/>
      <c r="B1678" s="10" t="str">
        <f aca="false">IF(A1678="","",IFERROR(VLOOKUP(A1678,DonHang!$A$2:$C$500,3,FALSE()),"mã đơn chưa có"))</f>
        <v/>
      </c>
      <c r="C1678" s="8"/>
      <c r="D1678" s="8"/>
      <c r="E1678" s="8"/>
      <c r="F1678" s="13"/>
      <c r="G1678" s="14"/>
      <c r="H1678" s="8"/>
      <c r="I1678" s="11" t="str">
        <f aca="false">IF(OR(F1678="",G1678=""),"",ROUND(F1678*G1678,0))</f>
        <v/>
      </c>
    </row>
    <row r="1679" customFormat="false" ht="15" hidden="false" customHeight="false" outlineLevel="0" collapsed="false">
      <c r="A1679" s="8"/>
      <c r="B1679" s="10" t="str">
        <f aca="false">IF(A1679="","",IFERROR(VLOOKUP(A1679,DonHang!$A$2:$C$500,3,FALSE()),"mã đơn chưa có"))</f>
        <v/>
      </c>
      <c r="C1679" s="8"/>
      <c r="D1679" s="8"/>
      <c r="E1679" s="8"/>
      <c r="F1679" s="13"/>
      <c r="G1679" s="14"/>
      <c r="H1679" s="8"/>
      <c r="I1679" s="11" t="str">
        <f aca="false">IF(OR(F1679="",G1679=""),"",ROUND(F1679*G1679,0))</f>
        <v/>
      </c>
    </row>
    <row r="1680" customFormat="false" ht="15" hidden="false" customHeight="false" outlineLevel="0" collapsed="false">
      <c r="A1680" s="8"/>
      <c r="B1680" s="10" t="str">
        <f aca="false">IF(A1680="","",IFERROR(VLOOKUP(A1680,DonHang!$A$2:$C$500,3,FALSE()),"mã đơn chưa có"))</f>
        <v/>
      </c>
      <c r="C1680" s="8"/>
      <c r="D1680" s="8"/>
      <c r="E1680" s="8"/>
      <c r="F1680" s="13"/>
      <c r="G1680" s="14"/>
      <c r="H1680" s="8"/>
      <c r="I1680" s="11" t="str">
        <f aca="false">IF(OR(F1680="",G1680=""),"",ROUND(F1680*G1680,0))</f>
        <v/>
      </c>
    </row>
    <row r="1681" customFormat="false" ht="15" hidden="false" customHeight="false" outlineLevel="0" collapsed="false">
      <c r="A1681" s="8"/>
      <c r="B1681" s="10" t="str">
        <f aca="false">IF(A1681="","",IFERROR(VLOOKUP(A1681,DonHang!$A$2:$C$500,3,FALSE()),"mã đơn chưa có"))</f>
        <v/>
      </c>
      <c r="C1681" s="8"/>
      <c r="D1681" s="8"/>
      <c r="E1681" s="8"/>
      <c r="F1681" s="13"/>
      <c r="G1681" s="14"/>
      <c r="H1681" s="8"/>
      <c r="I1681" s="11" t="str">
        <f aca="false">IF(OR(F1681="",G1681=""),"",ROUND(F1681*G1681,0))</f>
        <v/>
      </c>
    </row>
    <row r="1682" customFormat="false" ht="15" hidden="false" customHeight="false" outlineLevel="0" collapsed="false">
      <c r="A1682" s="8"/>
      <c r="B1682" s="10" t="str">
        <f aca="false">IF(A1682="","",IFERROR(VLOOKUP(A1682,DonHang!$A$2:$C$500,3,FALSE()),"mã đơn chưa có"))</f>
        <v/>
      </c>
      <c r="C1682" s="8"/>
      <c r="D1682" s="8"/>
      <c r="E1682" s="8"/>
      <c r="F1682" s="13"/>
      <c r="G1682" s="14"/>
      <c r="H1682" s="8"/>
      <c r="I1682" s="11" t="str">
        <f aca="false">IF(OR(F1682="",G1682=""),"",ROUND(F1682*G1682,0))</f>
        <v/>
      </c>
    </row>
    <row r="1683" customFormat="false" ht="15" hidden="false" customHeight="false" outlineLevel="0" collapsed="false">
      <c r="A1683" s="8"/>
      <c r="B1683" s="10" t="str">
        <f aca="false">IF(A1683="","",IFERROR(VLOOKUP(A1683,DonHang!$A$2:$C$500,3,FALSE()),"mã đơn chưa có"))</f>
        <v/>
      </c>
      <c r="C1683" s="8"/>
      <c r="D1683" s="8"/>
      <c r="E1683" s="8"/>
      <c r="F1683" s="13"/>
      <c r="G1683" s="14"/>
      <c r="H1683" s="8"/>
      <c r="I1683" s="11" t="str">
        <f aca="false">IF(OR(F1683="",G1683=""),"",ROUND(F1683*G1683,0))</f>
        <v/>
      </c>
    </row>
    <row r="1684" customFormat="false" ht="15" hidden="false" customHeight="false" outlineLevel="0" collapsed="false">
      <c r="A1684" s="8"/>
      <c r="B1684" s="10" t="str">
        <f aca="false">IF(A1684="","",IFERROR(VLOOKUP(A1684,DonHang!$A$2:$C$500,3,FALSE()),"mã đơn chưa có"))</f>
        <v/>
      </c>
      <c r="C1684" s="8"/>
      <c r="D1684" s="8"/>
      <c r="E1684" s="8"/>
      <c r="F1684" s="13"/>
      <c r="G1684" s="14"/>
      <c r="H1684" s="8"/>
      <c r="I1684" s="11" t="str">
        <f aca="false">IF(OR(F1684="",G1684=""),"",ROUND(F1684*G1684,0))</f>
        <v/>
      </c>
    </row>
    <row r="1685" customFormat="false" ht="15" hidden="false" customHeight="false" outlineLevel="0" collapsed="false">
      <c r="A1685" s="8"/>
      <c r="B1685" s="10" t="str">
        <f aca="false">IF(A1685="","",IFERROR(VLOOKUP(A1685,DonHang!$A$2:$C$500,3,FALSE()),"mã đơn chưa có"))</f>
        <v/>
      </c>
      <c r="C1685" s="8"/>
      <c r="D1685" s="8"/>
      <c r="E1685" s="8"/>
      <c r="F1685" s="13"/>
      <c r="G1685" s="14"/>
      <c r="H1685" s="8"/>
      <c r="I1685" s="11" t="str">
        <f aca="false">IF(OR(F1685="",G1685=""),"",ROUND(F1685*G1685,0))</f>
        <v/>
      </c>
    </row>
    <row r="1686" customFormat="false" ht="15" hidden="false" customHeight="false" outlineLevel="0" collapsed="false">
      <c r="A1686" s="8"/>
      <c r="B1686" s="10" t="str">
        <f aca="false">IF(A1686="","",IFERROR(VLOOKUP(A1686,DonHang!$A$2:$C$500,3,FALSE()),"mã đơn chưa có"))</f>
        <v/>
      </c>
      <c r="C1686" s="8"/>
      <c r="D1686" s="8"/>
      <c r="E1686" s="8"/>
      <c r="F1686" s="13"/>
      <c r="G1686" s="14"/>
      <c r="H1686" s="8"/>
      <c r="I1686" s="11" t="str">
        <f aca="false">IF(OR(F1686="",G1686=""),"",ROUND(F1686*G1686,0))</f>
        <v/>
      </c>
    </row>
    <row r="1687" customFormat="false" ht="15" hidden="false" customHeight="false" outlineLevel="0" collapsed="false">
      <c r="A1687" s="8"/>
      <c r="B1687" s="10" t="str">
        <f aca="false">IF(A1687="","",IFERROR(VLOOKUP(A1687,DonHang!$A$2:$C$500,3,FALSE()),"mã đơn chưa có"))</f>
        <v/>
      </c>
      <c r="C1687" s="8"/>
      <c r="D1687" s="8"/>
      <c r="E1687" s="8"/>
      <c r="F1687" s="13"/>
      <c r="G1687" s="14"/>
      <c r="H1687" s="8"/>
      <c r="I1687" s="11" t="str">
        <f aca="false">IF(OR(F1687="",G1687=""),"",ROUND(F1687*G1687,0))</f>
        <v/>
      </c>
    </row>
    <row r="1688" customFormat="false" ht="15" hidden="false" customHeight="false" outlineLevel="0" collapsed="false">
      <c r="A1688" s="8"/>
      <c r="B1688" s="10" t="str">
        <f aca="false">IF(A1688="","",IFERROR(VLOOKUP(A1688,DonHang!$A$2:$C$500,3,FALSE()),"mã đơn chưa có"))</f>
        <v/>
      </c>
      <c r="C1688" s="8"/>
      <c r="D1688" s="8"/>
      <c r="E1688" s="8"/>
      <c r="F1688" s="13"/>
      <c r="G1688" s="14"/>
      <c r="H1688" s="8"/>
      <c r="I1688" s="11" t="str">
        <f aca="false">IF(OR(F1688="",G1688=""),"",ROUND(F1688*G1688,0))</f>
        <v/>
      </c>
    </row>
    <row r="1689" customFormat="false" ht="15" hidden="false" customHeight="false" outlineLevel="0" collapsed="false">
      <c r="A1689" s="8"/>
      <c r="B1689" s="10" t="str">
        <f aca="false">IF(A1689="","",IFERROR(VLOOKUP(A1689,DonHang!$A$2:$C$500,3,FALSE()),"mã đơn chưa có"))</f>
        <v/>
      </c>
      <c r="C1689" s="8"/>
      <c r="D1689" s="8"/>
      <c r="E1689" s="8"/>
      <c r="F1689" s="13"/>
      <c r="G1689" s="14"/>
      <c r="H1689" s="8"/>
      <c r="I1689" s="11" t="str">
        <f aca="false">IF(OR(F1689="",G1689=""),"",ROUND(F1689*G1689,0))</f>
        <v/>
      </c>
    </row>
    <row r="1690" customFormat="false" ht="15" hidden="false" customHeight="false" outlineLevel="0" collapsed="false">
      <c r="A1690" s="8"/>
      <c r="B1690" s="10" t="str">
        <f aca="false">IF(A1690="","",IFERROR(VLOOKUP(A1690,DonHang!$A$2:$C$500,3,FALSE()),"mã đơn chưa có"))</f>
        <v/>
      </c>
      <c r="C1690" s="8"/>
      <c r="D1690" s="8"/>
      <c r="E1690" s="8"/>
      <c r="F1690" s="13"/>
      <c r="G1690" s="14"/>
      <c r="H1690" s="8"/>
      <c r="I1690" s="11" t="str">
        <f aca="false">IF(OR(F1690="",G1690=""),"",ROUND(F1690*G1690,0))</f>
        <v/>
      </c>
    </row>
    <row r="1691" customFormat="false" ht="15" hidden="false" customHeight="false" outlineLevel="0" collapsed="false">
      <c r="A1691" s="8"/>
      <c r="B1691" s="10" t="str">
        <f aca="false">IF(A1691="","",IFERROR(VLOOKUP(A1691,DonHang!$A$2:$C$500,3,FALSE()),"mã đơn chưa có"))</f>
        <v/>
      </c>
      <c r="C1691" s="8"/>
      <c r="D1691" s="8"/>
      <c r="E1691" s="8"/>
      <c r="F1691" s="13"/>
      <c r="G1691" s="14"/>
      <c r="H1691" s="8"/>
      <c r="I1691" s="11" t="str">
        <f aca="false">IF(OR(F1691="",G1691=""),"",ROUND(F1691*G1691,0))</f>
        <v/>
      </c>
    </row>
    <row r="1692" customFormat="false" ht="15" hidden="false" customHeight="false" outlineLevel="0" collapsed="false">
      <c r="A1692" s="8"/>
      <c r="B1692" s="10" t="str">
        <f aca="false">IF(A1692="","",IFERROR(VLOOKUP(A1692,DonHang!$A$2:$C$500,3,FALSE()),"mã đơn chưa có"))</f>
        <v/>
      </c>
      <c r="C1692" s="8"/>
      <c r="D1692" s="8"/>
      <c r="E1692" s="8"/>
      <c r="F1692" s="13"/>
      <c r="G1692" s="14"/>
      <c r="H1692" s="8"/>
      <c r="I1692" s="11" t="str">
        <f aca="false">IF(OR(F1692="",G1692=""),"",ROUND(F1692*G1692,0))</f>
        <v/>
      </c>
    </row>
    <row r="1693" customFormat="false" ht="15" hidden="false" customHeight="false" outlineLevel="0" collapsed="false">
      <c r="A1693" s="8"/>
      <c r="B1693" s="10" t="str">
        <f aca="false">IF(A1693="","",IFERROR(VLOOKUP(A1693,DonHang!$A$2:$C$500,3,FALSE()),"mã đơn chưa có"))</f>
        <v/>
      </c>
      <c r="C1693" s="8"/>
      <c r="D1693" s="8"/>
      <c r="E1693" s="8"/>
      <c r="F1693" s="13"/>
      <c r="G1693" s="14"/>
      <c r="H1693" s="8"/>
      <c r="I1693" s="11" t="str">
        <f aca="false">IF(OR(F1693="",G1693=""),"",ROUND(F1693*G1693,0))</f>
        <v/>
      </c>
    </row>
    <row r="1694" customFormat="false" ht="15" hidden="false" customHeight="false" outlineLevel="0" collapsed="false">
      <c r="A1694" s="8"/>
      <c r="B1694" s="10" t="str">
        <f aca="false">IF(A1694="","",IFERROR(VLOOKUP(A1694,DonHang!$A$2:$C$500,3,FALSE()),"mã đơn chưa có"))</f>
        <v/>
      </c>
      <c r="C1694" s="8"/>
      <c r="D1694" s="8"/>
      <c r="E1694" s="8"/>
      <c r="F1694" s="13"/>
      <c r="G1694" s="14"/>
      <c r="H1694" s="8"/>
      <c r="I1694" s="11" t="str">
        <f aca="false">IF(OR(F1694="",G1694=""),"",ROUND(F1694*G1694,0))</f>
        <v/>
      </c>
    </row>
    <row r="1695" customFormat="false" ht="15" hidden="false" customHeight="false" outlineLevel="0" collapsed="false">
      <c r="A1695" s="8"/>
      <c r="B1695" s="10" t="str">
        <f aca="false">IF(A1695="","",IFERROR(VLOOKUP(A1695,DonHang!$A$2:$C$500,3,FALSE()),"mã đơn chưa có"))</f>
        <v/>
      </c>
      <c r="C1695" s="8"/>
      <c r="D1695" s="8"/>
      <c r="E1695" s="8"/>
      <c r="F1695" s="13"/>
      <c r="G1695" s="14"/>
      <c r="H1695" s="8"/>
      <c r="I1695" s="11" t="str">
        <f aca="false">IF(OR(F1695="",G1695=""),"",ROUND(F1695*G1695,0))</f>
        <v/>
      </c>
    </row>
    <row r="1696" customFormat="false" ht="15" hidden="false" customHeight="false" outlineLevel="0" collapsed="false">
      <c r="A1696" s="8"/>
      <c r="B1696" s="10" t="str">
        <f aca="false">IF(A1696="","",IFERROR(VLOOKUP(A1696,DonHang!$A$2:$C$500,3,FALSE()),"mã đơn chưa có"))</f>
        <v/>
      </c>
      <c r="C1696" s="8"/>
      <c r="D1696" s="8"/>
      <c r="E1696" s="8"/>
      <c r="F1696" s="13"/>
      <c r="G1696" s="14"/>
      <c r="H1696" s="8"/>
      <c r="I1696" s="11" t="str">
        <f aca="false">IF(OR(F1696="",G1696=""),"",ROUND(F1696*G1696,0))</f>
        <v/>
      </c>
    </row>
    <row r="1697" customFormat="false" ht="15" hidden="false" customHeight="false" outlineLevel="0" collapsed="false">
      <c r="A1697" s="8"/>
      <c r="B1697" s="10" t="str">
        <f aca="false">IF(A1697="","",IFERROR(VLOOKUP(A1697,DonHang!$A$2:$C$500,3,FALSE()),"mã đơn chưa có"))</f>
        <v/>
      </c>
      <c r="C1697" s="8"/>
      <c r="D1697" s="8"/>
      <c r="E1697" s="8"/>
      <c r="F1697" s="13"/>
      <c r="G1697" s="14"/>
      <c r="H1697" s="8"/>
      <c r="I1697" s="11" t="str">
        <f aca="false">IF(OR(F1697="",G1697=""),"",ROUND(F1697*G1697,0))</f>
        <v/>
      </c>
    </row>
    <row r="1698" customFormat="false" ht="15" hidden="false" customHeight="false" outlineLevel="0" collapsed="false">
      <c r="A1698" s="8"/>
      <c r="B1698" s="10" t="str">
        <f aca="false">IF(A1698="","",IFERROR(VLOOKUP(A1698,DonHang!$A$2:$C$500,3,FALSE()),"mã đơn chưa có"))</f>
        <v/>
      </c>
      <c r="C1698" s="8"/>
      <c r="D1698" s="8"/>
      <c r="E1698" s="8"/>
      <c r="F1698" s="13"/>
      <c r="G1698" s="14"/>
      <c r="H1698" s="8"/>
      <c r="I1698" s="11" t="str">
        <f aca="false">IF(OR(F1698="",G1698=""),"",ROUND(F1698*G1698,0))</f>
        <v/>
      </c>
    </row>
    <row r="1699" customFormat="false" ht="15" hidden="false" customHeight="false" outlineLevel="0" collapsed="false">
      <c r="A1699" s="8"/>
      <c r="B1699" s="10" t="str">
        <f aca="false">IF(A1699="","",IFERROR(VLOOKUP(A1699,DonHang!$A$2:$C$500,3,FALSE()),"mã đơn chưa có"))</f>
        <v/>
      </c>
      <c r="C1699" s="8"/>
      <c r="D1699" s="8"/>
      <c r="E1699" s="8"/>
      <c r="F1699" s="13"/>
      <c r="G1699" s="14"/>
      <c r="H1699" s="8"/>
      <c r="I1699" s="11" t="str">
        <f aca="false">IF(OR(F1699="",G1699=""),"",ROUND(F1699*G1699,0))</f>
        <v/>
      </c>
    </row>
    <row r="1700" customFormat="false" ht="15" hidden="false" customHeight="false" outlineLevel="0" collapsed="false">
      <c r="A1700" s="8"/>
      <c r="B1700" s="10" t="str">
        <f aca="false">IF(A1700="","",IFERROR(VLOOKUP(A1700,DonHang!$A$2:$C$500,3,FALSE()),"mã đơn chưa có"))</f>
        <v/>
      </c>
      <c r="C1700" s="8"/>
      <c r="D1700" s="8"/>
      <c r="E1700" s="8"/>
      <c r="F1700" s="13"/>
      <c r="G1700" s="14"/>
      <c r="H1700" s="8"/>
      <c r="I1700" s="11" t="str">
        <f aca="false">IF(OR(F1700="",G1700=""),"",ROUND(F1700*G1700,0))</f>
        <v/>
      </c>
    </row>
    <row r="1701" customFormat="false" ht="15" hidden="false" customHeight="false" outlineLevel="0" collapsed="false">
      <c r="A1701" s="8"/>
      <c r="B1701" s="10" t="str">
        <f aca="false">IF(A1701="","",IFERROR(VLOOKUP(A1701,DonHang!$A$2:$C$500,3,FALSE()),"mã đơn chưa có"))</f>
        <v/>
      </c>
      <c r="C1701" s="8"/>
      <c r="D1701" s="8"/>
      <c r="E1701" s="8"/>
      <c r="F1701" s="13"/>
      <c r="G1701" s="14"/>
      <c r="H1701" s="8"/>
      <c r="I1701" s="11" t="str">
        <f aca="false">IF(OR(F1701="",G1701=""),"",ROUND(F1701*G1701,0))</f>
        <v/>
      </c>
    </row>
    <row r="1702" customFormat="false" ht="15" hidden="false" customHeight="false" outlineLevel="0" collapsed="false">
      <c r="A1702" s="8"/>
      <c r="B1702" s="10" t="str">
        <f aca="false">IF(A1702="","",IFERROR(VLOOKUP(A1702,DonHang!$A$2:$C$500,3,FALSE()),"mã đơn chưa có"))</f>
        <v/>
      </c>
      <c r="C1702" s="8"/>
      <c r="D1702" s="8"/>
      <c r="E1702" s="8"/>
      <c r="F1702" s="13"/>
      <c r="G1702" s="14"/>
      <c r="H1702" s="8"/>
      <c r="I1702" s="11" t="str">
        <f aca="false">IF(OR(F1702="",G1702=""),"",ROUND(F1702*G1702,0))</f>
        <v/>
      </c>
    </row>
    <row r="1703" customFormat="false" ht="15" hidden="false" customHeight="false" outlineLevel="0" collapsed="false">
      <c r="A1703" s="8"/>
      <c r="B1703" s="10" t="str">
        <f aca="false">IF(A1703="","",IFERROR(VLOOKUP(A1703,DonHang!$A$2:$C$500,3,FALSE()),"mã đơn chưa có"))</f>
        <v/>
      </c>
      <c r="C1703" s="8"/>
      <c r="D1703" s="8"/>
      <c r="E1703" s="8"/>
      <c r="F1703" s="13"/>
      <c r="G1703" s="14"/>
      <c r="H1703" s="8"/>
      <c r="I1703" s="11" t="str">
        <f aca="false">IF(OR(F1703="",G1703=""),"",ROUND(F1703*G1703,0))</f>
        <v/>
      </c>
    </row>
    <row r="1704" customFormat="false" ht="15" hidden="false" customHeight="false" outlineLevel="0" collapsed="false">
      <c r="A1704" s="8"/>
      <c r="B1704" s="10" t="str">
        <f aca="false">IF(A1704="","",IFERROR(VLOOKUP(A1704,DonHang!$A$2:$C$500,3,FALSE()),"mã đơn chưa có"))</f>
        <v/>
      </c>
      <c r="C1704" s="8"/>
      <c r="D1704" s="8"/>
      <c r="E1704" s="8"/>
      <c r="F1704" s="13"/>
      <c r="G1704" s="14"/>
      <c r="H1704" s="8"/>
      <c r="I1704" s="11" t="str">
        <f aca="false">IF(OR(F1704="",G1704=""),"",ROUND(F1704*G1704,0))</f>
        <v/>
      </c>
    </row>
    <row r="1705" customFormat="false" ht="15" hidden="false" customHeight="false" outlineLevel="0" collapsed="false">
      <c r="A1705" s="8"/>
      <c r="B1705" s="10" t="str">
        <f aca="false">IF(A1705="","",IFERROR(VLOOKUP(A1705,DonHang!$A$2:$C$500,3,FALSE()),"mã đơn chưa có"))</f>
        <v/>
      </c>
      <c r="C1705" s="8"/>
      <c r="D1705" s="8"/>
      <c r="E1705" s="8"/>
      <c r="F1705" s="13"/>
      <c r="G1705" s="14"/>
      <c r="H1705" s="8"/>
      <c r="I1705" s="11" t="str">
        <f aca="false">IF(OR(F1705="",G1705=""),"",ROUND(F1705*G1705,0))</f>
        <v/>
      </c>
    </row>
    <row r="1706" customFormat="false" ht="15" hidden="false" customHeight="false" outlineLevel="0" collapsed="false">
      <c r="A1706" s="8"/>
      <c r="B1706" s="10" t="str">
        <f aca="false">IF(A1706="","",IFERROR(VLOOKUP(A1706,DonHang!$A$2:$C$500,3,FALSE()),"mã đơn chưa có"))</f>
        <v/>
      </c>
      <c r="C1706" s="8"/>
      <c r="D1706" s="8"/>
      <c r="E1706" s="8"/>
      <c r="F1706" s="13"/>
      <c r="G1706" s="14"/>
      <c r="H1706" s="8"/>
      <c r="I1706" s="11" t="str">
        <f aca="false">IF(OR(F1706="",G1706=""),"",ROUND(F1706*G1706,0))</f>
        <v/>
      </c>
    </row>
    <row r="1707" customFormat="false" ht="15" hidden="false" customHeight="false" outlineLevel="0" collapsed="false">
      <c r="A1707" s="8"/>
      <c r="B1707" s="10" t="str">
        <f aca="false">IF(A1707="","",IFERROR(VLOOKUP(A1707,DonHang!$A$2:$C$500,3,FALSE()),"mã đơn chưa có"))</f>
        <v/>
      </c>
      <c r="C1707" s="8"/>
      <c r="D1707" s="8"/>
      <c r="E1707" s="8"/>
      <c r="F1707" s="13"/>
      <c r="G1707" s="14"/>
      <c r="H1707" s="8"/>
      <c r="I1707" s="11" t="str">
        <f aca="false">IF(OR(F1707="",G1707=""),"",ROUND(F1707*G1707,0))</f>
        <v/>
      </c>
    </row>
    <row r="1708" customFormat="false" ht="15" hidden="false" customHeight="false" outlineLevel="0" collapsed="false">
      <c r="A1708" s="8"/>
      <c r="B1708" s="10" t="str">
        <f aca="false">IF(A1708="","",IFERROR(VLOOKUP(A1708,DonHang!$A$2:$C$500,3,FALSE()),"mã đơn chưa có"))</f>
        <v/>
      </c>
      <c r="C1708" s="8"/>
      <c r="D1708" s="8"/>
      <c r="E1708" s="8"/>
      <c r="F1708" s="13"/>
      <c r="G1708" s="14"/>
      <c r="H1708" s="8"/>
      <c r="I1708" s="11" t="str">
        <f aca="false">IF(OR(F1708="",G1708=""),"",ROUND(F1708*G1708,0))</f>
        <v/>
      </c>
    </row>
    <row r="1709" customFormat="false" ht="15" hidden="false" customHeight="false" outlineLevel="0" collapsed="false">
      <c r="A1709" s="8"/>
      <c r="B1709" s="10" t="str">
        <f aca="false">IF(A1709="","",IFERROR(VLOOKUP(A1709,DonHang!$A$2:$C$500,3,FALSE()),"mã đơn chưa có"))</f>
        <v/>
      </c>
      <c r="C1709" s="8"/>
      <c r="D1709" s="8"/>
      <c r="E1709" s="8"/>
      <c r="F1709" s="13"/>
      <c r="G1709" s="14"/>
      <c r="H1709" s="8"/>
      <c r="I1709" s="11" t="str">
        <f aca="false">IF(OR(F1709="",G1709=""),"",ROUND(F1709*G1709,0))</f>
        <v/>
      </c>
    </row>
    <row r="1710" customFormat="false" ht="15" hidden="false" customHeight="false" outlineLevel="0" collapsed="false">
      <c r="A1710" s="8"/>
      <c r="B1710" s="10" t="str">
        <f aca="false">IF(A1710="","",IFERROR(VLOOKUP(A1710,DonHang!$A$2:$C$500,3,FALSE()),"mã đơn chưa có"))</f>
        <v/>
      </c>
      <c r="C1710" s="8"/>
      <c r="D1710" s="8"/>
      <c r="E1710" s="8"/>
      <c r="F1710" s="13"/>
      <c r="G1710" s="14"/>
      <c r="H1710" s="8"/>
      <c r="I1710" s="11" t="str">
        <f aca="false">IF(OR(F1710="",G1710=""),"",ROUND(F1710*G1710,0))</f>
        <v/>
      </c>
    </row>
    <row r="1711" customFormat="false" ht="15" hidden="false" customHeight="false" outlineLevel="0" collapsed="false">
      <c r="A1711" s="8"/>
      <c r="B1711" s="10" t="str">
        <f aca="false">IF(A1711="","",IFERROR(VLOOKUP(A1711,DonHang!$A$2:$C$500,3,FALSE()),"mã đơn chưa có"))</f>
        <v/>
      </c>
      <c r="C1711" s="8"/>
      <c r="D1711" s="8"/>
      <c r="E1711" s="8"/>
      <c r="F1711" s="13"/>
      <c r="G1711" s="14"/>
      <c r="H1711" s="8"/>
      <c r="I1711" s="11" t="str">
        <f aca="false">IF(OR(F1711="",G1711=""),"",ROUND(F1711*G1711,0))</f>
        <v/>
      </c>
    </row>
    <row r="1712" customFormat="false" ht="15" hidden="false" customHeight="false" outlineLevel="0" collapsed="false">
      <c r="A1712" s="8"/>
      <c r="B1712" s="10" t="str">
        <f aca="false">IF(A1712="","",IFERROR(VLOOKUP(A1712,DonHang!$A$2:$C$500,3,FALSE()),"mã đơn chưa có"))</f>
        <v/>
      </c>
      <c r="C1712" s="8"/>
      <c r="D1712" s="8"/>
      <c r="E1712" s="8"/>
      <c r="F1712" s="13"/>
      <c r="G1712" s="14"/>
      <c r="H1712" s="8"/>
      <c r="I1712" s="11" t="str">
        <f aca="false">IF(OR(F1712="",G1712=""),"",ROUND(F1712*G1712,0))</f>
        <v/>
      </c>
    </row>
    <row r="1713" customFormat="false" ht="15" hidden="false" customHeight="false" outlineLevel="0" collapsed="false">
      <c r="A1713" s="8"/>
      <c r="B1713" s="10" t="str">
        <f aca="false">IF(A1713="","",IFERROR(VLOOKUP(A1713,DonHang!$A$2:$C$500,3,FALSE()),"mã đơn chưa có"))</f>
        <v/>
      </c>
      <c r="C1713" s="8"/>
      <c r="D1713" s="8"/>
      <c r="E1713" s="8"/>
      <c r="F1713" s="13"/>
      <c r="G1713" s="14"/>
      <c r="H1713" s="8"/>
      <c r="I1713" s="11" t="str">
        <f aca="false">IF(OR(F1713="",G1713=""),"",ROUND(F1713*G1713,0))</f>
        <v/>
      </c>
    </row>
    <row r="1714" customFormat="false" ht="15" hidden="false" customHeight="false" outlineLevel="0" collapsed="false">
      <c r="A1714" s="8"/>
      <c r="B1714" s="10" t="str">
        <f aca="false">IF(A1714="","",IFERROR(VLOOKUP(A1714,DonHang!$A$2:$C$500,3,FALSE()),"mã đơn chưa có"))</f>
        <v/>
      </c>
      <c r="C1714" s="8"/>
      <c r="D1714" s="8"/>
      <c r="E1714" s="8"/>
      <c r="F1714" s="13"/>
      <c r="G1714" s="14"/>
      <c r="H1714" s="8"/>
      <c r="I1714" s="11" t="str">
        <f aca="false">IF(OR(F1714="",G1714=""),"",ROUND(F1714*G1714,0))</f>
        <v/>
      </c>
    </row>
    <row r="1715" customFormat="false" ht="15" hidden="false" customHeight="false" outlineLevel="0" collapsed="false">
      <c r="A1715" s="8"/>
      <c r="B1715" s="10" t="str">
        <f aca="false">IF(A1715="","",IFERROR(VLOOKUP(A1715,DonHang!$A$2:$C$500,3,FALSE()),"mã đơn chưa có"))</f>
        <v/>
      </c>
      <c r="C1715" s="8"/>
      <c r="D1715" s="8"/>
      <c r="E1715" s="8"/>
      <c r="F1715" s="13"/>
      <c r="G1715" s="14"/>
      <c r="H1715" s="8"/>
      <c r="I1715" s="11" t="str">
        <f aca="false">IF(OR(F1715="",G1715=""),"",ROUND(F1715*G1715,0))</f>
        <v/>
      </c>
    </row>
    <row r="1716" customFormat="false" ht="15" hidden="false" customHeight="false" outlineLevel="0" collapsed="false">
      <c r="A1716" s="8"/>
      <c r="B1716" s="10" t="str">
        <f aca="false">IF(A1716="","",IFERROR(VLOOKUP(A1716,DonHang!$A$2:$C$500,3,FALSE()),"mã đơn chưa có"))</f>
        <v/>
      </c>
      <c r="C1716" s="8"/>
      <c r="D1716" s="8"/>
      <c r="E1716" s="8"/>
      <c r="F1716" s="13"/>
      <c r="G1716" s="14"/>
      <c r="H1716" s="8"/>
      <c r="I1716" s="11" t="str">
        <f aca="false">IF(OR(F1716="",G1716=""),"",ROUND(F1716*G1716,0))</f>
        <v/>
      </c>
    </row>
    <row r="1717" customFormat="false" ht="15" hidden="false" customHeight="false" outlineLevel="0" collapsed="false">
      <c r="A1717" s="8"/>
      <c r="B1717" s="10" t="str">
        <f aca="false">IF(A1717="","",IFERROR(VLOOKUP(A1717,DonHang!$A$2:$C$500,3,FALSE()),"mã đơn chưa có"))</f>
        <v/>
      </c>
      <c r="C1717" s="8"/>
      <c r="D1717" s="8"/>
      <c r="E1717" s="8"/>
      <c r="F1717" s="13"/>
      <c r="G1717" s="14"/>
      <c r="H1717" s="8"/>
      <c r="I1717" s="11" t="str">
        <f aca="false">IF(OR(F1717="",G1717=""),"",ROUND(F1717*G1717,0))</f>
        <v/>
      </c>
    </row>
    <row r="1718" customFormat="false" ht="15" hidden="false" customHeight="false" outlineLevel="0" collapsed="false">
      <c r="A1718" s="8"/>
      <c r="B1718" s="10" t="str">
        <f aca="false">IF(A1718="","",IFERROR(VLOOKUP(A1718,DonHang!$A$2:$C$500,3,FALSE()),"mã đơn chưa có"))</f>
        <v/>
      </c>
      <c r="C1718" s="8"/>
      <c r="D1718" s="8"/>
      <c r="E1718" s="8"/>
      <c r="F1718" s="13"/>
      <c r="G1718" s="14"/>
      <c r="H1718" s="8"/>
      <c r="I1718" s="11" t="str">
        <f aca="false">IF(OR(F1718="",G1718=""),"",ROUND(F1718*G1718,0))</f>
        <v/>
      </c>
    </row>
    <row r="1719" customFormat="false" ht="15" hidden="false" customHeight="false" outlineLevel="0" collapsed="false">
      <c r="A1719" s="8"/>
      <c r="B1719" s="10" t="str">
        <f aca="false">IF(A1719="","",IFERROR(VLOOKUP(A1719,DonHang!$A$2:$C$500,3,FALSE()),"mã đơn chưa có"))</f>
        <v/>
      </c>
      <c r="C1719" s="8"/>
      <c r="D1719" s="8"/>
      <c r="E1719" s="8"/>
      <c r="F1719" s="13"/>
      <c r="G1719" s="14"/>
      <c r="H1719" s="8"/>
      <c r="I1719" s="11" t="str">
        <f aca="false">IF(OR(F1719="",G1719=""),"",ROUND(F1719*G1719,0))</f>
        <v/>
      </c>
    </row>
    <row r="1720" customFormat="false" ht="15" hidden="false" customHeight="false" outlineLevel="0" collapsed="false">
      <c r="A1720" s="8"/>
      <c r="B1720" s="10" t="str">
        <f aca="false">IF(A1720="","",IFERROR(VLOOKUP(A1720,DonHang!$A$2:$C$500,3,FALSE()),"mã đơn chưa có"))</f>
        <v/>
      </c>
      <c r="C1720" s="8"/>
      <c r="D1720" s="8"/>
      <c r="E1720" s="8"/>
      <c r="F1720" s="13"/>
      <c r="G1720" s="14"/>
      <c r="H1720" s="8"/>
      <c r="I1720" s="11" t="str">
        <f aca="false">IF(OR(F1720="",G1720=""),"",ROUND(F1720*G1720,0))</f>
        <v/>
      </c>
    </row>
    <row r="1721" customFormat="false" ht="15" hidden="false" customHeight="false" outlineLevel="0" collapsed="false">
      <c r="A1721" s="8"/>
      <c r="B1721" s="10" t="str">
        <f aca="false">IF(A1721="","",IFERROR(VLOOKUP(A1721,DonHang!$A$2:$C$500,3,FALSE()),"mã đơn chưa có"))</f>
        <v/>
      </c>
      <c r="C1721" s="8"/>
      <c r="D1721" s="8"/>
      <c r="E1721" s="8"/>
      <c r="F1721" s="13"/>
      <c r="G1721" s="14"/>
      <c r="H1721" s="8"/>
      <c r="I1721" s="11" t="str">
        <f aca="false">IF(OR(F1721="",G1721=""),"",ROUND(F1721*G1721,0))</f>
        <v/>
      </c>
    </row>
    <row r="1722" customFormat="false" ht="15" hidden="false" customHeight="false" outlineLevel="0" collapsed="false">
      <c r="A1722" s="8"/>
      <c r="B1722" s="10" t="str">
        <f aca="false">IF(A1722="","",IFERROR(VLOOKUP(A1722,DonHang!$A$2:$C$500,3,FALSE()),"mã đơn chưa có"))</f>
        <v/>
      </c>
      <c r="C1722" s="8"/>
      <c r="D1722" s="8"/>
      <c r="E1722" s="8"/>
      <c r="F1722" s="13"/>
      <c r="G1722" s="14"/>
      <c r="H1722" s="8"/>
      <c r="I1722" s="11" t="str">
        <f aca="false">IF(OR(F1722="",G1722=""),"",ROUND(F1722*G1722,0))</f>
        <v/>
      </c>
    </row>
    <row r="1723" customFormat="false" ht="15" hidden="false" customHeight="false" outlineLevel="0" collapsed="false">
      <c r="A1723" s="8"/>
      <c r="B1723" s="10" t="str">
        <f aca="false">IF(A1723="","",IFERROR(VLOOKUP(A1723,DonHang!$A$2:$C$500,3,FALSE()),"mã đơn chưa có"))</f>
        <v/>
      </c>
      <c r="C1723" s="8"/>
      <c r="D1723" s="8"/>
      <c r="E1723" s="8"/>
      <c r="F1723" s="13"/>
      <c r="G1723" s="14"/>
      <c r="H1723" s="8"/>
      <c r="I1723" s="11" t="str">
        <f aca="false">IF(OR(F1723="",G1723=""),"",ROUND(F1723*G1723,0))</f>
        <v/>
      </c>
    </row>
    <row r="1724" customFormat="false" ht="15" hidden="false" customHeight="false" outlineLevel="0" collapsed="false">
      <c r="A1724" s="8"/>
      <c r="B1724" s="10" t="str">
        <f aca="false">IF(A1724="","",IFERROR(VLOOKUP(A1724,DonHang!$A$2:$C$500,3,FALSE()),"mã đơn chưa có"))</f>
        <v/>
      </c>
      <c r="C1724" s="8"/>
      <c r="D1724" s="8"/>
      <c r="E1724" s="8"/>
      <c r="F1724" s="13"/>
      <c r="G1724" s="14"/>
      <c r="H1724" s="8"/>
      <c r="I1724" s="11" t="str">
        <f aca="false">IF(OR(F1724="",G1724=""),"",ROUND(F1724*G1724,0))</f>
        <v/>
      </c>
    </row>
    <row r="1725" customFormat="false" ht="15" hidden="false" customHeight="false" outlineLevel="0" collapsed="false">
      <c r="A1725" s="8"/>
      <c r="B1725" s="10" t="str">
        <f aca="false">IF(A1725="","",IFERROR(VLOOKUP(A1725,DonHang!$A$2:$C$500,3,FALSE()),"mã đơn chưa có"))</f>
        <v/>
      </c>
      <c r="C1725" s="8"/>
      <c r="D1725" s="8"/>
      <c r="E1725" s="8"/>
      <c r="F1725" s="13"/>
      <c r="G1725" s="14"/>
      <c r="H1725" s="8"/>
      <c r="I1725" s="11" t="str">
        <f aca="false">IF(OR(F1725="",G1725=""),"",ROUND(F1725*G1725,0))</f>
        <v/>
      </c>
    </row>
    <row r="1726" customFormat="false" ht="15" hidden="false" customHeight="false" outlineLevel="0" collapsed="false">
      <c r="A1726" s="8"/>
      <c r="B1726" s="10" t="str">
        <f aca="false">IF(A1726="","",IFERROR(VLOOKUP(A1726,DonHang!$A$2:$C$500,3,FALSE()),"mã đơn chưa có"))</f>
        <v/>
      </c>
      <c r="C1726" s="8"/>
      <c r="D1726" s="8"/>
      <c r="E1726" s="8"/>
      <c r="F1726" s="13"/>
      <c r="G1726" s="14"/>
      <c r="H1726" s="8"/>
      <c r="I1726" s="11" t="str">
        <f aca="false">IF(OR(F1726="",G1726=""),"",ROUND(F1726*G1726,0))</f>
        <v/>
      </c>
    </row>
    <row r="1727" customFormat="false" ht="15" hidden="false" customHeight="false" outlineLevel="0" collapsed="false">
      <c r="A1727" s="8"/>
      <c r="B1727" s="10" t="str">
        <f aca="false">IF(A1727="","",IFERROR(VLOOKUP(A1727,DonHang!$A$2:$C$500,3,FALSE()),"mã đơn chưa có"))</f>
        <v/>
      </c>
      <c r="C1727" s="8"/>
      <c r="D1727" s="8"/>
      <c r="E1727" s="8"/>
      <c r="F1727" s="13"/>
      <c r="G1727" s="14"/>
      <c r="H1727" s="8"/>
      <c r="I1727" s="11" t="str">
        <f aca="false">IF(OR(F1727="",G1727=""),"",ROUND(F1727*G1727,0))</f>
        <v/>
      </c>
    </row>
    <row r="1728" customFormat="false" ht="15" hidden="false" customHeight="false" outlineLevel="0" collapsed="false">
      <c r="A1728" s="8"/>
      <c r="B1728" s="10" t="str">
        <f aca="false">IF(A1728="","",IFERROR(VLOOKUP(A1728,DonHang!$A$2:$C$500,3,FALSE()),"mã đơn chưa có"))</f>
        <v/>
      </c>
      <c r="C1728" s="8"/>
      <c r="D1728" s="8"/>
      <c r="E1728" s="8"/>
      <c r="F1728" s="13"/>
      <c r="G1728" s="14"/>
      <c r="H1728" s="8"/>
      <c r="I1728" s="11" t="str">
        <f aca="false">IF(OR(F1728="",G1728=""),"",ROUND(F1728*G1728,0))</f>
        <v/>
      </c>
    </row>
    <row r="1729" customFormat="false" ht="15" hidden="false" customHeight="false" outlineLevel="0" collapsed="false">
      <c r="A1729" s="8"/>
      <c r="B1729" s="10" t="str">
        <f aca="false">IF(A1729="","",IFERROR(VLOOKUP(A1729,DonHang!$A$2:$C$500,3,FALSE()),"mã đơn chưa có"))</f>
        <v/>
      </c>
      <c r="C1729" s="8"/>
      <c r="D1729" s="8"/>
      <c r="E1729" s="8"/>
      <c r="F1729" s="13"/>
      <c r="G1729" s="14"/>
      <c r="H1729" s="8"/>
      <c r="I1729" s="11" t="str">
        <f aca="false">IF(OR(F1729="",G1729=""),"",ROUND(F1729*G1729,0))</f>
        <v/>
      </c>
    </row>
    <row r="1730" customFormat="false" ht="15" hidden="false" customHeight="false" outlineLevel="0" collapsed="false">
      <c r="A1730" s="8"/>
      <c r="B1730" s="10" t="str">
        <f aca="false">IF(A1730="","",IFERROR(VLOOKUP(A1730,DonHang!$A$2:$C$500,3,FALSE()),"mã đơn chưa có"))</f>
        <v/>
      </c>
      <c r="C1730" s="8"/>
      <c r="D1730" s="8"/>
      <c r="E1730" s="8"/>
      <c r="F1730" s="13"/>
      <c r="G1730" s="14"/>
      <c r="H1730" s="8"/>
      <c r="I1730" s="11" t="str">
        <f aca="false">IF(OR(F1730="",G1730=""),"",ROUND(F1730*G1730,0))</f>
        <v/>
      </c>
    </row>
    <row r="1731" customFormat="false" ht="15" hidden="false" customHeight="false" outlineLevel="0" collapsed="false">
      <c r="A1731" s="8"/>
      <c r="B1731" s="10" t="str">
        <f aca="false">IF(A1731="","",IFERROR(VLOOKUP(A1731,DonHang!$A$2:$C$500,3,FALSE()),"mã đơn chưa có"))</f>
        <v/>
      </c>
      <c r="C1731" s="8"/>
      <c r="D1731" s="8"/>
      <c r="E1731" s="8"/>
      <c r="F1731" s="13"/>
      <c r="G1731" s="14"/>
      <c r="H1731" s="8"/>
      <c r="I1731" s="11" t="str">
        <f aca="false">IF(OR(F1731="",G1731=""),"",ROUND(F1731*G1731,0))</f>
        <v/>
      </c>
    </row>
    <row r="1732" customFormat="false" ht="15" hidden="false" customHeight="false" outlineLevel="0" collapsed="false">
      <c r="A1732" s="8"/>
      <c r="B1732" s="10" t="str">
        <f aca="false">IF(A1732="","",IFERROR(VLOOKUP(A1732,DonHang!$A$2:$C$500,3,FALSE()),"mã đơn chưa có"))</f>
        <v/>
      </c>
      <c r="C1732" s="8"/>
      <c r="D1732" s="8"/>
      <c r="E1732" s="8"/>
      <c r="F1732" s="13"/>
      <c r="G1732" s="14"/>
      <c r="H1732" s="8"/>
      <c r="I1732" s="11" t="str">
        <f aca="false">IF(OR(F1732="",G1732=""),"",ROUND(F1732*G1732,0))</f>
        <v/>
      </c>
    </row>
    <row r="1733" customFormat="false" ht="15" hidden="false" customHeight="false" outlineLevel="0" collapsed="false">
      <c r="A1733" s="8"/>
      <c r="B1733" s="10" t="str">
        <f aca="false">IF(A1733="","",IFERROR(VLOOKUP(A1733,DonHang!$A$2:$C$500,3,FALSE()),"mã đơn chưa có"))</f>
        <v/>
      </c>
      <c r="C1733" s="8"/>
      <c r="D1733" s="8"/>
      <c r="E1733" s="8"/>
      <c r="F1733" s="13"/>
      <c r="G1733" s="14"/>
      <c r="H1733" s="8"/>
      <c r="I1733" s="11" t="str">
        <f aca="false">IF(OR(F1733="",G1733=""),"",ROUND(F1733*G1733,0))</f>
        <v/>
      </c>
    </row>
    <row r="1734" customFormat="false" ht="15" hidden="false" customHeight="false" outlineLevel="0" collapsed="false">
      <c r="A1734" s="8"/>
      <c r="B1734" s="10" t="str">
        <f aca="false">IF(A1734="","",IFERROR(VLOOKUP(A1734,DonHang!$A$2:$C$500,3,FALSE()),"mã đơn chưa có"))</f>
        <v/>
      </c>
      <c r="C1734" s="8"/>
      <c r="D1734" s="8"/>
      <c r="E1734" s="8"/>
      <c r="F1734" s="13"/>
      <c r="G1734" s="14"/>
      <c r="H1734" s="8"/>
      <c r="I1734" s="11" t="str">
        <f aca="false">IF(OR(F1734="",G1734=""),"",ROUND(F1734*G1734,0))</f>
        <v/>
      </c>
    </row>
    <row r="1735" customFormat="false" ht="15" hidden="false" customHeight="false" outlineLevel="0" collapsed="false">
      <c r="A1735" s="8"/>
      <c r="B1735" s="10" t="str">
        <f aca="false">IF(A1735="","",IFERROR(VLOOKUP(A1735,DonHang!$A$2:$C$500,3,FALSE()),"mã đơn chưa có"))</f>
        <v/>
      </c>
      <c r="C1735" s="8"/>
      <c r="D1735" s="8"/>
      <c r="E1735" s="8"/>
      <c r="F1735" s="13"/>
      <c r="G1735" s="14"/>
      <c r="H1735" s="8"/>
      <c r="I1735" s="11" t="str">
        <f aca="false">IF(OR(F1735="",G1735=""),"",ROUND(F1735*G1735,0))</f>
        <v/>
      </c>
    </row>
    <row r="1736" customFormat="false" ht="15" hidden="false" customHeight="false" outlineLevel="0" collapsed="false">
      <c r="A1736" s="8"/>
      <c r="B1736" s="10" t="str">
        <f aca="false">IF(A1736="","",IFERROR(VLOOKUP(A1736,DonHang!$A$2:$C$500,3,FALSE()),"mã đơn chưa có"))</f>
        <v/>
      </c>
      <c r="C1736" s="8"/>
      <c r="D1736" s="8"/>
      <c r="E1736" s="8"/>
      <c r="F1736" s="13"/>
      <c r="G1736" s="14"/>
      <c r="H1736" s="8"/>
      <c r="I1736" s="11" t="str">
        <f aca="false">IF(OR(F1736="",G1736=""),"",ROUND(F1736*G1736,0))</f>
        <v/>
      </c>
    </row>
    <row r="1737" customFormat="false" ht="15" hidden="false" customHeight="false" outlineLevel="0" collapsed="false">
      <c r="A1737" s="8"/>
      <c r="B1737" s="10" t="str">
        <f aca="false">IF(A1737="","",IFERROR(VLOOKUP(A1737,DonHang!$A$2:$C$500,3,FALSE()),"mã đơn chưa có"))</f>
        <v/>
      </c>
      <c r="C1737" s="8"/>
      <c r="D1737" s="8"/>
      <c r="E1737" s="8"/>
      <c r="F1737" s="13"/>
      <c r="G1737" s="14"/>
      <c r="H1737" s="8"/>
      <c r="I1737" s="11" t="str">
        <f aca="false">IF(OR(F1737="",G1737=""),"",ROUND(F1737*G1737,0))</f>
        <v/>
      </c>
    </row>
    <row r="1738" customFormat="false" ht="15" hidden="false" customHeight="false" outlineLevel="0" collapsed="false">
      <c r="A1738" s="8"/>
      <c r="B1738" s="10" t="str">
        <f aca="false">IF(A1738="","",IFERROR(VLOOKUP(A1738,DonHang!$A$2:$C$500,3,FALSE()),"mã đơn chưa có"))</f>
        <v/>
      </c>
      <c r="C1738" s="8"/>
      <c r="D1738" s="8"/>
      <c r="E1738" s="8"/>
      <c r="F1738" s="13"/>
      <c r="G1738" s="14"/>
      <c r="H1738" s="8"/>
      <c r="I1738" s="11" t="str">
        <f aca="false">IF(OR(F1738="",G1738=""),"",ROUND(F1738*G1738,0))</f>
        <v/>
      </c>
    </row>
    <row r="1739" customFormat="false" ht="15" hidden="false" customHeight="false" outlineLevel="0" collapsed="false">
      <c r="A1739" s="8"/>
      <c r="B1739" s="10" t="str">
        <f aca="false">IF(A1739="","",IFERROR(VLOOKUP(A1739,DonHang!$A$2:$C$500,3,FALSE()),"mã đơn chưa có"))</f>
        <v/>
      </c>
      <c r="C1739" s="8"/>
      <c r="D1739" s="8"/>
      <c r="E1739" s="8"/>
      <c r="F1739" s="13"/>
      <c r="G1739" s="14"/>
      <c r="H1739" s="8"/>
      <c r="I1739" s="11" t="str">
        <f aca="false">IF(OR(F1739="",G1739=""),"",ROUND(F1739*G1739,0))</f>
        <v/>
      </c>
    </row>
    <row r="1740" customFormat="false" ht="15" hidden="false" customHeight="false" outlineLevel="0" collapsed="false">
      <c r="A1740" s="8"/>
      <c r="B1740" s="10" t="str">
        <f aca="false">IF(A1740="","",IFERROR(VLOOKUP(A1740,DonHang!$A$2:$C$500,3,FALSE()),"mã đơn chưa có"))</f>
        <v/>
      </c>
      <c r="C1740" s="8"/>
      <c r="D1740" s="8"/>
      <c r="E1740" s="8"/>
      <c r="F1740" s="13"/>
      <c r="G1740" s="14"/>
      <c r="H1740" s="8"/>
      <c r="I1740" s="11" t="str">
        <f aca="false">IF(OR(F1740="",G1740=""),"",ROUND(F1740*G1740,0))</f>
        <v/>
      </c>
    </row>
    <row r="1741" customFormat="false" ht="15" hidden="false" customHeight="false" outlineLevel="0" collapsed="false">
      <c r="A1741" s="8"/>
      <c r="B1741" s="10" t="str">
        <f aca="false">IF(A1741="","",IFERROR(VLOOKUP(A1741,DonHang!$A$2:$C$500,3,FALSE()),"mã đơn chưa có"))</f>
        <v/>
      </c>
      <c r="C1741" s="8"/>
      <c r="D1741" s="8"/>
      <c r="E1741" s="8"/>
      <c r="F1741" s="13"/>
      <c r="G1741" s="14"/>
      <c r="H1741" s="8"/>
      <c r="I1741" s="11" t="str">
        <f aca="false">IF(OR(F1741="",G1741=""),"",ROUND(F1741*G1741,0))</f>
        <v/>
      </c>
    </row>
    <row r="1742" customFormat="false" ht="15" hidden="false" customHeight="false" outlineLevel="0" collapsed="false">
      <c r="A1742" s="8"/>
      <c r="B1742" s="10" t="str">
        <f aca="false">IF(A1742="","",IFERROR(VLOOKUP(A1742,DonHang!$A$2:$C$500,3,FALSE()),"mã đơn chưa có"))</f>
        <v/>
      </c>
      <c r="C1742" s="8"/>
      <c r="D1742" s="8"/>
      <c r="E1742" s="8"/>
      <c r="F1742" s="13"/>
      <c r="G1742" s="14"/>
      <c r="H1742" s="8"/>
      <c r="I1742" s="11" t="str">
        <f aca="false">IF(OR(F1742="",G1742=""),"",ROUND(F1742*G1742,0))</f>
        <v/>
      </c>
    </row>
    <row r="1743" customFormat="false" ht="15" hidden="false" customHeight="false" outlineLevel="0" collapsed="false">
      <c r="A1743" s="8"/>
      <c r="B1743" s="10" t="str">
        <f aca="false">IF(A1743="","",IFERROR(VLOOKUP(A1743,DonHang!$A$2:$C$500,3,FALSE()),"mã đơn chưa có"))</f>
        <v/>
      </c>
      <c r="C1743" s="8"/>
      <c r="D1743" s="8"/>
      <c r="E1743" s="8"/>
      <c r="F1743" s="13"/>
      <c r="G1743" s="14"/>
      <c r="H1743" s="8"/>
      <c r="I1743" s="11" t="str">
        <f aca="false">IF(OR(F1743="",G1743=""),"",ROUND(F1743*G1743,0))</f>
        <v/>
      </c>
    </row>
    <row r="1744" customFormat="false" ht="15" hidden="false" customHeight="false" outlineLevel="0" collapsed="false">
      <c r="A1744" s="8"/>
      <c r="B1744" s="10" t="str">
        <f aca="false">IF(A1744="","",IFERROR(VLOOKUP(A1744,DonHang!$A$2:$C$500,3,FALSE()),"mã đơn chưa có"))</f>
        <v/>
      </c>
      <c r="C1744" s="8"/>
      <c r="D1744" s="8"/>
      <c r="E1744" s="8"/>
      <c r="F1744" s="13"/>
      <c r="G1744" s="14"/>
      <c r="H1744" s="8"/>
      <c r="I1744" s="11" t="str">
        <f aca="false">IF(OR(F1744="",G1744=""),"",ROUND(F1744*G1744,0))</f>
        <v/>
      </c>
    </row>
    <row r="1745" customFormat="false" ht="15" hidden="false" customHeight="false" outlineLevel="0" collapsed="false">
      <c r="A1745" s="8"/>
      <c r="B1745" s="10" t="str">
        <f aca="false">IF(A1745="","",IFERROR(VLOOKUP(A1745,DonHang!$A$2:$C$500,3,FALSE()),"mã đơn chưa có"))</f>
        <v/>
      </c>
      <c r="C1745" s="8"/>
      <c r="D1745" s="8"/>
      <c r="E1745" s="8"/>
      <c r="F1745" s="13"/>
      <c r="G1745" s="14"/>
      <c r="H1745" s="8"/>
      <c r="I1745" s="11" t="str">
        <f aca="false">IF(OR(F1745="",G1745=""),"",ROUND(F1745*G1745,0))</f>
        <v/>
      </c>
    </row>
    <row r="1746" customFormat="false" ht="15" hidden="false" customHeight="false" outlineLevel="0" collapsed="false">
      <c r="A1746" s="8"/>
      <c r="B1746" s="10" t="str">
        <f aca="false">IF(A1746="","",IFERROR(VLOOKUP(A1746,DonHang!$A$2:$C$500,3,FALSE()),"mã đơn chưa có"))</f>
        <v/>
      </c>
      <c r="C1746" s="8"/>
      <c r="D1746" s="8"/>
      <c r="E1746" s="8"/>
      <c r="F1746" s="13"/>
      <c r="G1746" s="14"/>
      <c r="H1746" s="8"/>
      <c r="I1746" s="11" t="str">
        <f aca="false">IF(OR(F1746="",G1746=""),"",ROUND(F1746*G1746,0))</f>
        <v/>
      </c>
    </row>
    <row r="1747" customFormat="false" ht="15" hidden="false" customHeight="false" outlineLevel="0" collapsed="false">
      <c r="A1747" s="8"/>
      <c r="B1747" s="10" t="str">
        <f aca="false">IF(A1747="","",IFERROR(VLOOKUP(A1747,DonHang!$A$2:$C$500,3,FALSE()),"mã đơn chưa có"))</f>
        <v/>
      </c>
      <c r="C1747" s="8"/>
      <c r="D1747" s="8"/>
      <c r="E1747" s="8"/>
      <c r="F1747" s="13"/>
      <c r="G1747" s="14"/>
      <c r="H1747" s="8"/>
      <c r="I1747" s="11" t="str">
        <f aca="false">IF(OR(F1747="",G1747=""),"",ROUND(F1747*G1747,0))</f>
        <v/>
      </c>
    </row>
    <row r="1748" customFormat="false" ht="15" hidden="false" customHeight="false" outlineLevel="0" collapsed="false">
      <c r="A1748" s="8"/>
      <c r="B1748" s="10" t="str">
        <f aca="false">IF(A1748="","",IFERROR(VLOOKUP(A1748,DonHang!$A$2:$C$500,3,FALSE()),"mã đơn chưa có"))</f>
        <v/>
      </c>
      <c r="C1748" s="8"/>
      <c r="D1748" s="8"/>
      <c r="E1748" s="8"/>
      <c r="F1748" s="13"/>
      <c r="G1748" s="14"/>
      <c r="H1748" s="8"/>
      <c r="I1748" s="11" t="str">
        <f aca="false">IF(OR(F1748="",G1748=""),"",ROUND(F1748*G1748,0))</f>
        <v/>
      </c>
    </row>
    <row r="1749" customFormat="false" ht="15" hidden="false" customHeight="false" outlineLevel="0" collapsed="false">
      <c r="A1749" s="8"/>
      <c r="B1749" s="10" t="str">
        <f aca="false">IF(A1749="","",IFERROR(VLOOKUP(A1749,DonHang!$A$2:$C$500,3,FALSE()),"mã đơn chưa có"))</f>
        <v/>
      </c>
      <c r="C1749" s="8"/>
      <c r="D1749" s="8"/>
      <c r="E1749" s="8"/>
      <c r="F1749" s="13"/>
      <c r="G1749" s="14"/>
      <c r="H1749" s="8"/>
      <c r="I1749" s="11" t="str">
        <f aca="false">IF(OR(F1749="",G1749=""),"",ROUND(F1749*G1749,0))</f>
        <v/>
      </c>
    </row>
    <row r="1750" customFormat="false" ht="15" hidden="false" customHeight="false" outlineLevel="0" collapsed="false">
      <c r="A1750" s="8"/>
      <c r="B1750" s="10" t="str">
        <f aca="false">IF(A1750="","",IFERROR(VLOOKUP(A1750,DonHang!$A$2:$C$500,3,FALSE()),"mã đơn chưa có"))</f>
        <v/>
      </c>
      <c r="C1750" s="8"/>
      <c r="D1750" s="8"/>
      <c r="E1750" s="8"/>
      <c r="F1750" s="13"/>
      <c r="G1750" s="14"/>
      <c r="H1750" s="8"/>
      <c r="I1750" s="11" t="str">
        <f aca="false">IF(OR(F1750="",G1750=""),"",ROUND(F1750*G1750,0))</f>
        <v/>
      </c>
    </row>
    <row r="1751" customFormat="false" ht="15" hidden="false" customHeight="false" outlineLevel="0" collapsed="false">
      <c r="A1751" s="8"/>
      <c r="B1751" s="10" t="str">
        <f aca="false">IF(A1751="","",IFERROR(VLOOKUP(A1751,DonHang!$A$2:$C$500,3,FALSE()),"mã đơn chưa có"))</f>
        <v/>
      </c>
      <c r="C1751" s="8"/>
      <c r="D1751" s="8"/>
      <c r="E1751" s="8"/>
      <c r="F1751" s="13"/>
      <c r="G1751" s="14"/>
      <c r="H1751" s="8"/>
      <c r="I1751" s="11" t="str">
        <f aca="false">IF(OR(F1751="",G1751=""),"",ROUND(F1751*G1751,0))</f>
        <v/>
      </c>
    </row>
    <row r="1752" customFormat="false" ht="15" hidden="false" customHeight="false" outlineLevel="0" collapsed="false">
      <c r="A1752" s="8"/>
      <c r="B1752" s="10" t="str">
        <f aca="false">IF(A1752="","",IFERROR(VLOOKUP(A1752,DonHang!$A$2:$C$500,3,FALSE()),"mã đơn chưa có"))</f>
        <v/>
      </c>
      <c r="C1752" s="8"/>
      <c r="D1752" s="8"/>
      <c r="E1752" s="8"/>
      <c r="F1752" s="13"/>
      <c r="G1752" s="14"/>
      <c r="H1752" s="8"/>
      <c r="I1752" s="11" t="str">
        <f aca="false">IF(OR(F1752="",G1752=""),"",ROUND(F1752*G1752,0))</f>
        <v/>
      </c>
    </row>
    <row r="1753" customFormat="false" ht="15" hidden="false" customHeight="false" outlineLevel="0" collapsed="false">
      <c r="A1753" s="8"/>
      <c r="B1753" s="10" t="str">
        <f aca="false">IF(A1753="","",IFERROR(VLOOKUP(A1753,DonHang!$A$2:$C$500,3,FALSE()),"mã đơn chưa có"))</f>
        <v/>
      </c>
      <c r="C1753" s="8"/>
      <c r="D1753" s="8"/>
      <c r="E1753" s="8"/>
      <c r="F1753" s="13"/>
      <c r="G1753" s="14"/>
      <c r="H1753" s="8"/>
      <c r="I1753" s="11" t="str">
        <f aca="false">IF(OR(F1753="",G1753=""),"",ROUND(F1753*G1753,0))</f>
        <v/>
      </c>
    </row>
    <row r="1754" customFormat="false" ht="15" hidden="false" customHeight="false" outlineLevel="0" collapsed="false">
      <c r="A1754" s="8"/>
      <c r="B1754" s="10" t="str">
        <f aca="false">IF(A1754="","",IFERROR(VLOOKUP(A1754,DonHang!$A$2:$C$500,3,FALSE()),"mã đơn chưa có"))</f>
        <v/>
      </c>
      <c r="C1754" s="8"/>
      <c r="D1754" s="8"/>
      <c r="E1754" s="8"/>
      <c r="F1754" s="13"/>
      <c r="G1754" s="14"/>
      <c r="H1754" s="8"/>
      <c r="I1754" s="11" t="str">
        <f aca="false">IF(OR(F1754="",G1754=""),"",ROUND(F1754*G1754,0))</f>
        <v/>
      </c>
    </row>
    <row r="1755" customFormat="false" ht="15" hidden="false" customHeight="false" outlineLevel="0" collapsed="false">
      <c r="A1755" s="8"/>
      <c r="B1755" s="10" t="str">
        <f aca="false">IF(A1755="","",IFERROR(VLOOKUP(A1755,DonHang!$A$2:$C$500,3,FALSE()),"mã đơn chưa có"))</f>
        <v/>
      </c>
      <c r="C1755" s="8"/>
      <c r="D1755" s="8"/>
      <c r="E1755" s="8"/>
      <c r="F1755" s="13"/>
      <c r="G1755" s="14"/>
      <c r="H1755" s="8"/>
      <c r="I1755" s="11" t="str">
        <f aca="false">IF(OR(F1755="",G1755=""),"",ROUND(F1755*G1755,0))</f>
        <v/>
      </c>
    </row>
    <row r="1756" customFormat="false" ht="15" hidden="false" customHeight="false" outlineLevel="0" collapsed="false">
      <c r="A1756" s="8"/>
      <c r="B1756" s="10" t="str">
        <f aca="false">IF(A1756="","",IFERROR(VLOOKUP(A1756,DonHang!$A$2:$C$500,3,FALSE()),"mã đơn chưa có"))</f>
        <v/>
      </c>
      <c r="C1756" s="8"/>
      <c r="D1756" s="8"/>
      <c r="E1756" s="8"/>
      <c r="F1756" s="13"/>
      <c r="G1756" s="14"/>
      <c r="H1756" s="8"/>
      <c r="I1756" s="11" t="str">
        <f aca="false">IF(OR(F1756="",G1756=""),"",ROUND(F1756*G1756,0))</f>
        <v/>
      </c>
    </row>
    <row r="1757" customFormat="false" ht="15" hidden="false" customHeight="false" outlineLevel="0" collapsed="false">
      <c r="A1757" s="8"/>
      <c r="B1757" s="10" t="str">
        <f aca="false">IF(A1757="","",IFERROR(VLOOKUP(A1757,DonHang!$A$2:$C$500,3,FALSE()),"mã đơn chưa có"))</f>
        <v/>
      </c>
      <c r="C1757" s="8"/>
      <c r="D1757" s="8"/>
      <c r="E1757" s="8"/>
      <c r="F1757" s="13"/>
      <c r="G1757" s="14"/>
      <c r="H1757" s="8"/>
      <c r="I1757" s="11" t="str">
        <f aca="false">IF(OR(F1757="",G1757=""),"",ROUND(F1757*G1757,0))</f>
        <v/>
      </c>
    </row>
    <row r="1758" customFormat="false" ht="15" hidden="false" customHeight="false" outlineLevel="0" collapsed="false">
      <c r="A1758" s="8"/>
      <c r="B1758" s="10" t="str">
        <f aca="false">IF(A1758="","",IFERROR(VLOOKUP(A1758,DonHang!$A$2:$C$500,3,FALSE()),"mã đơn chưa có"))</f>
        <v/>
      </c>
      <c r="C1758" s="8"/>
      <c r="D1758" s="8"/>
      <c r="E1758" s="8"/>
      <c r="F1758" s="13"/>
      <c r="G1758" s="14"/>
      <c r="H1758" s="8"/>
      <c r="I1758" s="11" t="str">
        <f aca="false">IF(OR(F1758="",G1758=""),"",ROUND(F1758*G1758,0))</f>
        <v/>
      </c>
    </row>
    <row r="1759" customFormat="false" ht="15" hidden="false" customHeight="false" outlineLevel="0" collapsed="false">
      <c r="A1759" s="8"/>
      <c r="B1759" s="10" t="str">
        <f aca="false">IF(A1759="","",IFERROR(VLOOKUP(A1759,DonHang!$A$2:$C$500,3,FALSE()),"mã đơn chưa có"))</f>
        <v/>
      </c>
      <c r="C1759" s="8"/>
      <c r="D1759" s="8"/>
      <c r="E1759" s="8"/>
      <c r="F1759" s="13"/>
      <c r="G1759" s="14"/>
      <c r="H1759" s="8"/>
      <c r="I1759" s="11" t="str">
        <f aca="false">IF(OR(F1759="",G1759=""),"",ROUND(F1759*G1759,0))</f>
        <v/>
      </c>
    </row>
    <row r="1760" customFormat="false" ht="15" hidden="false" customHeight="false" outlineLevel="0" collapsed="false">
      <c r="A1760" s="8"/>
      <c r="B1760" s="10" t="str">
        <f aca="false">IF(A1760="","",IFERROR(VLOOKUP(A1760,DonHang!$A$2:$C$500,3,FALSE()),"mã đơn chưa có"))</f>
        <v/>
      </c>
      <c r="C1760" s="8"/>
      <c r="D1760" s="8"/>
      <c r="E1760" s="8"/>
      <c r="F1760" s="13"/>
      <c r="G1760" s="14"/>
      <c r="H1760" s="8"/>
      <c r="I1760" s="11" t="str">
        <f aca="false">IF(OR(F1760="",G1760=""),"",ROUND(F1760*G1760,0))</f>
        <v/>
      </c>
    </row>
    <row r="1761" customFormat="false" ht="15" hidden="false" customHeight="false" outlineLevel="0" collapsed="false">
      <c r="A1761" s="8"/>
      <c r="B1761" s="10" t="str">
        <f aca="false">IF(A1761="","",IFERROR(VLOOKUP(A1761,DonHang!$A$2:$C$500,3,FALSE()),"mã đơn chưa có"))</f>
        <v/>
      </c>
      <c r="C1761" s="8"/>
      <c r="D1761" s="8"/>
      <c r="E1761" s="8"/>
      <c r="F1761" s="13"/>
      <c r="G1761" s="14"/>
      <c r="H1761" s="8"/>
      <c r="I1761" s="11" t="str">
        <f aca="false">IF(OR(F1761="",G1761=""),"",ROUND(F1761*G1761,0))</f>
        <v/>
      </c>
    </row>
    <row r="1762" customFormat="false" ht="15" hidden="false" customHeight="false" outlineLevel="0" collapsed="false">
      <c r="A1762" s="8"/>
      <c r="B1762" s="10" t="str">
        <f aca="false">IF(A1762="","",IFERROR(VLOOKUP(A1762,DonHang!$A$2:$C$500,3,FALSE()),"mã đơn chưa có"))</f>
        <v/>
      </c>
      <c r="C1762" s="8"/>
      <c r="D1762" s="8"/>
      <c r="E1762" s="8"/>
      <c r="F1762" s="13"/>
      <c r="G1762" s="14"/>
      <c r="H1762" s="8"/>
      <c r="I1762" s="11" t="str">
        <f aca="false">IF(OR(F1762="",G1762=""),"",ROUND(F1762*G1762,0))</f>
        <v/>
      </c>
    </row>
    <row r="1763" customFormat="false" ht="15" hidden="false" customHeight="false" outlineLevel="0" collapsed="false">
      <c r="A1763" s="8"/>
      <c r="B1763" s="10" t="str">
        <f aca="false">IF(A1763="","",IFERROR(VLOOKUP(A1763,DonHang!$A$2:$C$500,3,FALSE()),"mã đơn chưa có"))</f>
        <v/>
      </c>
      <c r="C1763" s="8"/>
      <c r="D1763" s="8"/>
      <c r="E1763" s="8"/>
      <c r="F1763" s="13"/>
      <c r="G1763" s="14"/>
      <c r="H1763" s="8"/>
      <c r="I1763" s="11" t="str">
        <f aca="false">IF(OR(F1763="",G1763=""),"",ROUND(F1763*G1763,0))</f>
        <v/>
      </c>
    </row>
    <row r="1764" customFormat="false" ht="15" hidden="false" customHeight="false" outlineLevel="0" collapsed="false">
      <c r="A1764" s="8"/>
      <c r="B1764" s="10" t="str">
        <f aca="false">IF(A1764="","",IFERROR(VLOOKUP(A1764,DonHang!$A$2:$C$500,3,FALSE()),"mã đơn chưa có"))</f>
        <v/>
      </c>
      <c r="C1764" s="8"/>
      <c r="D1764" s="8"/>
      <c r="E1764" s="8"/>
      <c r="F1764" s="13"/>
      <c r="G1764" s="14"/>
      <c r="H1764" s="8"/>
      <c r="I1764" s="11" t="str">
        <f aca="false">IF(OR(F1764="",G1764=""),"",ROUND(F1764*G1764,0))</f>
        <v/>
      </c>
    </row>
    <row r="1765" customFormat="false" ht="15" hidden="false" customHeight="false" outlineLevel="0" collapsed="false">
      <c r="A1765" s="8"/>
      <c r="B1765" s="10" t="str">
        <f aca="false">IF(A1765="","",IFERROR(VLOOKUP(A1765,DonHang!$A$2:$C$500,3,FALSE()),"mã đơn chưa có"))</f>
        <v/>
      </c>
      <c r="C1765" s="8"/>
      <c r="D1765" s="8"/>
      <c r="E1765" s="8"/>
      <c r="F1765" s="13"/>
      <c r="G1765" s="14"/>
      <c r="H1765" s="8"/>
      <c r="I1765" s="11" t="str">
        <f aca="false">IF(OR(F1765="",G1765=""),"",ROUND(F1765*G1765,0))</f>
        <v/>
      </c>
    </row>
    <row r="1766" customFormat="false" ht="15" hidden="false" customHeight="false" outlineLevel="0" collapsed="false">
      <c r="A1766" s="8"/>
      <c r="B1766" s="10" t="str">
        <f aca="false">IF(A1766="","",IFERROR(VLOOKUP(A1766,DonHang!$A$2:$C$500,3,FALSE()),"mã đơn chưa có"))</f>
        <v/>
      </c>
      <c r="C1766" s="8"/>
      <c r="D1766" s="8"/>
      <c r="E1766" s="8"/>
      <c r="F1766" s="13"/>
      <c r="G1766" s="14"/>
      <c r="H1766" s="8"/>
      <c r="I1766" s="11" t="str">
        <f aca="false">IF(OR(F1766="",G1766=""),"",ROUND(F1766*G1766,0))</f>
        <v/>
      </c>
    </row>
    <row r="1767" customFormat="false" ht="15" hidden="false" customHeight="false" outlineLevel="0" collapsed="false">
      <c r="A1767" s="8"/>
      <c r="B1767" s="10" t="str">
        <f aca="false">IF(A1767="","",IFERROR(VLOOKUP(A1767,DonHang!$A$2:$C$500,3,FALSE()),"mã đơn chưa có"))</f>
        <v/>
      </c>
      <c r="C1767" s="8"/>
      <c r="D1767" s="8"/>
      <c r="E1767" s="8"/>
      <c r="F1767" s="13"/>
      <c r="G1767" s="14"/>
      <c r="H1767" s="8"/>
      <c r="I1767" s="11" t="str">
        <f aca="false">IF(OR(F1767="",G1767=""),"",ROUND(F1767*G1767,0))</f>
        <v/>
      </c>
    </row>
    <row r="1768" customFormat="false" ht="15" hidden="false" customHeight="false" outlineLevel="0" collapsed="false">
      <c r="A1768" s="8"/>
      <c r="B1768" s="10" t="str">
        <f aca="false">IF(A1768="","",IFERROR(VLOOKUP(A1768,DonHang!$A$2:$C$500,3,FALSE()),"mã đơn chưa có"))</f>
        <v/>
      </c>
      <c r="C1768" s="8"/>
      <c r="D1768" s="8"/>
      <c r="E1768" s="8"/>
      <c r="F1768" s="13"/>
      <c r="G1768" s="14"/>
      <c r="H1768" s="8"/>
      <c r="I1768" s="11" t="str">
        <f aca="false">IF(OR(F1768="",G1768=""),"",ROUND(F1768*G1768,0))</f>
        <v/>
      </c>
    </row>
    <row r="1769" customFormat="false" ht="15" hidden="false" customHeight="false" outlineLevel="0" collapsed="false">
      <c r="A1769" s="8"/>
      <c r="B1769" s="10" t="str">
        <f aca="false">IF(A1769="","",IFERROR(VLOOKUP(A1769,DonHang!$A$2:$C$500,3,FALSE()),"mã đơn chưa có"))</f>
        <v/>
      </c>
      <c r="C1769" s="8"/>
      <c r="D1769" s="8"/>
      <c r="E1769" s="8"/>
      <c r="F1769" s="13"/>
      <c r="G1769" s="14"/>
      <c r="H1769" s="8"/>
      <c r="I1769" s="11" t="str">
        <f aca="false">IF(OR(F1769="",G1769=""),"",ROUND(F1769*G1769,0))</f>
        <v/>
      </c>
    </row>
    <row r="1770" customFormat="false" ht="15" hidden="false" customHeight="false" outlineLevel="0" collapsed="false">
      <c r="A1770" s="8"/>
      <c r="B1770" s="10" t="str">
        <f aca="false">IF(A1770="","",IFERROR(VLOOKUP(A1770,DonHang!$A$2:$C$500,3,FALSE()),"mã đơn chưa có"))</f>
        <v/>
      </c>
      <c r="C1770" s="8"/>
      <c r="D1770" s="8"/>
      <c r="E1770" s="8"/>
      <c r="F1770" s="13"/>
      <c r="G1770" s="14"/>
      <c r="H1770" s="8"/>
      <c r="I1770" s="11" t="str">
        <f aca="false">IF(OR(F1770="",G1770=""),"",ROUND(F1770*G1770,0))</f>
        <v/>
      </c>
    </row>
    <row r="1771" customFormat="false" ht="15" hidden="false" customHeight="false" outlineLevel="0" collapsed="false">
      <c r="A1771" s="8"/>
      <c r="B1771" s="10" t="str">
        <f aca="false">IF(A1771="","",IFERROR(VLOOKUP(A1771,DonHang!$A$2:$C$500,3,FALSE()),"mã đơn chưa có"))</f>
        <v/>
      </c>
      <c r="C1771" s="8"/>
      <c r="D1771" s="8"/>
      <c r="E1771" s="8"/>
      <c r="F1771" s="13"/>
      <c r="G1771" s="14"/>
      <c r="H1771" s="8"/>
      <c r="I1771" s="11" t="str">
        <f aca="false">IF(OR(F1771="",G1771=""),"",ROUND(F1771*G1771,0))</f>
        <v/>
      </c>
    </row>
    <row r="1772" customFormat="false" ht="15" hidden="false" customHeight="false" outlineLevel="0" collapsed="false">
      <c r="A1772" s="8"/>
      <c r="B1772" s="10" t="str">
        <f aca="false">IF(A1772="","",IFERROR(VLOOKUP(A1772,DonHang!$A$2:$C$500,3,FALSE()),"mã đơn chưa có"))</f>
        <v/>
      </c>
      <c r="C1772" s="8"/>
      <c r="D1772" s="8"/>
      <c r="E1772" s="8"/>
      <c r="F1772" s="13"/>
      <c r="G1772" s="14"/>
      <c r="H1772" s="8"/>
      <c r="I1772" s="11" t="str">
        <f aca="false">IF(OR(F1772="",G1772=""),"",ROUND(F1772*G1772,0))</f>
        <v/>
      </c>
    </row>
    <row r="1773" customFormat="false" ht="15" hidden="false" customHeight="false" outlineLevel="0" collapsed="false">
      <c r="A1773" s="8"/>
      <c r="B1773" s="10" t="str">
        <f aca="false">IF(A1773="","",IFERROR(VLOOKUP(A1773,DonHang!$A$2:$C$500,3,FALSE()),"mã đơn chưa có"))</f>
        <v/>
      </c>
      <c r="C1773" s="8"/>
      <c r="D1773" s="8"/>
      <c r="E1773" s="8"/>
      <c r="F1773" s="13"/>
      <c r="G1773" s="14"/>
      <c r="H1773" s="8"/>
      <c r="I1773" s="11" t="str">
        <f aca="false">IF(OR(F1773="",G1773=""),"",ROUND(F1773*G1773,0))</f>
        <v/>
      </c>
    </row>
    <row r="1774" customFormat="false" ht="15" hidden="false" customHeight="false" outlineLevel="0" collapsed="false">
      <c r="A1774" s="8"/>
      <c r="B1774" s="10" t="str">
        <f aca="false">IF(A1774="","",IFERROR(VLOOKUP(A1774,DonHang!$A$2:$C$500,3,FALSE()),"mã đơn chưa có"))</f>
        <v/>
      </c>
      <c r="C1774" s="8"/>
      <c r="D1774" s="8"/>
      <c r="E1774" s="8"/>
      <c r="F1774" s="13"/>
      <c r="G1774" s="14"/>
      <c r="H1774" s="8"/>
      <c r="I1774" s="11" t="str">
        <f aca="false">IF(OR(F1774="",G1774=""),"",ROUND(F1774*G1774,0))</f>
        <v/>
      </c>
    </row>
    <row r="1775" customFormat="false" ht="15" hidden="false" customHeight="false" outlineLevel="0" collapsed="false">
      <c r="A1775" s="8"/>
      <c r="B1775" s="10" t="str">
        <f aca="false">IF(A1775="","",IFERROR(VLOOKUP(A1775,DonHang!$A$2:$C$500,3,FALSE()),"mã đơn chưa có"))</f>
        <v/>
      </c>
      <c r="C1775" s="8"/>
      <c r="D1775" s="8"/>
      <c r="E1775" s="8"/>
      <c r="F1775" s="13"/>
      <c r="G1775" s="14"/>
      <c r="H1775" s="8"/>
      <c r="I1775" s="11" t="str">
        <f aca="false">IF(OR(F1775="",G1775=""),"",ROUND(F1775*G1775,0))</f>
        <v/>
      </c>
    </row>
    <row r="1776" customFormat="false" ht="15" hidden="false" customHeight="false" outlineLevel="0" collapsed="false">
      <c r="A1776" s="8"/>
      <c r="B1776" s="10" t="str">
        <f aca="false">IF(A1776="","",IFERROR(VLOOKUP(A1776,DonHang!$A$2:$C$500,3,FALSE()),"mã đơn chưa có"))</f>
        <v/>
      </c>
      <c r="C1776" s="8"/>
      <c r="D1776" s="8"/>
      <c r="E1776" s="8"/>
      <c r="F1776" s="13"/>
      <c r="G1776" s="14"/>
      <c r="H1776" s="8"/>
      <c r="I1776" s="11" t="str">
        <f aca="false">IF(OR(F1776="",G1776=""),"",ROUND(F1776*G1776,0))</f>
        <v/>
      </c>
    </row>
    <row r="1777" customFormat="false" ht="15" hidden="false" customHeight="false" outlineLevel="0" collapsed="false">
      <c r="A1777" s="8"/>
      <c r="B1777" s="10" t="str">
        <f aca="false">IF(A1777="","",IFERROR(VLOOKUP(A1777,DonHang!$A$2:$C$500,3,FALSE()),"mã đơn chưa có"))</f>
        <v/>
      </c>
      <c r="C1777" s="8"/>
      <c r="D1777" s="8"/>
      <c r="E1777" s="8"/>
      <c r="F1777" s="13"/>
      <c r="G1777" s="14"/>
      <c r="H1777" s="8"/>
      <c r="I1777" s="11" t="str">
        <f aca="false">IF(OR(F1777="",G1777=""),"",ROUND(F1777*G1777,0))</f>
        <v/>
      </c>
    </row>
    <row r="1778" customFormat="false" ht="15" hidden="false" customHeight="false" outlineLevel="0" collapsed="false">
      <c r="A1778" s="8"/>
      <c r="B1778" s="10" t="str">
        <f aca="false">IF(A1778="","",IFERROR(VLOOKUP(A1778,DonHang!$A$2:$C$500,3,FALSE()),"mã đơn chưa có"))</f>
        <v/>
      </c>
      <c r="C1778" s="8"/>
      <c r="D1778" s="8"/>
      <c r="E1778" s="8"/>
      <c r="F1778" s="13"/>
      <c r="G1778" s="14"/>
      <c r="H1778" s="8"/>
      <c r="I1778" s="11" t="str">
        <f aca="false">IF(OR(F1778="",G1778=""),"",ROUND(F1778*G1778,0))</f>
        <v/>
      </c>
    </row>
    <row r="1779" customFormat="false" ht="15" hidden="false" customHeight="false" outlineLevel="0" collapsed="false">
      <c r="A1779" s="8"/>
      <c r="B1779" s="10" t="str">
        <f aca="false">IF(A1779="","",IFERROR(VLOOKUP(A1779,DonHang!$A$2:$C$500,3,FALSE()),"mã đơn chưa có"))</f>
        <v/>
      </c>
      <c r="C1779" s="8"/>
      <c r="D1779" s="8"/>
      <c r="E1779" s="8"/>
      <c r="F1779" s="13"/>
      <c r="G1779" s="14"/>
      <c r="H1779" s="8"/>
      <c r="I1779" s="11" t="str">
        <f aca="false">IF(OR(F1779="",G1779=""),"",ROUND(F1779*G1779,0))</f>
        <v/>
      </c>
    </row>
    <row r="1780" customFormat="false" ht="15" hidden="false" customHeight="false" outlineLevel="0" collapsed="false">
      <c r="A1780" s="8"/>
      <c r="B1780" s="10" t="str">
        <f aca="false">IF(A1780="","",IFERROR(VLOOKUP(A1780,DonHang!$A$2:$C$500,3,FALSE()),"mã đơn chưa có"))</f>
        <v/>
      </c>
      <c r="C1780" s="8"/>
      <c r="D1780" s="8"/>
      <c r="E1780" s="8"/>
      <c r="F1780" s="13"/>
      <c r="G1780" s="14"/>
      <c r="H1780" s="8"/>
      <c r="I1780" s="11" t="str">
        <f aca="false">IF(OR(F1780="",G1780=""),"",ROUND(F1780*G1780,0))</f>
        <v/>
      </c>
    </row>
    <row r="1781" customFormat="false" ht="15" hidden="false" customHeight="false" outlineLevel="0" collapsed="false">
      <c r="A1781" s="8"/>
      <c r="B1781" s="10" t="str">
        <f aca="false">IF(A1781="","",IFERROR(VLOOKUP(A1781,DonHang!$A$2:$C$500,3,FALSE()),"mã đơn chưa có"))</f>
        <v/>
      </c>
      <c r="C1781" s="8"/>
      <c r="D1781" s="8"/>
      <c r="E1781" s="8"/>
      <c r="F1781" s="13"/>
      <c r="G1781" s="14"/>
      <c r="H1781" s="8"/>
      <c r="I1781" s="11" t="str">
        <f aca="false">IF(OR(F1781="",G1781=""),"",ROUND(F1781*G1781,0))</f>
        <v/>
      </c>
    </row>
    <row r="1782" customFormat="false" ht="15" hidden="false" customHeight="false" outlineLevel="0" collapsed="false">
      <c r="A1782" s="8"/>
      <c r="B1782" s="10" t="str">
        <f aca="false">IF(A1782="","",IFERROR(VLOOKUP(A1782,DonHang!$A$2:$C$500,3,FALSE()),"mã đơn chưa có"))</f>
        <v/>
      </c>
      <c r="C1782" s="8"/>
      <c r="D1782" s="8"/>
      <c r="E1782" s="8"/>
      <c r="F1782" s="13"/>
      <c r="G1782" s="14"/>
      <c r="H1782" s="8"/>
      <c r="I1782" s="11" t="str">
        <f aca="false">IF(OR(F1782="",G1782=""),"",ROUND(F1782*G1782,0))</f>
        <v/>
      </c>
    </row>
    <row r="1783" customFormat="false" ht="15" hidden="false" customHeight="false" outlineLevel="0" collapsed="false">
      <c r="A1783" s="8"/>
      <c r="B1783" s="10" t="str">
        <f aca="false">IF(A1783="","",IFERROR(VLOOKUP(A1783,DonHang!$A$2:$C$500,3,FALSE()),"mã đơn chưa có"))</f>
        <v/>
      </c>
      <c r="C1783" s="8"/>
      <c r="D1783" s="8"/>
      <c r="E1783" s="8"/>
      <c r="F1783" s="13"/>
      <c r="G1783" s="14"/>
      <c r="H1783" s="8"/>
      <c r="I1783" s="11" t="str">
        <f aca="false">IF(OR(F1783="",G1783=""),"",ROUND(F1783*G1783,0))</f>
        <v/>
      </c>
    </row>
    <row r="1784" customFormat="false" ht="15" hidden="false" customHeight="false" outlineLevel="0" collapsed="false">
      <c r="A1784" s="8"/>
      <c r="B1784" s="10" t="str">
        <f aca="false">IF(A1784="","",IFERROR(VLOOKUP(A1784,DonHang!$A$2:$C$500,3,FALSE()),"mã đơn chưa có"))</f>
        <v/>
      </c>
      <c r="C1784" s="8"/>
      <c r="D1784" s="8"/>
      <c r="E1784" s="8"/>
      <c r="F1784" s="13"/>
      <c r="G1784" s="14"/>
      <c r="H1784" s="8"/>
      <c r="I1784" s="11" t="str">
        <f aca="false">IF(OR(F1784="",G1784=""),"",ROUND(F1784*G1784,0))</f>
        <v/>
      </c>
    </row>
    <row r="1785" customFormat="false" ht="15" hidden="false" customHeight="false" outlineLevel="0" collapsed="false">
      <c r="A1785" s="8"/>
      <c r="B1785" s="10" t="str">
        <f aca="false">IF(A1785="","",IFERROR(VLOOKUP(A1785,DonHang!$A$2:$C$500,3,FALSE()),"mã đơn chưa có"))</f>
        <v/>
      </c>
      <c r="C1785" s="8"/>
      <c r="D1785" s="8"/>
      <c r="E1785" s="8"/>
      <c r="F1785" s="13"/>
      <c r="G1785" s="14"/>
      <c r="H1785" s="8"/>
      <c r="I1785" s="11" t="str">
        <f aca="false">IF(OR(F1785="",G1785=""),"",ROUND(F1785*G1785,0))</f>
        <v/>
      </c>
    </row>
    <row r="1786" customFormat="false" ht="15" hidden="false" customHeight="false" outlineLevel="0" collapsed="false">
      <c r="A1786" s="8"/>
      <c r="B1786" s="10" t="str">
        <f aca="false">IF(A1786="","",IFERROR(VLOOKUP(A1786,DonHang!$A$2:$C$500,3,FALSE()),"mã đơn chưa có"))</f>
        <v/>
      </c>
      <c r="C1786" s="8"/>
      <c r="D1786" s="8"/>
      <c r="E1786" s="8"/>
      <c r="F1786" s="13"/>
      <c r="G1786" s="14"/>
      <c r="H1786" s="8"/>
      <c r="I1786" s="11" t="str">
        <f aca="false">IF(OR(F1786="",G1786=""),"",ROUND(F1786*G1786,0))</f>
        <v/>
      </c>
    </row>
    <row r="1787" customFormat="false" ht="15" hidden="false" customHeight="false" outlineLevel="0" collapsed="false">
      <c r="A1787" s="8"/>
      <c r="B1787" s="10" t="str">
        <f aca="false">IF(A1787="","",IFERROR(VLOOKUP(A1787,DonHang!$A$2:$C$500,3,FALSE()),"mã đơn chưa có"))</f>
        <v/>
      </c>
      <c r="C1787" s="8"/>
      <c r="D1787" s="8"/>
      <c r="E1787" s="8"/>
      <c r="F1787" s="13"/>
      <c r="G1787" s="14"/>
      <c r="H1787" s="8"/>
      <c r="I1787" s="11" t="str">
        <f aca="false">IF(OR(F1787="",G1787=""),"",ROUND(F1787*G1787,0))</f>
        <v/>
      </c>
    </row>
    <row r="1788" customFormat="false" ht="15" hidden="false" customHeight="false" outlineLevel="0" collapsed="false">
      <c r="A1788" s="8"/>
      <c r="B1788" s="10" t="str">
        <f aca="false">IF(A1788="","",IFERROR(VLOOKUP(A1788,DonHang!$A$2:$C$500,3,FALSE()),"mã đơn chưa có"))</f>
        <v/>
      </c>
      <c r="C1788" s="8"/>
      <c r="D1788" s="8"/>
      <c r="E1788" s="8"/>
      <c r="F1788" s="13"/>
      <c r="G1788" s="14"/>
      <c r="H1788" s="8"/>
      <c r="I1788" s="11" t="str">
        <f aca="false">IF(OR(F1788="",G1788=""),"",ROUND(F1788*G1788,0))</f>
        <v/>
      </c>
    </row>
    <row r="1789" customFormat="false" ht="15" hidden="false" customHeight="false" outlineLevel="0" collapsed="false">
      <c r="A1789" s="8"/>
      <c r="B1789" s="10" t="str">
        <f aca="false">IF(A1789="","",IFERROR(VLOOKUP(A1789,DonHang!$A$2:$C$500,3,FALSE()),"mã đơn chưa có"))</f>
        <v/>
      </c>
      <c r="C1789" s="8"/>
      <c r="D1789" s="8"/>
      <c r="E1789" s="8"/>
      <c r="F1789" s="13"/>
      <c r="G1789" s="14"/>
      <c r="H1789" s="8"/>
      <c r="I1789" s="11" t="str">
        <f aca="false">IF(OR(F1789="",G1789=""),"",ROUND(F1789*G1789,0))</f>
        <v/>
      </c>
    </row>
    <row r="1790" customFormat="false" ht="15" hidden="false" customHeight="false" outlineLevel="0" collapsed="false">
      <c r="A1790" s="8"/>
      <c r="B1790" s="10" t="str">
        <f aca="false">IF(A1790="","",IFERROR(VLOOKUP(A1790,DonHang!$A$2:$C$500,3,FALSE()),"mã đơn chưa có"))</f>
        <v/>
      </c>
      <c r="C1790" s="8"/>
      <c r="D1790" s="8"/>
      <c r="E1790" s="8"/>
      <c r="F1790" s="13"/>
      <c r="G1790" s="14"/>
      <c r="H1790" s="8"/>
      <c r="I1790" s="11" t="str">
        <f aca="false">IF(OR(F1790="",G1790=""),"",ROUND(F1790*G1790,0))</f>
        <v/>
      </c>
    </row>
    <row r="1791" customFormat="false" ht="15" hidden="false" customHeight="false" outlineLevel="0" collapsed="false">
      <c r="A1791" s="8"/>
      <c r="B1791" s="10" t="str">
        <f aca="false">IF(A1791="","",IFERROR(VLOOKUP(A1791,DonHang!$A$2:$C$500,3,FALSE()),"mã đơn chưa có"))</f>
        <v/>
      </c>
      <c r="C1791" s="8"/>
      <c r="D1791" s="8"/>
      <c r="E1791" s="8"/>
      <c r="F1791" s="13"/>
      <c r="G1791" s="14"/>
      <c r="H1791" s="8"/>
      <c r="I1791" s="11" t="str">
        <f aca="false">IF(OR(F1791="",G1791=""),"",ROUND(F1791*G1791,0))</f>
        <v/>
      </c>
    </row>
    <row r="1792" customFormat="false" ht="15" hidden="false" customHeight="false" outlineLevel="0" collapsed="false">
      <c r="A1792" s="8"/>
      <c r="B1792" s="10" t="str">
        <f aca="false">IF(A1792="","",IFERROR(VLOOKUP(A1792,DonHang!$A$2:$C$500,3,FALSE()),"mã đơn chưa có"))</f>
        <v/>
      </c>
      <c r="C1792" s="8"/>
      <c r="D1792" s="8"/>
      <c r="E1792" s="8"/>
      <c r="F1792" s="13"/>
      <c r="G1792" s="14"/>
      <c r="H1792" s="8"/>
      <c r="I1792" s="11" t="str">
        <f aca="false">IF(OR(F1792="",G1792=""),"",ROUND(F1792*G1792,0))</f>
        <v/>
      </c>
    </row>
    <row r="1793" customFormat="false" ht="15" hidden="false" customHeight="false" outlineLevel="0" collapsed="false">
      <c r="A1793" s="8"/>
      <c r="B1793" s="10" t="str">
        <f aca="false">IF(A1793="","",IFERROR(VLOOKUP(A1793,DonHang!$A$2:$C$500,3,FALSE()),"mã đơn chưa có"))</f>
        <v/>
      </c>
      <c r="C1793" s="8"/>
      <c r="D1793" s="8"/>
      <c r="E1793" s="8"/>
      <c r="F1793" s="13"/>
      <c r="G1793" s="14"/>
      <c r="H1793" s="8"/>
      <c r="I1793" s="11" t="str">
        <f aca="false">IF(OR(F1793="",G1793=""),"",ROUND(F1793*G1793,0))</f>
        <v/>
      </c>
    </row>
    <row r="1794" customFormat="false" ht="15" hidden="false" customHeight="false" outlineLevel="0" collapsed="false">
      <c r="A1794" s="8"/>
      <c r="B1794" s="10" t="str">
        <f aca="false">IF(A1794="","",IFERROR(VLOOKUP(A1794,DonHang!$A$2:$C$500,3,FALSE()),"mã đơn chưa có"))</f>
        <v/>
      </c>
      <c r="C1794" s="8"/>
      <c r="D1794" s="8"/>
      <c r="E1794" s="8"/>
      <c r="F1794" s="13"/>
      <c r="G1794" s="14"/>
      <c r="H1794" s="8"/>
      <c r="I1794" s="11" t="str">
        <f aca="false">IF(OR(F1794="",G1794=""),"",ROUND(F1794*G1794,0))</f>
        <v/>
      </c>
    </row>
    <row r="1795" customFormat="false" ht="15" hidden="false" customHeight="false" outlineLevel="0" collapsed="false">
      <c r="A1795" s="8"/>
      <c r="B1795" s="10" t="str">
        <f aca="false">IF(A1795="","",IFERROR(VLOOKUP(A1795,DonHang!$A$2:$C$500,3,FALSE()),"mã đơn chưa có"))</f>
        <v/>
      </c>
      <c r="C1795" s="8"/>
      <c r="D1795" s="8"/>
      <c r="E1795" s="8"/>
      <c r="F1795" s="13"/>
      <c r="G1795" s="14"/>
      <c r="H1795" s="8"/>
      <c r="I1795" s="11" t="str">
        <f aca="false">IF(OR(F1795="",G1795=""),"",ROUND(F1795*G1795,0))</f>
        <v/>
      </c>
    </row>
    <row r="1796" customFormat="false" ht="15" hidden="false" customHeight="false" outlineLevel="0" collapsed="false">
      <c r="A1796" s="8"/>
      <c r="B1796" s="10" t="str">
        <f aca="false">IF(A1796="","",IFERROR(VLOOKUP(A1796,DonHang!$A$2:$C$500,3,FALSE()),"mã đơn chưa có"))</f>
        <v/>
      </c>
      <c r="C1796" s="8"/>
      <c r="D1796" s="8"/>
      <c r="E1796" s="8"/>
      <c r="F1796" s="13"/>
      <c r="G1796" s="14"/>
      <c r="H1796" s="8"/>
      <c r="I1796" s="11" t="str">
        <f aca="false">IF(OR(F1796="",G1796=""),"",ROUND(F1796*G1796,0))</f>
        <v/>
      </c>
    </row>
    <row r="1797" customFormat="false" ht="15" hidden="false" customHeight="false" outlineLevel="0" collapsed="false">
      <c r="A1797" s="8"/>
      <c r="B1797" s="10" t="str">
        <f aca="false">IF(A1797="","",IFERROR(VLOOKUP(A1797,DonHang!$A$2:$C$500,3,FALSE()),"mã đơn chưa có"))</f>
        <v/>
      </c>
      <c r="C1797" s="8"/>
      <c r="D1797" s="8"/>
      <c r="E1797" s="8"/>
      <c r="F1797" s="13"/>
      <c r="G1797" s="14"/>
      <c r="H1797" s="8"/>
      <c r="I1797" s="11" t="str">
        <f aca="false">IF(OR(F1797="",G1797=""),"",ROUND(F1797*G1797,0))</f>
        <v/>
      </c>
    </row>
    <row r="1798" customFormat="false" ht="15" hidden="false" customHeight="false" outlineLevel="0" collapsed="false">
      <c r="A1798" s="8"/>
      <c r="B1798" s="10" t="str">
        <f aca="false">IF(A1798="","",IFERROR(VLOOKUP(A1798,DonHang!$A$2:$C$500,3,FALSE()),"mã đơn chưa có"))</f>
        <v/>
      </c>
      <c r="C1798" s="8"/>
      <c r="D1798" s="8"/>
      <c r="E1798" s="8"/>
      <c r="F1798" s="13"/>
      <c r="G1798" s="14"/>
      <c r="H1798" s="8"/>
      <c r="I1798" s="11" t="str">
        <f aca="false">IF(OR(F1798="",G1798=""),"",ROUND(F1798*G1798,0))</f>
        <v/>
      </c>
    </row>
    <row r="1799" customFormat="false" ht="15" hidden="false" customHeight="false" outlineLevel="0" collapsed="false">
      <c r="A1799" s="8"/>
      <c r="B1799" s="10" t="str">
        <f aca="false">IF(A1799="","",IFERROR(VLOOKUP(A1799,DonHang!$A$2:$C$500,3,FALSE()),"mã đơn chưa có"))</f>
        <v/>
      </c>
      <c r="C1799" s="8"/>
      <c r="D1799" s="8"/>
      <c r="E1799" s="8"/>
      <c r="F1799" s="13"/>
      <c r="G1799" s="14"/>
      <c r="H1799" s="8"/>
      <c r="I1799" s="11" t="str">
        <f aca="false">IF(OR(F1799="",G1799=""),"",ROUND(F1799*G1799,0))</f>
        <v/>
      </c>
    </row>
    <row r="1800" customFormat="false" ht="15" hidden="false" customHeight="false" outlineLevel="0" collapsed="false">
      <c r="A1800" s="8"/>
      <c r="B1800" s="10" t="str">
        <f aca="false">IF(A1800="","",IFERROR(VLOOKUP(A1800,DonHang!$A$2:$C$500,3,FALSE()),"mã đơn chưa có"))</f>
        <v/>
      </c>
      <c r="C1800" s="8"/>
      <c r="D1800" s="8"/>
      <c r="E1800" s="8"/>
      <c r="F1800" s="13"/>
      <c r="G1800" s="14"/>
      <c r="H1800" s="8"/>
      <c r="I1800" s="11" t="str">
        <f aca="false">IF(OR(F1800="",G1800=""),"",ROUND(F1800*G1800,0))</f>
        <v/>
      </c>
    </row>
    <row r="1801" customFormat="false" ht="15" hidden="false" customHeight="false" outlineLevel="0" collapsed="false">
      <c r="A1801" s="8"/>
      <c r="B1801" s="10" t="str">
        <f aca="false">IF(A1801="","",IFERROR(VLOOKUP(A1801,DonHang!$A$2:$C$500,3,FALSE()),"mã đơn chưa có"))</f>
        <v/>
      </c>
      <c r="C1801" s="8"/>
      <c r="D1801" s="8"/>
      <c r="E1801" s="8"/>
      <c r="F1801" s="13"/>
      <c r="G1801" s="14"/>
      <c r="H1801" s="8"/>
      <c r="I1801" s="11" t="str">
        <f aca="false">IF(OR(F1801="",G1801=""),"",ROUND(F1801*G1801,0))</f>
        <v/>
      </c>
    </row>
    <row r="1802" customFormat="false" ht="15" hidden="false" customHeight="false" outlineLevel="0" collapsed="false">
      <c r="A1802" s="8"/>
      <c r="B1802" s="10" t="str">
        <f aca="false">IF(A1802="","",IFERROR(VLOOKUP(A1802,DonHang!$A$2:$C$500,3,FALSE()),"mã đơn chưa có"))</f>
        <v/>
      </c>
      <c r="C1802" s="8"/>
      <c r="D1802" s="8"/>
      <c r="E1802" s="8"/>
      <c r="F1802" s="13"/>
      <c r="G1802" s="14"/>
      <c r="H1802" s="8"/>
      <c r="I1802" s="11" t="str">
        <f aca="false">IF(OR(F1802="",G1802=""),"",ROUND(F1802*G1802,0))</f>
        <v/>
      </c>
    </row>
    <row r="1803" customFormat="false" ht="15" hidden="false" customHeight="false" outlineLevel="0" collapsed="false">
      <c r="A1803" s="8"/>
      <c r="B1803" s="10" t="str">
        <f aca="false">IF(A1803="","",IFERROR(VLOOKUP(A1803,DonHang!$A$2:$C$500,3,FALSE()),"mã đơn chưa có"))</f>
        <v/>
      </c>
      <c r="C1803" s="8"/>
      <c r="D1803" s="8"/>
      <c r="E1803" s="8"/>
      <c r="F1803" s="13"/>
      <c r="G1803" s="14"/>
      <c r="H1803" s="8"/>
      <c r="I1803" s="11" t="str">
        <f aca="false">IF(OR(F1803="",G1803=""),"",ROUND(F1803*G1803,0))</f>
        <v/>
      </c>
    </row>
    <row r="1804" customFormat="false" ht="15" hidden="false" customHeight="false" outlineLevel="0" collapsed="false">
      <c r="A1804" s="8"/>
      <c r="B1804" s="10" t="str">
        <f aca="false">IF(A1804="","",IFERROR(VLOOKUP(A1804,DonHang!$A$2:$C$500,3,FALSE()),"mã đơn chưa có"))</f>
        <v/>
      </c>
      <c r="C1804" s="8"/>
      <c r="D1804" s="8"/>
      <c r="E1804" s="8"/>
      <c r="F1804" s="13"/>
      <c r="G1804" s="14"/>
      <c r="H1804" s="8"/>
      <c r="I1804" s="11" t="str">
        <f aca="false">IF(OR(F1804="",G1804=""),"",ROUND(F1804*G1804,0))</f>
        <v/>
      </c>
    </row>
    <row r="1805" customFormat="false" ht="15" hidden="false" customHeight="false" outlineLevel="0" collapsed="false">
      <c r="A1805" s="8"/>
      <c r="B1805" s="10" t="str">
        <f aca="false">IF(A1805="","",IFERROR(VLOOKUP(A1805,DonHang!$A$2:$C$500,3,FALSE()),"mã đơn chưa có"))</f>
        <v/>
      </c>
      <c r="C1805" s="8"/>
      <c r="D1805" s="8"/>
      <c r="E1805" s="8"/>
      <c r="F1805" s="13"/>
      <c r="G1805" s="14"/>
      <c r="H1805" s="8"/>
      <c r="I1805" s="11" t="str">
        <f aca="false">IF(OR(F1805="",G1805=""),"",ROUND(F1805*G1805,0))</f>
        <v/>
      </c>
    </row>
    <row r="1806" customFormat="false" ht="15" hidden="false" customHeight="false" outlineLevel="0" collapsed="false">
      <c r="A1806" s="8"/>
      <c r="B1806" s="10" t="str">
        <f aca="false">IF(A1806="","",IFERROR(VLOOKUP(A1806,DonHang!$A$2:$C$500,3,FALSE()),"mã đơn chưa có"))</f>
        <v/>
      </c>
      <c r="C1806" s="8"/>
      <c r="D1806" s="8"/>
      <c r="E1806" s="8"/>
      <c r="F1806" s="13"/>
      <c r="G1806" s="14"/>
      <c r="H1806" s="8"/>
      <c r="I1806" s="11" t="str">
        <f aca="false">IF(OR(F1806="",G1806=""),"",ROUND(F1806*G1806,0))</f>
        <v/>
      </c>
    </row>
    <row r="1807" customFormat="false" ht="15" hidden="false" customHeight="false" outlineLevel="0" collapsed="false">
      <c r="A1807" s="8"/>
      <c r="B1807" s="10" t="str">
        <f aca="false">IF(A1807="","",IFERROR(VLOOKUP(A1807,DonHang!$A$2:$C$500,3,FALSE()),"mã đơn chưa có"))</f>
        <v/>
      </c>
      <c r="C1807" s="8"/>
      <c r="D1807" s="8"/>
      <c r="E1807" s="8"/>
      <c r="F1807" s="13"/>
      <c r="G1807" s="14"/>
      <c r="H1807" s="8"/>
      <c r="I1807" s="11" t="str">
        <f aca="false">IF(OR(F1807="",G1807=""),"",ROUND(F1807*G1807,0))</f>
        <v/>
      </c>
    </row>
    <row r="1808" customFormat="false" ht="15" hidden="false" customHeight="false" outlineLevel="0" collapsed="false">
      <c r="A1808" s="8"/>
      <c r="B1808" s="10" t="str">
        <f aca="false">IF(A1808="","",IFERROR(VLOOKUP(A1808,DonHang!$A$2:$C$500,3,FALSE()),"mã đơn chưa có"))</f>
        <v/>
      </c>
      <c r="C1808" s="8"/>
      <c r="D1808" s="8"/>
      <c r="E1808" s="8"/>
      <c r="F1808" s="13"/>
      <c r="G1808" s="14"/>
      <c r="H1808" s="8"/>
      <c r="I1808" s="11" t="str">
        <f aca="false">IF(OR(F1808="",G1808=""),"",ROUND(F1808*G1808,0))</f>
        <v/>
      </c>
    </row>
    <row r="1809" customFormat="false" ht="15" hidden="false" customHeight="false" outlineLevel="0" collapsed="false">
      <c r="A1809" s="8"/>
      <c r="B1809" s="10" t="str">
        <f aca="false">IF(A1809="","",IFERROR(VLOOKUP(A1809,DonHang!$A$2:$C$500,3,FALSE()),"mã đơn chưa có"))</f>
        <v/>
      </c>
      <c r="C1809" s="8"/>
      <c r="D1809" s="8"/>
      <c r="E1809" s="8"/>
      <c r="F1809" s="13"/>
      <c r="G1809" s="14"/>
      <c r="H1809" s="8"/>
      <c r="I1809" s="11" t="str">
        <f aca="false">IF(OR(F1809="",G1809=""),"",ROUND(F1809*G1809,0))</f>
        <v/>
      </c>
    </row>
    <row r="1810" customFormat="false" ht="15" hidden="false" customHeight="false" outlineLevel="0" collapsed="false">
      <c r="A1810" s="8"/>
      <c r="B1810" s="10" t="str">
        <f aca="false">IF(A1810="","",IFERROR(VLOOKUP(A1810,DonHang!$A$2:$C$500,3,FALSE()),"mã đơn chưa có"))</f>
        <v/>
      </c>
      <c r="C1810" s="8"/>
      <c r="D1810" s="8"/>
      <c r="E1810" s="8"/>
      <c r="F1810" s="13"/>
      <c r="G1810" s="14"/>
      <c r="H1810" s="8"/>
      <c r="I1810" s="11" t="str">
        <f aca="false">IF(OR(F1810="",G1810=""),"",ROUND(F1810*G1810,0))</f>
        <v/>
      </c>
    </row>
    <row r="1811" customFormat="false" ht="15" hidden="false" customHeight="false" outlineLevel="0" collapsed="false">
      <c r="A1811" s="8"/>
      <c r="B1811" s="10" t="str">
        <f aca="false">IF(A1811="","",IFERROR(VLOOKUP(A1811,DonHang!$A$2:$C$500,3,FALSE()),"mã đơn chưa có"))</f>
        <v/>
      </c>
      <c r="C1811" s="8"/>
      <c r="D1811" s="8"/>
      <c r="E1811" s="8"/>
      <c r="F1811" s="13"/>
      <c r="G1811" s="14"/>
      <c r="H1811" s="8"/>
      <c r="I1811" s="11" t="str">
        <f aca="false">IF(OR(F1811="",G1811=""),"",ROUND(F1811*G1811,0))</f>
        <v/>
      </c>
    </row>
    <row r="1812" customFormat="false" ht="15" hidden="false" customHeight="false" outlineLevel="0" collapsed="false">
      <c r="A1812" s="8"/>
      <c r="B1812" s="10" t="str">
        <f aca="false">IF(A1812="","",IFERROR(VLOOKUP(A1812,DonHang!$A$2:$C$500,3,FALSE()),"mã đơn chưa có"))</f>
        <v/>
      </c>
      <c r="C1812" s="8"/>
      <c r="D1812" s="8"/>
      <c r="E1812" s="8"/>
      <c r="F1812" s="13"/>
      <c r="G1812" s="14"/>
      <c r="H1812" s="8"/>
      <c r="I1812" s="11" t="str">
        <f aca="false">IF(OR(F1812="",G1812=""),"",ROUND(F1812*G1812,0))</f>
        <v/>
      </c>
    </row>
    <row r="1813" customFormat="false" ht="15" hidden="false" customHeight="false" outlineLevel="0" collapsed="false">
      <c r="A1813" s="8"/>
      <c r="B1813" s="10" t="str">
        <f aca="false">IF(A1813="","",IFERROR(VLOOKUP(A1813,DonHang!$A$2:$C$500,3,FALSE()),"mã đơn chưa có"))</f>
        <v/>
      </c>
      <c r="C1813" s="8"/>
      <c r="D1813" s="8"/>
      <c r="E1813" s="8"/>
      <c r="F1813" s="13"/>
      <c r="G1813" s="14"/>
      <c r="H1813" s="8"/>
      <c r="I1813" s="11" t="str">
        <f aca="false">IF(OR(F1813="",G1813=""),"",ROUND(F1813*G1813,0))</f>
        <v/>
      </c>
    </row>
    <row r="1814" customFormat="false" ht="15" hidden="false" customHeight="false" outlineLevel="0" collapsed="false">
      <c r="A1814" s="8"/>
      <c r="B1814" s="10" t="str">
        <f aca="false">IF(A1814="","",IFERROR(VLOOKUP(A1814,DonHang!$A$2:$C$500,3,FALSE()),"mã đơn chưa có"))</f>
        <v/>
      </c>
      <c r="C1814" s="8"/>
      <c r="D1814" s="8"/>
      <c r="E1814" s="8"/>
      <c r="F1814" s="13"/>
      <c r="G1814" s="14"/>
      <c r="H1814" s="8"/>
      <c r="I1814" s="11" t="str">
        <f aca="false">IF(OR(F1814="",G1814=""),"",ROUND(F1814*G1814,0))</f>
        <v/>
      </c>
    </row>
    <row r="1815" customFormat="false" ht="15" hidden="false" customHeight="false" outlineLevel="0" collapsed="false">
      <c r="A1815" s="8"/>
      <c r="B1815" s="10" t="str">
        <f aca="false">IF(A1815="","",IFERROR(VLOOKUP(A1815,DonHang!$A$2:$C$500,3,FALSE()),"mã đơn chưa có"))</f>
        <v/>
      </c>
      <c r="C1815" s="8"/>
      <c r="D1815" s="8"/>
      <c r="E1815" s="8"/>
      <c r="F1815" s="13"/>
      <c r="G1815" s="14"/>
      <c r="H1815" s="8"/>
      <c r="I1815" s="11" t="str">
        <f aca="false">IF(OR(F1815="",G1815=""),"",ROUND(F1815*G1815,0))</f>
        <v/>
      </c>
    </row>
    <row r="1816" customFormat="false" ht="15" hidden="false" customHeight="false" outlineLevel="0" collapsed="false">
      <c r="A1816" s="8"/>
      <c r="B1816" s="10" t="str">
        <f aca="false">IF(A1816="","",IFERROR(VLOOKUP(A1816,DonHang!$A$2:$C$500,3,FALSE()),"mã đơn chưa có"))</f>
        <v/>
      </c>
      <c r="C1816" s="8"/>
      <c r="D1816" s="8"/>
      <c r="E1816" s="8"/>
      <c r="F1816" s="13"/>
      <c r="G1816" s="14"/>
      <c r="H1816" s="8"/>
      <c r="I1816" s="11" t="str">
        <f aca="false">IF(OR(F1816="",G1816=""),"",ROUND(F1816*G1816,0))</f>
        <v/>
      </c>
    </row>
    <row r="1817" customFormat="false" ht="15" hidden="false" customHeight="false" outlineLevel="0" collapsed="false">
      <c r="A1817" s="8"/>
      <c r="B1817" s="10" t="str">
        <f aca="false">IF(A1817="","",IFERROR(VLOOKUP(A1817,DonHang!$A$2:$C$500,3,FALSE()),"mã đơn chưa có"))</f>
        <v/>
      </c>
      <c r="C1817" s="8"/>
      <c r="D1817" s="8"/>
      <c r="E1817" s="8"/>
      <c r="F1817" s="13"/>
      <c r="G1817" s="14"/>
      <c r="H1817" s="8"/>
      <c r="I1817" s="11" t="str">
        <f aca="false">IF(OR(F1817="",G1817=""),"",ROUND(F1817*G1817,0))</f>
        <v/>
      </c>
    </row>
    <row r="1818" customFormat="false" ht="15" hidden="false" customHeight="false" outlineLevel="0" collapsed="false">
      <c r="A1818" s="8"/>
      <c r="B1818" s="10" t="str">
        <f aca="false">IF(A1818="","",IFERROR(VLOOKUP(A1818,DonHang!$A$2:$C$500,3,FALSE()),"mã đơn chưa có"))</f>
        <v/>
      </c>
      <c r="C1818" s="8"/>
      <c r="D1818" s="8"/>
      <c r="E1818" s="8"/>
      <c r="F1818" s="13"/>
      <c r="G1818" s="14"/>
      <c r="H1818" s="8"/>
      <c r="I1818" s="11" t="str">
        <f aca="false">IF(OR(F1818="",G1818=""),"",ROUND(F1818*G1818,0))</f>
        <v/>
      </c>
    </row>
    <row r="1819" customFormat="false" ht="15" hidden="false" customHeight="false" outlineLevel="0" collapsed="false">
      <c r="A1819" s="8"/>
      <c r="B1819" s="10" t="str">
        <f aca="false">IF(A1819="","",IFERROR(VLOOKUP(A1819,DonHang!$A$2:$C$500,3,FALSE()),"mã đơn chưa có"))</f>
        <v/>
      </c>
      <c r="C1819" s="8"/>
      <c r="D1819" s="8"/>
      <c r="E1819" s="8"/>
      <c r="F1819" s="13"/>
      <c r="G1819" s="14"/>
      <c r="H1819" s="8"/>
      <c r="I1819" s="11" t="str">
        <f aca="false">IF(OR(F1819="",G1819=""),"",ROUND(F1819*G1819,0))</f>
        <v/>
      </c>
    </row>
    <row r="1820" customFormat="false" ht="15" hidden="false" customHeight="false" outlineLevel="0" collapsed="false">
      <c r="A1820" s="8"/>
      <c r="B1820" s="10" t="str">
        <f aca="false">IF(A1820="","",IFERROR(VLOOKUP(A1820,DonHang!$A$2:$C$500,3,FALSE()),"mã đơn chưa có"))</f>
        <v/>
      </c>
      <c r="C1820" s="8"/>
      <c r="D1820" s="8"/>
      <c r="E1820" s="8"/>
      <c r="F1820" s="13"/>
      <c r="G1820" s="14"/>
      <c r="H1820" s="8"/>
      <c r="I1820" s="11" t="str">
        <f aca="false">IF(OR(F1820="",G1820=""),"",ROUND(F1820*G1820,0))</f>
        <v/>
      </c>
    </row>
    <row r="1821" customFormat="false" ht="15" hidden="false" customHeight="false" outlineLevel="0" collapsed="false">
      <c r="A1821" s="8"/>
      <c r="B1821" s="10" t="str">
        <f aca="false">IF(A1821="","",IFERROR(VLOOKUP(A1821,DonHang!$A$2:$C$500,3,FALSE()),"mã đơn chưa có"))</f>
        <v/>
      </c>
      <c r="C1821" s="8"/>
      <c r="D1821" s="8"/>
      <c r="E1821" s="8"/>
      <c r="F1821" s="13"/>
      <c r="G1821" s="14"/>
      <c r="H1821" s="8"/>
      <c r="I1821" s="11" t="str">
        <f aca="false">IF(OR(F1821="",G1821=""),"",ROUND(F1821*G1821,0))</f>
        <v/>
      </c>
    </row>
    <row r="1822" customFormat="false" ht="15" hidden="false" customHeight="false" outlineLevel="0" collapsed="false">
      <c r="A1822" s="8"/>
      <c r="B1822" s="10" t="str">
        <f aca="false">IF(A1822="","",IFERROR(VLOOKUP(A1822,DonHang!$A$2:$C$500,3,FALSE()),"mã đơn chưa có"))</f>
        <v/>
      </c>
      <c r="C1822" s="8"/>
      <c r="D1822" s="8"/>
      <c r="E1822" s="8"/>
      <c r="F1822" s="13"/>
      <c r="G1822" s="14"/>
      <c r="H1822" s="8"/>
      <c r="I1822" s="11" t="str">
        <f aca="false">IF(OR(F1822="",G1822=""),"",ROUND(F1822*G1822,0))</f>
        <v/>
      </c>
    </row>
    <row r="1823" customFormat="false" ht="15" hidden="false" customHeight="false" outlineLevel="0" collapsed="false">
      <c r="A1823" s="8"/>
      <c r="B1823" s="10" t="str">
        <f aca="false">IF(A1823="","",IFERROR(VLOOKUP(A1823,DonHang!$A$2:$C$500,3,FALSE()),"mã đơn chưa có"))</f>
        <v/>
      </c>
      <c r="C1823" s="8"/>
      <c r="D1823" s="8"/>
      <c r="E1823" s="8"/>
      <c r="F1823" s="13"/>
      <c r="G1823" s="14"/>
      <c r="H1823" s="8"/>
      <c r="I1823" s="11" t="str">
        <f aca="false">IF(OR(F1823="",G1823=""),"",ROUND(F1823*G1823,0))</f>
        <v/>
      </c>
    </row>
    <row r="1824" customFormat="false" ht="15" hidden="false" customHeight="false" outlineLevel="0" collapsed="false">
      <c r="A1824" s="8"/>
      <c r="B1824" s="10" t="str">
        <f aca="false">IF(A1824="","",IFERROR(VLOOKUP(A1824,DonHang!$A$2:$C$500,3,FALSE()),"mã đơn chưa có"))</f>
        <v/>
      </c>
      <c r="C1824" s="8"/>
      <c r="D1824" s="8"/>
      <c r="E1824" s="8"/>
      <c r="F1824" s="13"/>
      <c r="G1824" s="14"/>
      <c r="H1824" s="8"/>
      <c r="I1824" s="11" t="str">
        <f aca="false">IF(OR(F1824="",G1824=""),"",ROUND(F1824*G1824,0))</f>
        <v/>
      </c>
    </row>
    <row r="1825" customFormat="false" ht="15" hidden="false" customHeight="false" outlineLevel="0" collapsed="false">
      <c r="A1825" s="8"/>
      <c r="B1825" s="10" t="str">
        <f aca="false">IF(A1825="","",IFERROR(VLOOKUP(A1825,DonHang!$A$2:$C$500,3,FALSE()),"mã đơn chưa có"))</f>
        <v/>
      </c>
      <c r="C1825" s="8"/>
      <c r="D1825" s="8"/>
      <c r="E1825" s="8"/>
      <c r="F1825" s="13"/>
      <c r="G1825" s="14"/>
      <c r="H1825" s="8"/>
      <c r="I1825" s="11" t="str">
        <f aca="false">IF(OR(F1825="",G1825=""),"",ROUND(F1825*G1825,0))</f>
        <v/>
      </c>
    </row>
    <row r="1826" customFormat="false" ht="15" hidden="false" customHeight="false" outlineLevel="0" collapsed="false">
      <c r="A1826" s="8"/>
      <c r="B1826" s="10" t="str">
        <f aca="false">IF(A1826="","",IFERROR(VLOOKUP(A1826,DonHang!$A$2:$C$500,3,FALSE()),"mã đơn chưa có"))</f>
        <v/>
      </c>
      <c r="C1826" s="8"/>
      <c r="D1826" s="8"/>
      <c r="E1826" s="8"/>
      <c r="F1826" s="13"/>
      <c r="G1826" s="14"/>
      <c r="H1826" s="8"/>
      <c r="I1826" s="11" t="str">
        <f aca="false">IF(OR(F1826="",G1826=""),"",ROUND(F1826*G1826,0))</f>
        <v/>
      </c>
    </row>
    <row r="1827" customFormat="false" ht="15" hidden="false" customHeight="false" outlineLevel="0" collapsed="false">
      <c r="A1827" s="8"/>
      <c r="B1827" s="10" t="str">
        <f aca="false">IF(A1827="","",IFERROR(VLOOKUP(A1827,DonHang!$A$2:$C$500,3,FALSE()),"mã đơn chưa có"))</f>
        <v/>
      </c>
      <c r="C1827" s="8"/>
      <c r="D1827" s="8"/>
      <c r="E1827" s="8"/>
      <c r="F1827" s="13"/>
      <c r="G1827" s="14"/>
      <c r="H1827" s="8"/>
      <c r="I1827" s="11" t="str">
        <f aca="false">IF(OR(F1827="",G1827=""),"",ROUND(F1827*G1827,0))</f>
        <v/>
      </c>
    </row>
    <row r="1828" customFormat="false" ht="15" hidden="false" customHeight="false" outlineLevel="0" collapsed="false">
      <c r="A1828" s="8"/>
      <c r="B1828" s="10" t="str">
        <f aca="false">IF(A1828="","",IFERROR(VLOOKUP(A1828,DonHang!$A$2:$C$500,3,FALSE()),"mã đơn chưa có"))</f>
        <v/>
      </c>
      <c r="C1828" s="8"/>
      <c r="D1828" s="8"/>
      <c r="E1828" s="8"/>
      <c r="F1828" s="13"/>
      <c r="G1828" s="14"/>
      <c r="H1828" s="8"/>
      <c r="I1828" s="11" t="str">
        <f aca="false">IF(OR(F1828="",G1828=""),"",ROUND(F1828*G1828,0))</f>
        <v/>
      </c>
    </row>
    <row r="1829" customFormat="false" ht="15" hidden="false" customHeight="false" outlineLevel="0" collapsed="false">
      <c r="A1829" s="8"/>
      <c r="B1829" s="10" t="str">
        <f aca="false">IF(A1829="","",IFERROR(VLOOKUP(A1829,DonHang!$A$2:$C$500,3,FALSE()),"mã đơn chưa có"))</f>
        <v/>
      </c>
      <c r="C1829" s="8"/>
      <c r="D1829" s="8"/>
      <c r="E1829" s="8"/>
      <c r="F1829" s="13"/>
      <c r="G1829" s="14"/>
      <c r="H1829" s="8"/>
      <c r="I1829" s="11" t="str">
        <f aca="false">IF(OR(F1829="",G1829=""),"",ROUND(F1829*G1829,0))</f>
        <v/>
      </c>
    </row>
    <row r="1830" customFormat="false" ht="15" hidden="false" customHeight="false" outlineLevel="0" collapsed="false">
      <c r="A1830" s="8"/>
      <c r="B1830" s="10" t="str">
        <f aca="false">IF(A1830="","",IFERROR(VLOOKUP(A1830,DonHang!$A$2:$C$500,3,FALSE()),"mã đơn chưa có"))</f>
        <v/>
      </c>
      <c r="C1830" s="8"/>
      <c r="D1830" s="8"/>
      <c r="E1830" s="8"/>
      <c r="F1830" s="13"/>
      <c r="G1830" s="14"/>
      <c r="H1830" s="8"/>
      <c r="I1830" s="11" t="str">
        <f aca="false">IF(OR(F1830="",G1830=""),"",ROUND(F1830*G1830,0))</f>
        <v/>
      </c>
    </row>
    <row r="1831" customFormat="false" ht="15" hidden="false" customHeight="false" outlineLevel="0" collapsed="false">
      <c r="A1831" s="8"/>
      <c r="B1831" s="10" t="str">
        <f aca="false">IF(A1831="","",IFERROR(VLOOKUP(A1831,DonHang!$A$2:$C$500,3,FALSE()),"mã đơn chưa có"))</f>
        <v/>
      </c>
      <c r="C1831" s="8"/>
      <c r="D1831" s="8"/>
      <c r="E1831" s="8"/>
      <c r="F1831" s="13"/>
      <c r="G1831" s="14"/>
      <c r="H1831" s="8"/>
      <c r="I1831" s="11" t="str">
        <f aca="false">IF(OR(F1831="",G1831=""),"",ROUND(F1831*G1831,0))</f>
        <v/>
      </c>
    </row>
    <row r="1832" customFormat="false" ht="15" hidden="false" customHeight="false" outlineLevel="0" collapsed="false">
      <c r="A1832" s="8"/>
      <c r="B1832" s="10" t="str">
        <f aca="false">IF(A1832="","",IFERROR(VLOOKUP(A1832,DonHang!$A$2:$C$500,3,FALSE()),"mã đơn chưa có"))</f>
        <v/>
      </c>
      <c r="C1832" s="8"/>
      <c r="D1832" s="8"/>
      <c r="E1832" s="8"/>
      <c r="F1832" s="13"/>
      <c r="G1832" s="14"/>
      <c r="H1832" s="8"/>
      <c r="I1832" s="11" t="str">
        <f aca="false">IF(OR(F1832="",G1832=""),"",ROUND(F1832*G1832,0))</f>
        <v/>
      </c>
    </row>
    <row r="1833" customFormat="false" ht="15" hidden="false" customHeight="false" outlineLevel="0" collapsed="false">
      <c r="A1833" s="8"/>
      <c r="B1833" s="10" t="str">
        <f aca="false">IF(A1833="","",IFERROR(VLOOKUP(A1833,DonHang!$A$2:$C$500,3,FALSE()),"mã đơn chưa có"))</f>
        <v/>
      </c>
      <c r="C1833" s="8"/>
      <c r="D1833" s="8"/>
      <c r="E1833" s="8"/>
      <c r="F1833" s="13"/>
      <c r="G1833" s="14"/>
      <c r="H1833" s="8"/>
      <c r="I1833" s="11" t="str">
        <f aca="false">IF(OR(F1833="",G1833=""),"",ROUND(F1833*G1833,0))</f>
        <v/>
      </c>
    </row>
    <row r="1834" customFormat="false" ht="15" hidden="false" customHeight="false" outlineLevel="0" collapsed="false">
      <c r="A1834" s="8"/>
      <c r="B1834" s="10" t="str">
        <f aca="false">IF(A1834="","",IFERROR(VLOOKUP(A1834,DonHang!$A$2:$C$500,3,FALSE()),"mã đơn chưa có"))</f>
        <v/>
      </c>
      <c r="C1834" s="8"/>
      <c r="D1834" s="8"/>
      <c r="E1834" s="8"/>
      <c r="F1834" s="13"/>
      <c r="G1834" s="14"/>
      <c r="H1834" s="8"/>
      <c r="I1834" s="11" t="str">
        <f aca="false">IF(OR(F1834="",G1834=""),"",ROUND(F1834*G1834,0))</f>
        <v/>
      </c>
    </row>
    <row r="1835" customFormat="false" ht="15" hidden="false" customHeight="false" outlineLevel="0" collapsed="false">
      <c r="A1835" s="8"/>
      <c r="B1835" s="10" t="str">
        <f aca="false">IF(A1835="","",IFERROR(VLOOKUP(A1835,DonHang!$A$2:$C$500,3,FALSE()),"mã đơn chưa có"))</f>
        <v/>
      </c>
      <c r="C1835" s="8"/>
      <c r="D1835" s="8"/>
      <c r="E1835" s="8"/>
      <c r="F1835" s="13"/>
      <c r="G1835" s="14"/>
      <c r="H1835" s="8"/>
      <c r="I1835" s="11" t="str">
        <f aca="false">IF(OR(F1835="",G1835=""),"",ROUND(F1835*G1835,0))</f>
        <v/>
      </c>
    </row>
    <row r="1836" customFormat="false" ht="15" hidden="false" customHeight="false" outlineLevel="0" collapsed="false">
      <c r="A1836" s="8"/>
      <c r="B1836" s="10" t="str">
        <f aca="false">IF(A1836="","",IFERROR(VLOOKUP(A1836,DonHang!$A$2:$C$500,3,FALSE()),"mã đơn chưa có"))</f>
        <v/>
      </c>
      <c r="C1836" s="8"/>
      <c r="D1836" s="8"/>
      <c r="E1836" s="8"/>
      <c r="F1836" s="13"/>
      <c r="G1836" s="14"/>
      <c r="H1836" s="8"/>
      <c r="I1836" s="11" t="str">
        <f aca="false">IF(OR(F1836="",G1836=""),"",ROUND(F1836*G1836,0))</f>
        <v/>
      </c>
    </row>
    <row r="1837" customFormat="false" ht="15" hidden="false" customHeight="false" outlineLevel="0" collapsed="false">
      <c r="A1837" s="8"/>
      <c r="B1837" s="10" t="str">
        <f aca="false">IF(A1837="","",IFERROR(VLOOKUP(A1837,DonHang!$A$2:$C$500,3,FALSE()),"mã đơn chưa có"))</f>
        <v/>
      </c>
      <c r="C1837" s="8"/>
      <c r="D1837" s="8"/>
      <c r="E1837" s="8"/>
      <c r="F1837" s="13"/>
      <c r="G1837" s="14"/>
      <c r="H1837" s="8"/>
      <c r="I1837" s="11" t="str">
        <f aca="false">IF(OR(F1837="",G1837=""),"",ROUND(F1837*G1837,0))</f>
        <v/>
      </c>
    </row>
    <row r="1838" customFormat="false" ht="15" hidden="false" customHeight="false" outlineLevel="0" collapsed="false">
      <c r="A1838" s="8"/>
      <c r="B1838" s="10" t="str">
        <f aca="false">IF(A1838="","",IFERROR(VLOOKUP(A1838,DonHang!$A$2:$C$500,3,FALSE()),"mã đơn chưa có"))</f>
        <v/>
      </c>
      <c r="C1838" s="8"/>
      <c r="D1838" s="8"/>
      <c r="E1838" s="8"/>
      <c r="F1838" s="13"/>
      <c r="G1838" s="14"/>
      <c r="H1838" s="8"/>
      <c r="I1838" s="11" t="str">
        <f aca="false">IF(OR(F1838="",G1838=""),"",ROUND(F1838*G1838,0))</f>
        <v/>
      </c>
    </row>
    <row r="1839" customFormat="false" ht="15" hidden="false" customHeight="false" outlineLevel="0" collapsed="false">
      <c r="A1839" s="8"/>
      <c r="B1839" s="10" t="str">
        <f aca="false">IF(A1839="","",IFERROR(VLOOKUP(A1839,DonHang!$A$2:$C$500,3,FALSE()),"mã đơn chưa có"))</f>
        <v/>
      </c>
      <c r="C1839" s="8"/>
      <c r="D1839" s="8"/>
      <c r="E1839" s="8"/>
      <c r="F1839" s="13"/>
      <c r="G1839" s="14"/>
      <c r="H1839" s="8"/>
      <c r="I1839" s="11" t="str">
        <f aca="false">IF(OR(F1839="",G1839=""),"",ROUND(F1839*G1839,0))</f>
        <v/>
      </c>
    </row>
    <row r="1840" customFormat="false" ht="15" hidden="false" customHeight="false" outlineLevel="0" collapsed="false">
      <c r="A1840" s="8"/>
      <c r="B1840" s="10" t="str">
        <f aca="false">IF(A1840="","",IFERROR(VLOOKUP(A1840,DonHang!$A$2:$C$500,3,FALSE()),"mã đơn chưa có"))</f>
        <v/>
      </c>
      <c r="C1840" s="8"/>
      <c r="D1840" s="8"/>
      <c r="E1840" s="8"/>
      <c r="F1840" s="13"/>
      <c r="G1840" s="14"/>
      <c r="H1840" s="8"/>
      <c r="I1840" s="11" t="str">
        <f aca="false">IF(OR(F1840="",G1840=""),"",ROUND(F1840*G1840,0))</f>
        <v/>
      </c>
    </row>
    <row r="1841" customFormat="false" ht="15" hidden="false" customHeight="false" outlineLevel="0" collapsed="false">
      <c r="A1841" s="8"/>
      <c r="B1841" s="10" t="str">
        <f aca="false">IF(A1841="","",IFERROR(VLOOKUP(A1841,DonHang!$A$2:$C$500,3,FALSE()),"mã đơn chưa có"))</f>
        <v/>
      </c>
      <c r="C1841" s="8"/>
      <c r="D1841" s="8"/>
      <c r="E1841" s="8"/>
      <c r="F1841" s="13"/>
      <c r="G1841" s="14"/>
      <c r="H1841" s="8"/>
      <c r="I1841" s="11" t="str">
        <f aca="false">IF(OR(F1841="",G1841=""),"",ROUND(F1841*G1841,0))</f>
        <v/>
      </c>
    </row>
    <row r="1842" customFormat="false" ht="15" hidden="false" customHeight="false" outlineLevel="0" collapsed="false">
      <c r="A1842" s="8"/>
      <c r="B1842" s="10" t="str">
        <f aca="false">IF(A1842="","",IFERROR(VLOOKUP(A1842,DonHang!$A$2:$C$500,3,FALSE()),"mã đơn chưa có"))</f>
        <v/>
      </c>
      <c r="C1842" s="8"/>
      <c r="D1842" s="8"/>
      <c r="E1842" s="8"/>
      <c r="F1842" s="13"/>
      <c r="G1842" s="14"/>
      <c r="H1842" s="8"/>
      <c r="I1842" s="11" t="str">
        <f aca="false">IF(OR(F1842="",G1842=""),"",ROUND(F1842*G1842,0))</f>
        <v/>
      </c>
    </row>
    <row r="1843" customFormat="false" ht="15" hidden="false" customHeight="false" outlineLevel="0" collapsed="false">
      <c r="A1843" s="8"/>
      <c r="B1843" s="10" t="str">
        <f aca="false">IF(A1843="","",IFERROR(VLOOKUP(A1843,DonHang!$A$2:$C$500,3,FALSE()),"mã đơn chưa có"))</f>
        <v/>
      </c>
      <c r="C1843" s="8"/>
      <c r="D1843" s="8"/>
      <c r="E1843" s="8"/>
      <c r="F1843" s="13"/>
      <c r="G1843" s="14"/>
      <c r="H1843" s="8"/>
      <c r="I1843" s="11" t="str">
        <f aca="false">IF(OR(F1843="",G1843=""),"",ROUND(F1843*G1843,0))</f>
        <v/>
      </c>
    </row>
    <row r="1844" customFormat="false" ht="15" hidden="false" customHeight="false" outlineLevel="0" collapsed="false">
      <c r="A1844" s="8"/>
      <c r="B1844" s="10" t="str">
        <f aca="false">IF(A1844="","",IFERROR(VLOOKUP(A1844,DonHang!$A$2:$C$500,3,FALSE()),"mã đơn chưa có"))</f>
        <v/>
      </c>
      <c r="C1844" s="8"/>
      <c r="D1844" s="8"/>
      <c r="E1844" s="8"/>
      <c r="F1844" s="13"/>
      <c r="G1844" s="14"/>
      <c r="H1844" s="8"/>
      <c r="I1844" s="11" t="str">
        <f aca="false">IF(OR(F1844="",G1844=""),"",ROUND(F1844*G1844,0))</f>
        <v/>
      </c>
    </row>
    <row r="1845" customFormat="false" ht="15" hidden="false" customHeight="false" outlineLevel="0" collapsed="false">
      <c r="A1845" s="8"/>
      <c r="B1845" s="10" t="str">
        <f aca="false">IF(A1845="","",IFERROR(VLOOKUP(A1845,DonHang!$A$2:$C$500,3,FALSE()),"mã đơn chưa có"))</f>
        <v/>
      </c>
      <c r="C1845" s="8"/>
      <c r="D1845" s="8"/>
      <c r="E1845" s="8"/>
      <c r="F1845" s="13"/>
      <c r="G1845" s="14"/>
      <c r="H1845" s="8"/>
      <c r="I1845" s="11" t="str">
        <f aca="false">IF(OR(F1845="",G1845=""),"",ROUND(F1845*G1845,0))</f>
        <v/>
      </c>
    </row>
    <row r="1846" customFormat="false" ht="15" hidden="false" customHeight="false" outlineLevel="0" collapsed="false">
      <c r="A1846" s="8"/>
      <c r="B1846" s="10" t="str">
        <f aca="false">IF(A1846="","",IFERROR(VLOOKUP(A1846,DonHang!$A$2:$C$500,3,FALSE()),"mã đơn chưa có"))</f>
        <v/>
      </c>
      <c r="C1846" s="8"/>
      <c r="D1846" s="8"/>
      <c r="E1846" s="8"/>
      <c r="F1846" s="13"/>
      <c r="G1846" s="14"/>
      <c r="H1846" s="8"/>
      <c r="I1846" s="11" t="str">
        <f aca="false">IF(OR(F1846="",G1846=""),"",ROUND(F1846*G1846,0))</f>
        <v/>
      </c>
    </row>
    <row r="1847" customFormat="false" ht="15" hidden="false" customHeight="false" outlineLevel="0" collapsed="false">
      <c r="A1847" s="8"/>
      <c r="B1847" s="10" t="str">
        <f aca="false">IF(A1847="","",IFERROR(VLOOKUP(A1847,DonHang!$A$2:$C$500,3,FALSE()),"mã đơn chưa có"))</f>
        <v/>
      </c>
      <c r="C1847" s="8"/>
      <c r="D1847" s="8"/>
      <c r="E1847" s="8"/>
      <c r="F1847" s="13"/>
      <c r="G1847" s="14"/>
      <c r="H1847" s="8"/>
      <c r="I1847" s="11" t="str">
        <f aca="false">IF(OR(F1847="",G1847=""),"",ROUND(F1847*G1847,0))</f>
        <v/>
      </c>
    </row>
    <row r="1848" customFormat="false" ht="15" hidden="false" customHeight="false" outlineLevel="0" collapsed="false">
      <c r="A1848" s="8"/>
      <c r="B1848" s="10" t="str">
        <f aca="false">IF(A1848="","",IFERROR(VLOOKUP(A1848,DonHang!$A$2:$C$500,3,FALSE()),"mã đơn chưa có"))</f>
        <v/>
      </c>
      <c r="C1848" s="8"/>
      <c r="D1848" s="8"/>
      <c r="E1848" s="8"/>
      <c r="F1848" s="13"/>
      <c r="G1848" s="14"/>
      <c r="H1848" s="8"/>
      <c r="I1848" s="11" t="str">
        <f aca="false">IF(OR(F1848="",G1848=""),"",ROUND(F1848*G1848,0))</f>
        <v/>
      </c>
    </row>
    <row r="1849" customFormat="false" ht="15" hidden="false" customHeight="false" outlineLevel="0" collapsed="false">
      <c r="A1849" s="8"/>
      <c r="B1849" s="10" t="str">
        <f aca="false">IF(A1849="","",IFERROR(VLOOKUP(A1849,DonHang!$A$2:$C$500,3,FALSE()),"mã đơn chưa có"))</f>
        <v/>
      </c>
      <c r="C1849" s="8"/>
      <c r="D1849" s="8"/>
      <c r="E1849" s="8"/>
      <c r="F1849" s="13"/>
      <c r="G1849" s="14"/>
      <c r="H1849" s="8"/>
      <c r="I1849" s="11" t="str">
        <f aca="false">IF(OR(F1849="",G1849=""),"",ROUND(F1849*G1849,0))</f>
        <v/>
      </c>
    </row>
    <row r="1850" customFormat="false" ht="15" hidden="false" customHeight="false" outlineLevel="0" collapsed="false">
      <c r="A1850" s="8"/>
      <c r="B1850" s="10" t="str">
        <f aca="false">IF(A1850="","",IFERROR(VLOOKUP(A1850,DonHang!$A$2:$C$500,3,FALSE()),"mã đơn chưa có"))</f>
        <v/>
      </c>
      <c r="C1850" s="8"/>
      <c r="D1850" s="8"/>
      <c r="E1850" s="8"/>
      <c r="F1850" s="13"/>
      <c r="G1850" s="14"/>
      <c r="H1850" s="8"/>
      <c r="I1850" s="11" t="str">
        <f aca="false">IF(OR(F1850="",G1850=""),"",ROUND(F1850*G1850,0))</f>
        <v/>
      </c>
    </row>
    <row r="1851" customFormat="false" ht="15" hidden="false" customHeight="false" outlineLevel="0" collapsed="false">
      <c r="A1851" s="8"/>
      <c r="B1851" s="10" t="str">
        <f aca="false">IF(A1851="","",IFERROR(VLOOKUP(A1851,DonHang!$A$2:$C$500,3,FALSE()),"mã đơn chưa có"))</f>
        <v/>
      </c>
      <c r="C1851" s="8"/>
      <c r="D1851" s="8"/>
      <c r="E1851" s="8"/>
      <c r="F1851" s="13"/>
      <c r="G1851" s="14"/>
      <c r="H1851" s="8"/>
      <c r="I1851" s="11" t="str">
        <f aca="false">IF(OR(F1851="",G1851=""),"",ROUND(F1851*G1851,0))</f>
        <v/>
      </c>
    </row>
    <row r="1852" customFormat="false" ht="15" hidden="false" customHeight="false" outlineLevel="0" collapsed="false">
      <c r="A1852" s="8"/>
      <c r="B1852" s="10" t="str">
        <f aca="false">IF(A1852="","",IFERROR(VLOOKUP(A1852,DonHang!$A$2:$C$500,3,FALSE()),"mã đơn chưa có"))</f>
        <v/>
      </c>
      <c r="C1852" s="8"/>
      <c r="D1852" s="8"/>
      <c r="E1852" s="8"/>
      <c r="F1852" s="13"/>
      <c r="G1852" s="14"/>
      <c r="H1852" s="8"/>
      <c r="I1852" s="11" t="str">
        <f aca="false">IF(OR(F1852="",G1852=""),"",ROUND(F1852*G1852,0))</f>
        <v/>
      </c>
    </row>
    <row r="1853" customFormat="false" ht="15" hidden="false" customHeight="false" outlineLevel="0" collapsed="false">
      <c r="A1853" s="8"/>
      <c r="B1853" s="10" t="str">
        <f aca="false">IF(A1853="","",IFERROR(VLOOKUP(A1853,DonHang!$A$2:$C$500,3,FALSE()),"mã đơn chưa có"))</f>
        <v/>
      </c>
      <c r="C1853" s="8"/>
      <c r="D1853" s="8"/>
      <c r="E1853" s="8"/>
      <c r="F1853" s="13"/>
      <c r="G1853" s="14"/>
      <c r="H1853" s="8"/>
      <c r="I1853" s="11" t="str">
        <f aca="false">IF(OR(F1853="",G1853=""),"",ROUND(F1853*G1853,0))</f>
        <v/>
      </c>
    </row>
    <row r="1854" customFormat="false" ht="15" hidden="false" customHeight="false" outlineLevel="0" collapsed="false">
      <c r="A1854" s="8"/>
      <c r="B1854" s="10" t="str">
        <f aca="false">IF(A1854="","",IFERROR(VLOOKUP(A1854,DonHang!$A$2:$C$500,3,FALSE()),"mã đơn chưa có"))</f>
        <v/>
      </c>
      <c r="C1854" s="8"/>
      <c r="D1854" s="8"/>
      <c r="E1854" s="8"/>
      <c r="F1854" s="13"/>
      <c r="G1854" s="14"/>
      <c r="H1854" s="8"/>
      <c r="I1854" s="11" t="str">
        <f aca="false">IF(OR(F1854="",G1854=""),"",ROUND(F1854*G1854,0))</f>
        <v/>
      </c>
    </row>
    <row r="1855" customFormat="false" ht="15" hidden="false" customHeight="false" outlineLevel="0" collapsed="false">
      <c r="A1855" s="8"/>
      <c r="B1855" s="10" t="str">
        <f aca="false">IF(A1855="","",IFERROR(VLOOKUP(A1855,DonHang!$A$2:$C$500,3,FALSE()),"mã đơn chưa có"))</f>
        <v/>
      </c>
      <c r="C1855" s="8"/>
      <c r="D1855" s="8"/>
      <c r="E1855" s="8"/>
      <c r="F1855" s="13"/>
      <c r="G1855" s="14"/>
      <c r="H1855" s="8"/>
      <c r="I1855" s="11" t="str">
        <f aca="false">IF(OR(F1855="",G1855=""),"",ROUND(F1855*G1855,0))</f>
        <v/>
      </c>
    </row>
    <row r="1856" customFormat="false" ht="15" hidden="false" customHeight="false" outlineLevel="0" collapsed="false">
      <c r="A1856" s="8"/>
      <c r="B1856" s="10" t="str">
        <f aca="false">IF(A1856="","",IFERROR(VLOOKUP(A1856,DonHang!$A$2:$C$500,3,FALSE()),"mã đơn chưa có"))</f>
        <v/>
      </c>
      <c r="C1856" s="8"/>
      <c r="D1856" s="8"/>
      <c r="E1856" s="8"/>
      <c r="F1856" s="13"/>
      <c r="G1856" s="14"/>
      <c r="H1856" s="8"/>
      <c r="I1856" s="11" t="str">
        <f aca="false">IF(OR(F1856="",G1856=""),"",ROUND(F1856*G1856,0))</f>
        <v/>
      </c>
    </row>
    <row r="1857" customFormat="false" ht="15" hidden="false" customHeight="false" outlineLevel="0" collapsed="false">
      <c r="A1857" s="8"/>
      <c r="B1857" s="10" t="str">
        <f aca="false">IF(A1857="","",IFERROR(VLOOKUP(A1857,DonHang!$A$2:$C$500,3,FALSE()),"mã đơn chưa có"))</f>
        <v/>
      </c>
      <c r="C1857" s="8"/>
      <c r="D1857" s="8"/>
      <c r="E1857" s="8"/>
      <c r="F1857" s="13"/>
      <c r="G1857" s="14"/>
      <c r="H1857" s="8"/>
      <c r="I1857" s="11" t="str">
        <f aca="false">IF(OR(F1857="",G1857=""),"",ROUND(F1857*G1857,0))</f>
        <v/>
      </c>
    </row>
    <row r="1858" customFormat="false" ht="15" hidden="false" customHeight="false" outlineLevel="0" collapsed="false">
      <c r="A1858" s="8"/>
      <c r="B1858" s="10" t="str">
        <f aca="false">IF(A1858="","",IFERROR(VLOOKUP(A1858,DonHang!$A$2:$C$500,3,FALSE()),"mã đơn chưa có"))</f>
        <v/>
      </c>
      <c r="C1858" s="8"/>
      <c r="D1858" s="8"/>
      <c r="E1858" s="8"/>
      <c r="F1858" s="13"/>
      <c r="G1858" s="14"/>
      <c r="H1858" s="8"/>
      <c r="I1858" s="11" t="str">
        <f aca="false">IF(OR(F1858="",G1858=""),"",ROUND(F1858*G1858,0))</f>
        <v/>
      </c>
    </row>
    <row r="1859" customFormat="false" ht="15" hidden="false" customHeight="false" outlineLevel="0" collapsed="false">
      <c r="A1859" s="8"/>
      <c r="B1859" s="10" t="str">
        <f aca="false">IF(A1859="","",IFERROR(VLOOKUP(A1859,DonHang!$A$2:$C$500,3,FALSE()),"mã đơn chưa có"))</f>
        <v/>
      </c>
      <c r="C1859" s="8"/>
      <c r="D1859" s="8"/>
      <c r="E1859" s="8"/>
      <c r="F1859" s="13"/>
      <c r="G1859" s="14"/>
      <c r="H1859" s="8"/>
      <c r="I1859" s="11" t="str">
        <f aca="false">IF(OR(F1859="",G1859=""),"",ROUND(F1859*G1859,0))</f>
        <v/>
      </c>
    </row>
    <row r="1860" customFormat="false" ht="15" hidden="false" customHeight="false" outlineLevel="0" collapsed="false">
      <c r="A1860" s="8"/>
      <c r="B1860" s="10" t="str">
        <f aca="false">IF(A1860="","",IFERROR(VLOOKUP(A1860,DonHang!$A$2:$C$500,3,FALSE()),"mã đơn chưa có"))</f>
        <v/>
      </c>
      <c r="C1860" s="8"/>
      <c r="D1860" s="8"/>
      <c r="E1860" s="8"/>
      <c r="F1860" s="13"/>
      <c r="G1860" s="14"/>
      <c r="H1860" s="8"/>
      <c r="I1860" s="11" t="str">
        <f aca="false">IF(OR(F1860="",G1860=""),"",ROUND(F1860*G1860,0))</f>
        <v/>
      </c>
    </row>
    <row r="1861" customFormat="false" ht="15" hidden="false" customHeight="false" outlineLevel="0" collapsed="false">
      <c r="A1861" s="8"/>
      <c r="B1861" s="10" t="str">
        <f aca="false">IF(A1861="","",IFERROR(VLOOKUP(A1861,DonHang!$A$2:$C$500,3,FALSE()),"mã đơn chưa có"))</f>
        <v/>
      </c>
      <c r="C1861" s="8"/>
      <c r="D1861" s="8"/>
      <c r="E1861" s="8"/>
      <c r="F1861" s="13"/>
      <c r="G1861" s="14"/>
      <c r="H1861" s="8"/>
      <c r="I1861" s="11" t="str">
        <f aca="false">IF(OR(F1861="",G1861=""),"",ROUND(F1861*G1861,0))</f>
        <v/>
      </c>
    </row>
    <row r="1862" customFormat="false" ht="15" hidden="false" customHeight="false" outlineLevel="0" collapsed="false">
      <c r="A1862" s="8"/>
      <c r="B1862" s="10" t="str">
        <f aca="false">IF(A1862="","",IFERROR(VLOOKUP(A1862,DonHang!$A$2:$C$500,3,FALSE()),"mã đơn chưa có"))</f>
        <v/>
      </c>
      <c r="C1862" s="8"/>
      <c r="D1862" s="8"/>
      <c r="E1862" s="8"/>
      <c r="F1862" s="13"/>
      <c r="G1862" s="14"/>
      <c r="H1862" s="8"/>
      <c r="I1862" s="11" t="str">
        <f aca="false">IF(OR(F1862="",G1862=""),"",ROUND(F1862*G1862,0))</f>
        <v/>
      </c>
    </row>
    <row r="1863" customFormat="false" ht="15" hidden="false" customHeight="false" outlineLevel="0" collapsed="false">
      <c r="A1863" s="8"/>
      <c r="B1863" s="10" t="str">
        <f aca="false">IF(A1863="","",IFERROR(VLOOKUP(A1863,DonHang!$A$2:$C$500,3,FALSE()),"mã đơn chưa có"))</f>
        <v/>
      </c>
      <c r="C1863" s="8"/>
      <c r="D1863" s="8"/>
      <c r="E1863" s="8"/>
      <c r="F1863" s="13"/>
      <c r="G1863" s="14"/>
      <c r="H1863" s="8"/>
      <c r="I1863" s="11" t="str">
        <f aca="false">IF(OR(F1863="",G1863=""),"",ROUND(F1863*G1863,0))</f>
        <v/>
      </c>
    </row>
    <row r="1864" customFormat="false" ht="15" hidden="false" customHeight="false" outlineLevel="0" collapsed="false">
      <c r="A1864" s="8"/>
      <c r="B1864" s="10" t="str">
        <f aca="false">IF(A1864="","",IFERROR(VLOOKUP(A1864,DonHang!$A$2:$C$500,3,FALSE()),"mã đơn chưa có"))</f>
        <v/>
      </c>
      <c r="C1864" s="8"/>
      <c r="D1864" s="8"/>
      <c r="E1864" s="8"/>
      <c r="F1864" s="13"/>
      <c r="G1864" s="14"/>
      <c r="H1864" s="8"/>
      <c r="I1864" s="11" t="str">
        <f aca="false">IF(OR(F1864="",G1864=""),"",ROUND(F1864*G1864,0))</f>
        <v/>
      </c>
    </row>
    <row r="1865" customFormat="false" ht="15" hidden="false" customHeight="false" outlineLevel="0" collapsed="false">
      <c r="A1865" s="8"/>
      <c r="B1865" s="10" t="str">
        <f aca="false">IF(A1865="","",IFERROR(VLOOKUP(A1865,DonHang!$A$2:$C$500,3,FALSE()),"mã đơn chưa có"))</f>
        <v/>
      </c>
      <c r="C1865" s="8"/>
      <c r="D1865" s="8"/>
      <c r="E1865" s="8"/>
      <c r="F1865" s="13"/>
      <c r="G1865" s="14"/>
      <c r="H1865" s="8"/>
      <c r="I1865" s="11" t="str">
        <f aca="false">IF(OR(F1865="",G1865=""),"",ROUND(F1865*G1865,0))</f>
        <v/>
      </c>
    </row>
    <row r="1866" customFormat="false" ht="15" hidden="false" customHeight="false" outlineLevel="0" collapsed="false">
      <c r="A1866" s="8"/>
      <c r="B1866" s="10" t="str">
        <f aca="false">IF(A1866="","",IFERROR(VLOOKUP(A1866,DonHang!$A$2:$C$500,3,FALSE()),"mã đơn chưa có"))</f>
        <v/>
      </c>
      <c r="C1866" s="8"/>
      <c r="D1866" s="8"/>
      <c r="E1866" s="8"/>
      <c r="F1866" s="13"/>
      <c r="G1866" s="14"/>
      <c r="H1866" s="8"/>
      <c r="I1866" s="11" t="str">
        <f aca="false">IF(OR(F1866="",G1866=""),"",ROUND(F1866*G1866,0))</f>
        <v/>
      </c>
    </row>
    <row r="1867" customFormat="false" ht="15" hidden="false" customHeight="false" outlineLevel="0" collapsed="false">
      <c r="A1867" s="8"/>
      <c r="B1867" s="10" t="str">
        <f aca="false">IF(A1867="","",IFERROR(VLOOKUP(A1867,DonHang!$A$2:$C$500,3,FALSE()),"mã đơn chưa có"))</f>
        <v/>
      </c>
      <c r="C1867" s="8"/>
      <c r="D1867" s="8"/>
      <c r="E1867" s="8"/>
      <c r="F1867" s="13"/>
      <c r="G1867" s="14"/>
      <c r="H1867" s="8"/>
      <c r="I1867" s="11" t="str">
        <f aca="false">IF(OR(F1867="",G1867=""),"",ROUND(F1867*G1867,0))</f>
        <v/>
      </c>
    </row>
    <row r="1868" customFormat="false" ht="15" hidden="false" customHeight="false" outlineLevel="0" collapsed="false">
      <c r="A1868" s="8"/>
      <c r="B1868" s="10" t="str">
        <f aca="false">IF(A1868="","",IFERROR(VLOOKUP(A1868,DonHang!$A$2:$C$500,3,FALSE()),"mã đơn chưa có"))</f>
        <v/>
      </c>
      <c r="C1868" s="8"/>
      <c r="D1868" s="8"/>
      <c r="E1868" s="8"/>
      <c r="F1868" s="13"/>
      <c r="G1868" s="14"/>
      <c r="H1868" s="8"/>
      <c r="I1868" s="11" t="str">
        <f aca="false">IF(OR(F1868="",G1868=""),"",ROUND(F1868*G1868,0))</f>
        <v/>
      </c>
    </row>
    <row r="1869" customFormat="false" ht="15" hidden="false" customHeight="false" outlineLevel="0" collapsed="false">
      <c r="A1869" s="8"/>
      <c r="B1869" s="10" t="str">
        <f aca="false">IF(A1869="","",IFERROR(VLOOKUP(A1869,DonHang!$A$2:$C$500,3,FALSE()),"mã đơn chưa có"))</f>
        <v/>
      </c>
      <c r="C1869" s="8"/>
      <c r="D1869" s="8"/>
      <c r="E1869" s="8"/>
      <c r="F1869" s="13"/>
      <c r="G1869" s="14"/>
      <c r="H1869" s="8"/>
      <c r="I1869" s="11" t="str">
        <f aca="false">IF(OR(F1869="",G1869=""),"",ROUND(F1869*G1869,0))</f>
        <v/>
      </c>
    </row>
    <row r="1870" customFormat="false" ht="15" hidden="false" customHeight="false" outlineLevel="0" collapsed="false">
      <c r="A1870" s="8"/>
      <c r="B1870" s="10" t="str">
        <f aca="false">IF(A1870="","",IFERROR(VLOOKUP(A1870,DonHang!$A$2:$C$500,3,FALSE()),"mã đơn chưa có"))</f>
        <v/>
      </c>
      <c r="C1870" s="8"/>
      <c r="D1870" s="8"/>
      <c r="E1870" s="8"/>
      <c r="F1870" s="13"/>
      <c r="G1870" s="14"/>
      <c r="H1870" s="8"/>
      <c r="I1870" s="11" t="str">
        <f aca="false">IF(OR(F1870="",G1870=""),"",ROUND(F1870*G1870,0))</f>
        <v/>
      </c>
    </row>
    <row r="1871" customFormat="false" ht="15" hidden="false" customHeight="false" outlineLevel="0" collapsed="false">
      <c r="A1871" s="8"/>
      <c r="B1871" s="10" t="str">
        <f aca="false">IF(A1871="","",IFERROR(VLOOKUP(A1871,DonHang!$A$2:$C$500,3,FALSE()),"mã đơn chưa có"))</f>
        <v/>
      </c>
      <c r="C1871" s="8"/>
      <c r="D1871" s="8"/>
      <c r="E1871" s="8"/>
      <c r="F1871" s="13"/>
      <c r="G1871" s="14"/>
      <c r="H1871" s="8"/>
      <c r="I1871" s="11" t="str">
        <f aca="false">IF(OR(F1871="",G1871=""),"",ROUND(F1871*G1871,0))</f>
        <v/>
      </c>
    </row>
    <row r="1872" customFormat="false" ht="15" hidden="false" customHeight="false" outlineLevel="0" collapsed="false">
      <c r="A1872" s="8"/>
      <c r="B1872" s="10" t="str">
        <f aca="false">IF(A1872="","",IFERROR(VLOOKUP(A1872,DonHang!$A$2:$C$500,3,FALSE()),"mã đơn chưa có"))</f>
        <v/>
      </c>
      <c r="C1872" s="8"/>
      <c r="D1872" s="8"/>
      <c r="E1872" s="8"/>
      <c r="F1872" s="13"/>
      <c r="G1872" s="14"/>
      <c r="H1872" s="8"/>
      <c r="I1872" s="11" t="str">
        <f aca="false">IF(OR(F1872="",G1872=""),"",ROUND(F1872*G1872,0))</f>
        <v/>
      </c>
    </row>
    <row r="1873" customFormat="false" ht="15" hidden="false" customHeight="false" outlineLevel="0" collapsed="false">
      <c r="A1873" s="8"/>
      <c r="B1873" s="10" t="str">
        <f aca="false">IF(A1873="","",IFERROR(VLOOKUP(A1873,DonHang!$A$2:$C$500,3,FALSE()),"mã đơn chưa có"))</f>
        <v/>
      </c>
      <c r="C1873" s="8"/>
      <c r="D1873" s="8"/>
      <c r="E1873" s="8"/>
      <c r="F1873" s="13"/>
      <c r="G1873" s="14"/>
      <c r="H1873" s="8"/>
      <c r="I1873" s="11" t="str">
        <f aca="false">IF(OR(F1873="",G1873=""),"",ROUND(F1873*G1873,0))</f>
        <v/>
      </c>
    </row>
    <row r="1874" customFormat="false" ht="15" hidden="false" customHeight="false" outlineLevel="0" collapsed="false">
      <c r="A1874" s="8"/>
      <c r="B1874" s="10" t="str">
        <f aca="false">IF(A1874="","",IFERROR(VLOOKUP(A1874,DonHang!$A$2:$C$500,3,FALSE()),"mã đơn chưa có"))</f>
        <v/>
      </c>
      <c r="C1874" s="8"/>
      <c r="D1874" s="8"/>
      <c r="E1874" s="8"/>
      <c r="F1874" s="13"/>
      <c r="G1874" s="14"/>
      <c r="H1874" s="8"/>
      <c r="I1874" s="11" t="str">
        <f aca="false">IF(OR(F1874="",G1874=""),"",ROUND(F1874*G1874,0))</f>
        <v/>
      </c>
    </row>
    <row r="1875" customFormat="false" ht="15" hidden="false" customHeight="false" outlineLevel="0" collapsed="false">
      <c r="A1875" s="8"/>
      <c r="B1875" s="10" t="str">
        <f aca="false">IF(A1875="","",IFERROR(VLOOKUP(A1875,DonHang!$A$2:$C$500,3,FALSE()),"mã đơn chưa có"))</f>
        <v/>
      </c>
      <c r="C1875" s="8"/>
      <c r="D1875" s="8"/>
      <c r="E1875" s="8"/>
      <c r="F1875" s="13"/>
      <c r="G1875" s="14"/>
      <c r="H1875" s="8"/>
      <c r="I1875" s="11" t="str">
        <f aca="false">IF(OR(F1875="",G1875=""),"",ROUND(F1875*G1875,0))</f>
        <v/>
      </c>
    </row>
    <row r="1876" customFormat="false" ht="15" hidden="false" customHeight="false" outlineLevel="0" collapsed="false">
      <c r="A1876" s="8"/>
      <c r="B1876" s="10" t="str">
        <f aca="false">IF(A1876="","",IFERROR(VLOOKUP(A1876,DonHang!$A$2:$C$500,3,FALSE()),"mã đơn chưa có"))</f>
        <v/>
      </c>
      <c r="C1876" s="8"/>
      <c r="D1876" s="8"/>
      <c r="E1876" s="8"/>
      <c r="F1876" s="13"/>
      <c r="G1876" s="14"/>
      <c r="H1876" s="8"/>
      <c r="I1876" s="11" t="str">
        <f aca="false">IF(OR(F1876="",G1876=""),"",ROUND(F1876*G1876,0))</f>
        <v/>
      </c>
    </row>
    <row r="1877" customFormat="false" ht="15" hidden="false" customHeight="false" outlineLevel="0" collapsed="false">
      <c r="A1877" s="8"/>
      <c r="B1877" s="10" t="str">
        <f aca="false">IF(A1877="","",IFERROR(VLOOKUP(A1877,DonHang!$A$2:$C$500,3,FALSE()),"mã đơn chưa có"))</f>
        <v/>
      </c>
      <c r="C1877" s="8"/>
      <c r="D1877" s="8"/>
      <c r="E1877" s="8"/>
      <c r="F1877" s="13"/>
      <c r="G1877" s="14"/>
      <c r="H1877" s="8"/>
      <c r="I1877" s="11" t="str">
        <f aca="false">IF(OR(F1877="",G1877=""),"",ROUND(F1877*G1877,0))</f>
        <v/>
      </c>
    </row>
    <row r="1878" customFormat="false" ht="15" hidden="false" customHeight="false" outlineLevel="0" collapsed="false">
      <c r="A1878" s="8"/>
      <c r="B1878" s="10" t="str">
        <f aca="false">IF(A1878="","",IFERROR(VLOOKUP(A1878,DonHang!$A$2:$C$500,3,FALSE()),"mã đơn chưa có"))</f>
        <v/>
      </c>
      <c r="C1878" s="8"/>
      <c r="D1878" s="8"/>
      <c r="E1878" s="8"/>
      <c r="F1878" s="13"/>
      <c r="G1878" s="14"/>
      <c r="H1878" s="8"/>
      <c r="I1878" s="11" t="str">
        <f aca="false">IF(OR(F1878="",G1878=""),"",ROUND(F1878*G1878,0))</f>
        <v/>
      </c>
    </row>
    <row r="1879" customFormat="false" ht="15" hidden="false" customHeight="false" outlineLevel="0" collapsed="false">
      <c r="A1879" s="8"/>
      <c r="B1879" s="10" t="str">
        <f aca="false">IF(A1879="","",IFERROR(VLOOKUP(A1879,DonHang!$A$2:$C$500,3,FALSE()),"mã đơn chưa có"))</f>
        <v/>
      </c>
      <c r="C1879" s="8"/>
      <c r="D1879" s="8"/>
      <c r="E1879" s="8"/>
      <c r="F1879" s="13"/>
      <c r="G1879" s="14"/>
      <c r="H1879" s="8"/>
      <c r="I1879" s="11" t="str">
        <f aca="false">IF(OR(F1879="",G1879=""),"",ROUND(F1879*G1879,0))</f>
        <v/>
      </c>
    </row>
    <row r="1880" customFormat="false" ht="15" hidden="false" customHeight="false" outlineLevel="0" collapsed="false">
      <c r="A1880" s="8"/>
      <c r="B1880" s="10" t="str">
        <f aca="false">IF(A1880="","",IFERROR(VLOOKUP(A1880,DonHang!$A$2:$C$500,3,FALSE()),"mã đơn chưa có"))</f>
        <v/>
      </c>
      <c r="C1880" s="8"/>
      <c r="D1880" s="8"/>
      <c r="E1880" s="8"/>
      <c r="F1880" s="13"/>
      <c r="G1880" s="14"/>
      <c r="H1880" s="8"/>
      <c r="I1880" s="11" t="str">
        <f aca="false">IF(OR(F1880="",G1880=""),"",ROUND(F1880*G1880,0))</f>
        <v/>
      </c>
    </row>
    <row r="1881" customFormat="false" ht="15" hidden="false" customHeight="false" outlineLevel="0" collapsed="false">
      <c r="A1881" s="8"/>
      <c r="B1881" s="10" t="str">
        <f aca="false">IF(A1881="","",IFERROR(VLOOKUP(A1881,DonHang!$A$2:$C$500,3,FALSE()),"mã đơn chưa có"))</f>
        <v/>
      </c>
      <c r="C1881" s="8"/>
      <c r="D1881" s="8"/>
      <c r="E1881" s="8"/>
      <c r="F1881" s="13"/>
      <c r="G1881" s="14"/>
      <c r="H1881" s="8"/>
      <c r="I1881" s="11" t="str">
        <f aca="false">IF(OR(F1881="",G1881=""),"",ROUND(F1881*G1881,0))</f>
        <v/>
      </c>
    </row>
    <row r="1882" customFormat="false" ht="15" hidden="false" customHeight="false" outlineLevel="0" collapsed="false">
      <c r="A1882" s="8"/>
      <c r="B1882" s="10" t="str">
        <f aca="false">IF(A1882="","",IFERROR(VLOOKUP(A1882,DonHang!$A$2:$C$500,3,FALSE()),"mã đơn chưa có"))</f>
        <v/>
      </c>
      <c r="C1882" s="8"/>
      <c r="D1882" s="8"/>
      <c r="E1882" s="8"/>
      <c r="F1882" s="13"/>
      <c r="G1882" s="14"/>
      <c r="H1882" s="8"/>
      <c r="I1882" s="11" t="str">
        <f aca="false">IF(OR(F1882="",G1882=""),"",ROUND(F1882*G1882,0))</f>
        <v/>
      </c>
    </row>
    <row r="1883" customFormat="false" ht="15" hidden="false" customHeight="false" outlineLevel="0" collapsed="false">
      <c r="A1883" s="8"/>
      <c r="B1883" s="10" t="str">
        <f aca="false">IF(A1883="","",IFERROR(VLOOKUP(A1883,DonHang!$A$2:$C$500,3,FALSE()),"mã đơn chưa có"))</f>
        <v/>
      </c>
      <c r="C1883" s="8"/>
      <c r="D1883" s="8"/>
      <c r="E1883" s="8"/>
      <c r="F1883" s="13"/>
      <c r="G1883" s="14"/>
      <c r="H1883" s="8"/>
      <c r="I1883" s="11" t="str">
        <f aca="false">IF(OR(F1883="",G1883=""),"",ROUND(F1883*G1883,0))</f>
        <v/>
      </c>
    </row>
    <row r="1884" customFormat="false" ht="15" hidden="false" customHeight="false" outlineLevel="0" collapsed="false">
      <c r="A1884" s="8"/>
      <c r="B1884" s="10" t="str">
        <f aca="false">IF(A1884="","",IFERROR(VLOOKUP(A1884,DonHang!$A$2:$C$500,3,FALSE()),"mã đơn chưa có"))</f>
        <v/>
      </c>
      <c r="C1884" s="8"/>
      <c r="D1884" s="8"/>
      <c r="E1884" s="8"/>
      <c r="F1884" s="13"/>
      <c r="G1884" s="14"/>
      <c r="H1884" s="8"/>
      <c r="I1884" s="11" t="str">
        <f aca="false">IF(OR(F1884="",G1884=""),"",ROUND(F1884*G1884,0))</f>
        <v/>
      </c>
    </row>
    <row r="1885" customFormat="false" ht="15" hidden="false" customHeight="false" outlineLevel="0" collapsed="false">
      <c r="A1885" s="8"/>
      <c r="B1885" s="10" t="str">
        <f aca="false">IF(A1885="","",IFERROR(VLOOKUP(A1885,DonHang!$A$2:$C$500,3,FALSE()),"mã đơn chưa có"))</f>
        <v/>
      </c>
      <c r="C1885" s="8"/>
      <c r="D1885" s="8"/>
      <c r="E1885" s="8"/>
      <c r="F1885" s="13"/>
      <c r="G1885" s="14"/>
      <c r="H1885" s="8"/>
      <c r="I1885" s="11" t="str">
        <f aca="false">IF(OR(F1885="",G1885=""),"",ROUND(F1885*G1885,0))</f>
        <v/>
      </c>
    </row>
    <row r="1886" customFormat="false" ht="15" hidden="false" customHeight="false" outlineLevel="0" collapsed="false">
      <c r="A1886" s="8"/>
      <c r="B1886" s="10" t="str">
        <f aca="false">IF(A1886="","",IFERROR(VLOOKUP(A1886,DonHang!$A$2:$C$500,3,FALSE()),"mã đơn chưa có"))</f>
        <v/>
      </c>
      <c r="C1886" s="8"/>
      <c r="D1886" s="8"/>
      <c r="E1886" s="8"/>
      <c r="F1886" s="13"/>
      <c r="G1886" s="14"/>
      <c r="H1886" s="8"/>
      <c r="I1886" s="11" t="str">
        <f aca="false">IF(OR(F1886="",G1886=""),"",ROUND(F1886*G1886,0))</f>
        <v/>
      </c>
    </row>
    <row r="1887" customFormat="false" ht="15" hidden="false" customHeight="false" outlineLevel="0" collapsed="false">
      <c r="A1887" s="8"/>
      <c r="B1887" s="10" t="str">
        <f aca="false">IF(A1887="","",IFERROR(VLOOKUP(A1887,DonHang!$A$2:$C$500,3,FALSE()),"mã đơn chưa có"))</f>
        <v/>
      </c>
      <c r="C1887" s="8"/>
      <c r="D1887" s="8"/>
      <c r="E1887" s="8"/>
      <c r="F1887" s="13"/>
      <c r="G1887" s="14"/>
      <c r="H1887" s="8"/>
      <c r="I1887" s="11" t="str">
        <f aca="false">IF(OR(F1887="",G1887=""),"",ROUND(F1887*G1887,0))</f>
        <v/>
      </c>
    </row>
    <row r="1888" customFormat="false" ht="15" hidden="false" customHeight="false" outlineLevel="0" collapsed="false">
      <c r="A1888" s="8"/>
      <c r="B1888" s="10" t="str">
        <f aca="false">IF(A1888="","",IFERROR(VLOOKUP(A1888,DonHang!$A$2:$C$500,3,FALSE()),"mã đơn chưa có"))</f>
        <v/>
      </c>
      <c r="C1888" s="8"/>
      <c r="D1888" s="8"/>
      <c r="E1888" s="8"/>
      <c r="F1888" s="13"/>
      <c r="G1888" s="14"/>
      <c r="H1888" s="8"/>
      <c r="I1888" s="11" t="str">
        <f aca="false">IF(OR(F1888="",G1888=""),"",ROUND(F1888*G1888,0))</f>
        <v/>
      </c>
    </row>
    <row r="1889" customFormat="false" ht="15" hidden="false" customHeight="false" outlineLevel="0" collapsed="false">
      <c r="A1889" s="8"/>
      <c r="B1889" s="10" t="str">
        <f aca="false">IF(A1889="","",IFERROR(VLOOKUP(A1889,DonHang!$A$2:$C$500,3,FALSE()),"mã đơn chưa có"))</f>
        <v/>
      </c>
      <c r="C1889" s="8"/>
      <c r="D1889" s="8"/>
      <c r="E1889" s="8"/>
      <c r="F1889" s="13"/>
      <c r="G1889" s="14"/>
      <c r="H1889" s="8"/>
      <c r="I1889" s="11" t="str">
        <f aca="false">IF(OR(F1889="",G1889=""),"",ROUND(F1889*G1889,0))</f>
        <v/>
      </c>
    </row>
    <row r="1890" customFormat="false" ht="15" hidden="false" customHeight="false" outlineLevel="0" collapsed="false">
      <c r="A1890" s="8"/>
      <c r="B1890" s="10" t="str">
        <f aca="false">IF(A1890="","",IFERROR(VLOOKUP(A1890,DonHang!$A$2:$C$500,3,FALSE()),"mã đơn chưa có"))</f>
        <v/>
      </c>
      <c r="C1890" s="8"/>
      <c r="D1890" s="8"/>
      <c r="E1890" s="8"/>
      <c r="F1890" s="13"/>
      <c r="G1890" s="14"/>
      <c r="H1890" s="8"/>
      <c r="I1890" s="11" t="str">
        <f aca="false">IF(OR(F1890="",G1890=""),"",ROUND(F1890*G1890,0))</f>
        <v/>
      </c>
    </row>
    <row r="1891" customFormat="false" ht="15" hidden="false" customHeight="false" outlineLevel="0" collapsed="false">
      <c r="A1891" s="8"/>
      <c r="B1891" s="10" t="str">
        <f aca="false">IF(A1891="","",IFERROR(VLOOKUP(A1891,DonHang!$A$2:$C$500,3,FALSE()),"mã đơn chưa có"))</f>
        <v/>
      </c>
      <c r="C1891" s="8"/>
      <c r="D1891" s="8"/>
      <c r="E1891" s="8"/>
      <c r="F1891" s="13"/>
      <c r="G1891" s="14"/>
      <c r="H1891" s="8"/>
      <c r="I1891" s="11" t="str">
        <f aca="false">IF(OR(F1891="",G1891=""),"",ROUND(F1891*G1891,0))</f>
        <v/>
      </c>
    </row>
    <row r="1892" customFormat="false" ht="15" hidden="false" customHeight="false" outlineLevel="0" collapsed="false">
      <c r="A1892" s="8"/>
      <c r="B1892" s="10" t="str">
        <f aca="false">IF(A1892="","",IFERROR(VLOOKUP(A1892,DonHang!$A$2:$C$500,3,FALSE()),"mã đơn chưa có"))</f>
        <v/>
      </c>
      <c r="C1892" s="8"/>
      <c r="D1892" s="8"/>
      <c r="E1892" s="8"/>
      <c r="F1892" s="13"/>
      <c r="G1892" s="14"/>
      <c r="H1892" s="8"/>
      <c r="I1892" s="11" t="str">
        <f aca="false">IF(OR(F1892="",G1892=""),"",ROUND(F1892*G1892,0))</f>
        <v/>
      </c>
    </row>
    <row r="1893" customFormat="false" ht="15" hidden="false" customHeight="false" outlineLevel="0" collapsed="false">
      <c r="A1893" s="8"/>
      <c r="B1893" s="10" t="str">
        <f aca="false">IF(A1893="","",IFERROR(VLOOKUP(A1893,DonHang!$A$2:$C$500,3,FALSE()),"mã đơn chưa có"))</f>
        <v/>
      </c>
      <c r="C1893" s="8"/>
      <c r="D1893" s="8"/>
      <c r="E1893" s="8"/>
      <c r="F1893" s="13"/>
      <c r="G1893" s="14"/>
      <c r="H1893" s="8"/>
      <c r="I1893" s="11" t="str">
        <f aca="false">IF(OR(F1893="",G1893=""),"",ROUND(F1893*G1893,0))</f>
        <v/>
      </c>
    </row>
    <row r="1894" customFormat="false" ht="15" hidden="false" customHeight="false" outlineLevel="0" collapsed="false">
      <c r="A1894" s="8"/>
      <c r="B1894" s="10" t="str">
        <f aca="false">IF(A1894="","",IFERROR(VLOOKUP(A1894,DonHang!$A$2:$C$500,3,FALSE()),"mã đơn chưa có"))</f>
        <v/>
      </c>
      <c r="C1894" s="8"/>
      <c r="D1894" s="8"/>
      <c r="E1894" s="8"/>
      <c r="F1894" s="13"/>
      <c r="G1894" s="14"/>
      <c r="H1894" s="8"/>
      <c r="I1894" s="11" t="str">
        <f aca="false">IF(OR(F1894="",G1894=""),"",ROUND(F1894*G1894,0))</f>
        <v/>
      </c>
    </row>
    <row r="1895" customFormat="false" ht="15" hidden="false" customHeight="false" outlineLevel="0" collapsed="false">
      <c r="A1895" s="8"/>
      <c r="B1895" s="10" t="str">
        <f aca="false">IF(A1895="","",IFERROR(VLOOKUP(A1895,DonHang!$A$2:$C$500,3,FALSE()),"mã đơn chưa có"))</f>
        <v/>
      </c>
      <c r="C1895" s="8"/>
      <c r="D1895" s="8"/>
      <c r="E1895" s="8"/>
      <c r="F1895" s="13"/>
      <c r="G1895" s="14"/>
      <c r="H1895" s="8"/>
      <c r="I1895" s="11" t="str">
        <f aca="false">IF(OR(F1895="",G1895=""),"",ROUND(F1895*G1895,0))</f>
        <v/>
      </c>
    </row>
    <row r="1896" customFormat="false" ht="15" hidden="false" customHeight="false" outlineLevel="0" collapsed="false">
      <c r="A1896" s="8"/>
      <c r="B1896" s="10" t="str">
        <f aca="false">IF(A1896="","",IFERROR(VLOOKUP(A1896,DonHang!$A$2:$C$500,3,FALSE()),"mã đơn chưa có"))</f>
        <v/>
      </c>
      <c r="C1896" s="8"/>
      <c r="D1896" s="8"/>
      <c r="E1896" s="8"/>
      <c r="F1896" s="13"/>
      <c r="G1896" s="14"/>
      <c r="H1896" s="8"/>
      <c r="I1896" s="11" t="str">
        <f aca="false">IF(OR(F1896="",G1896=""),"",ROUND(F1896*G1896,0))</f>
        <v/>
      </c>
    </row>
    <row r="1897" customFormat="false" ht="15" hidden="false" customHeight="false" outlineLevel="0" collapsed="false">
      <c r="A1897" s="8"/>
      <c r="B1897" s="10" t="str">
        <f aca="false">IF(A1897="","",IFERROR(VLOOKUP(A1897,DonHang!$A$2:$C$500,3,FALSE()),"mã đơn chưa có"))</f>
        <v/>
      </c>
      <c r="C1897" s="8"/>
      <c r="D1897" s="8"/>
      <c r="E1897" s="8"/>
      <c r="F1897" s="13"/>
      <c r="G1897" s="14"/>
      <c r="H1897" s="8"/>
      <c r="I1897" s="11" t="str">
        <f aca="false">IF(OR(F1897="",G1897=""),"",ROUND(F1897*G1897,0))</f>
        <v/>
      </c>
    </row>
    <row r="1898" customFormat="false" ht="15" hidden="false" customHeight="false" outlineLevel="0" collapsed="false">
      <c r="A1898" s="8"/>
      <c r="B1898" s="10" t="str">
        <f aca="false">IF(A1898="","",IFERROR(VLOOKUP(A1898,DonHang!$A$2:$C$500,3,FALSE()),"mã đơn chưa có"))</f>
        <v/>
      </c>
      <c r="C1898" s="8"/>
      <c r="D1898" s="8"/>
      <c r="E1898" s="8"/>
      <c r="F1898" s="13"/>
      <c r="G1898" s="14"/>
      <c r="H1898" s="8"/>
      <c r="I1898" s="11" t="str">
        <f aca="false">IF(OR(F1898="",G1898=""),"",ROUND(F1898*G1898,0))</f>
        <v/>
      </c>
    </row>
    <row r="1899" customFormat="false" ht="15" hidden="false" customHeight="false" outlineLevel="0" collapsed="false">
      <c r="A1899" s="8"/>
      <c r="B1899" s="10" t="str">
        <f aca="false">IF(A1899="","",IFERROR(VLOOKUP(A1899,DonHang!$A$2:$C$500,3,FALSE()),"mã đơn chưa có"))</f>
        <v/>
      </c>
      <c r="C1899" s="8"/>
      <c r="D1899" s="8"/>
      <c r="E1899" s="8"/>
      <c r="F1899" s="13"/>
      <c r="G1899" s="14"/>
      <c r="H1899" s="8"/>
      <c r="I1899" s="11" t="str">
        <f aca="false">IF(OR(F1899="",G1899=""),"",ROUND(F1899*G1899,0))</f>
        <v/>
      </c>
    </row>
    <row r="1900" customFormat="false" ht="15" hidden="false" customHeight="false" outlineLevel="0" collapsed="false">
      <c r="A1900" s="8"/>
      <c r="B1900" s="10" t="str">
        <f aca="false">IF(A1900="","",IFERROR(VLOOKUP(A1900,DonHang!$A$2:$C$500,3,FALSE()),"mã đơn chưa có"))</f>
        <v/>
      </c>
      <c r="C1900" s="8"/>
      <c r="D1900" s="8"/>
      <c r="E1900" s="8"/>
      <c r="F1900" s="13"/>
      <c r="G1900" s="14"/>
      <c r="H1900" s="8"/>
      <c r="I1900" s="11" t="str">
        <f aca="false">IF(OR(F1900="",G1900=""),"",ROUND(F1900*G1900,0))</f>
        <v/>
      </c>
    </row>
    <row r="1901" customFormat="false" ht="15" hidden="false" customHeight="false" outlineLevel="0" collapsed="false">
      <c r="A1901" s="8"/>
      <c r="B1901" s="10" t="str">
        <f aca="false">IF(A1901="","",IFERROR(VLOOKUP(A1901,DonHang!$A$2:$C$500,3,FALSE()),"mã đơn chưa có"))</f>
        <v/>
      </c>
      <c r="C1901" s="8"/>
      <c r="D1901" s="8"/>
      <c r="E1901" s="8"/>
      <c r="F1901" s="13"/>
      <c r="G1901" s="14"/>
      <c r="H1901" s="8"/>
      <c r="I1901" s="11" t="str">
        <f aca="false">IF(OR(F1901="",G1901=""),"",ROUND(F1901*G1901,0))</f>
        <v/>
      </c>
    </row>
    <row r="1902" customFormat="false" ht="15" hidden="false" customHeight="false" outlineLevel="0" collapsed="false">
      <c r="A1902" s="8"/>
      <c r="B1902" s="10" t="str">
        <f aca="false">IF(A1902="","",IFERROR(VLOOKUP(A1902,DonHang!$A$2:$C$500,3,FALSE()),"mã đơn chưa có"))</f>
        <v/>
      </c>
      <c r="C1902" s="8"/>
      <c r="D1902" s="8"/>
      <c r="E1902" s="8"/>
      <c r="F1902" s="13"/>
      <c r="G1902" s="14"/>
      <c r="H1902" s="8"/>
      <c r="I1902" s="11" t="str">
        <f aca="false">IF(OR(F1902="",G1902=""),"",ROUND(F1902*G1902,0))</f>
        <v/>
      </c>
    </row>
    <row r="1903" customFormat="false" ht="15" hidden="false" customHeight="false" outlineLevel="0" collapsed="false">
      <c r="A1903" s="8"/>
      <c r="B1903" s="10" t="str">
        <f aca="false">IF(A1903="","",IFERROR(VLOOKUP(A1903,DonHang!$A$2:$C$500,3,FALSE()),"mã đơn chưa có"))</f>
        <v/>
      </c>
      <c r="C1903" s="8"/>
      <c r="D1903" s="8"/>
      <c r="E1903" s="8"/>
      <c r="F1903" s="13"/>
      <c r="G1903" s="14"/>
      <c r="H1903" s="8"/>
      <c r="I1903" s="11" t="str">
        <f aca="false">IF(OR(F1903="",G1903=""),"",ROUND(F1903*G1903,0))</f>
        <v/>
      </c>
    </row>
    <row r="1904" customFormat="false" ht="15" hidden="false" customHeight="false" outlineLevel="0" collapsed="false">
      <c r="A1904" s="8"/>
      <c r="B1904" s="10" t="str">
        <f aca="false">IF(A1904="","",IFERROR(VLOOKUP(A1904,DonHang!$A$2:$C$500,3,FALSE()),"mã đơn chưa có"))</f>
        <v/>
      </c>
      <c r="C1904" s="8"/>
      <c r="D1904" s="8"/>
      <c r="E1904" s="8"/>
      <c r="F1904" s="13"/>
      <c r="G1904" s="14"/>
      <c r="H1904" s="8"/>
      <c r="I1904" s="11" t="str">
        <f aca="false">IF(OR(F1904="",G1904=""),"",ROUND(F1904*G1904,0))</f>
        <v/>
      </c>
    </row>
    <row r="1905" customFormat="false" ht="15" hidden="false" customHeight="false" outlineLevel="0" collapsed="false">
      <c r="A1905" s="8"/>
      <c r="B1905" s="10" t="str">
        <f aca="false">IF(A1905="","",IFERROR(VLOOKUP(A1905,DonHang!$A$2:$C$500,3,FALSE()),"mã đơn chưa có"))</f>
        <v/>
      </c>
      <c r="C1905" s="8"/>
      <c r="D1905" s="8"/>
      <c r="E1905" s="8"/>
      <c r="F1905" s="13"/>
      <c r="G1905" s="14"/>
      <c r="H1905" s="8"/>
      <c r="I1905" s="11" t="str">
        <f aca="false">IF(OR(F1905="",G1905=""),"",ROUND(F1905*G1905,0))</f>
        <v/>
      </c>
    </row>
    <row r="1906" customFormat="false" ht="15" hidden="false" customHeight="false" outlineLevel="0" collapsed="false">
      <c r="A1906" s="8"/>
      <c r="B1906" s="10" t="str">
        <f aca="false">IF(A1906="","",IFERROR(VLOOKUP(A1906,DonHang!$A$2:$C$500,3,FALSE()),"mã đơn chưa có"))</f>
        <v/>
      </c>
      <c r="C1906" s="8"/>
      <c r="D1906" s="8"/>
      <c r="E1906" s="8"/>
      <c r="F1906" s="13"/>
      <c r="G1906" s="14"/>
      <c r="H1906" s="8"/>
      <c r="I1906" s="11" t="str">
        <f aca="false">IF(OR(F1906="",G1906=""),"",ROUND(F1906*G1906,0))</f>
        <v/>
      </c>
    </row>
    <row r="1907" customFormat="false" ht="15" hidden="false" customHeight="false" outlineLevel="0" collapsed="false">
      <c r="A1907" s="8"/>
      <c r="B1907" s="10" t="str">
        <f aca="false">IF(A1907="","",IFERROR(VLOOKUP(A1907,DonHang!$A$2:$C$500,3,FALSE()),"mã đơn chưa có"))</f>
        <v/>
      </c>
      <c r="C1907" s="8"/>
      <c r="D1907" s="8"/>
      <c r="E1907" s="8"/>
      <c r="F1907" s="13"/>
      <c r="G1907" s="14"/>
      <c r="H1907" s="8"/>
      <c r="I1907" s="11" t="str">
        <f aca="false">IF(OR(F1907="",G1907=""),"",ROUND(F1907*G1907,0))</f>
        <v/>
      </c>
    </row>
    <row r="1908" customFormat="false" ht="15" hidden="false" customHeight="false" outlineLevel="0" collapsed="false">
      <c r="A1908" s="8"/>
      <c r="B1908" s="10" t="str">
        <f aca="false">IF(A1908="","",IFERROR(VLOOKUP(A1908,DonHang!$A$2:$C$500,3,FALSE()),"mã đơn chưa có"))</f>
        <v/>
      </c>
      <c r="C1908" s="8"/>
      <c r="D1908" s="8"/>
      <c r="E1908" s="8"/>
      <c r="F1908" s="13"/>
      <c r="G1908" s="14"/>
      <c r="H1908" s="8"/>
      <c r="I1908" s="11" t="str">
        <f aca="false">IF(OR(F1908="",G1908=""),"",ROUND(F1908*G1908,0))</f>
        <v/>
      </c>
    </row>
    <row r="1909" customFormat="false" ht="15" hidden="false" customHeight="false" outlineLevel="0" collapsed="false">
      <c r="A1909" s="8"/>
      <c r="B1909" s="10" t="str">
        <f aca="false">IF(A1909="","",IFERROR(VLOOKUP(A1909,DonHang!$A$2:$C$500,3,FALSE()),"mã đơn chưa có"))</f>
        <v/>
      </c>
      <c r="C1909" s="8"/>
      <c r="D1909" s="8"/>
      <c r="E1909" s="8"/>
      <c r="F1909" s="13"/>
      <c r="G1909" s="14"/>
      <c r="H1909" s="8"/>
      <c r="I1909" s="11" t="str">
        <f aca="false">IF(OR(F1909="",G1909=""),"",ROUND(F1909*G1909,0))</f>
        <v/>
      </c>
    </row>
    <row r="1910" customFormat="false" ht="15" hidden="false" customHeight="false" outlineLevel="0" collapsed="false">
      <c r="A1910" s="8"/>
      <c r="B1910" s="10" t="str">
        <f aca="false">IF(A1910="","",IFERROR(VLOOKUP(A1910,DonHang!$A$2:$C$500,3,FALSE()),"mã đơn chưa có"))</f>
        <v/>
      </c>
      <c r="C1910" s="8"/>
      <c r="D1910" s="8"/>
      <c r="E1910" s="8"/>
      <c r="F1910" s="13"/>
      <c r="G1910" s="14"/>
      <c r="H1910" s="8"/>
      <c r="I1910" s="11" t="str">
        <f aca="false">IF(OR(F1910="",G1910=""),"",ROUND(F1910*G1910,0))</f>
        <v/>
      </c>
    </row>
    <row r="1911" customFormat="false" ht="15" hidden="false" customHeight="false" outlineLevel="0" collapsed="false">
      <c r="A1911" s="8"/>
      <c r="B1911" s="10" t="str">
        <f aca="false">IF(A1911="","",IFERROR(VLOOKUP(A1911,DonHang!$A$2:$C$500,3,FALSE()),"mã đơn chưa có"))</f>
        <v/>
      </c>
      <c r="C1911" s="8"/>
      <c r="D1911" s="8"/>
      <c r="E1911" s="8"/>
      <c r="F1911" s="13"/>
      <c r="G1911" s="14"/>
      <c r="H1911" s="8"/>
      <c r="I1911" s="11" t="str">
        <f aca="false">IF(OR(F1911="",G1911=""),"",ROUND(F1911*G1911,0))</f>
        <v/>
      </c>
    </row>
    <row r="1912" customFormat="false" ht="15" hidden="false" customHeight="false" outlineLevel="0" collapsed="false">
      <c r="A1912" s="8"/>
      <c r="B1912" s="10" t="str">
        <f aca="false">IF(A1912="","",IFERROR(VLOOKUP(A1912,DonHang!$A$2:$C$500,3,FALSE()),"mã đơn chưa có"))</f>
        <v/>
      </c>
      <c r="C1912" s="8"/>
      <c r="D1912" s="8"/>
      <c r="E1912" s="8"/>
      <c r="F1912" s="13"/>
      <c r="G1912" s="14"/>
      <c r="H1912" s="8"/>
      <c r="I1912" s="11" t="str">
        <f aca="false">IF(OR(F1912="",G1912=""),"",ROUND(F1912*G1912,0))</f>
        <v/>
      </c>
    </row>
    <row r="1913" customFormat="false" ht="15" hidden="false" customHeight="false" outlineLevel="0" collapsed="false">
      <c r="A1913" s="8"/>
      <c r="B1913" s="10" t="str">
        <f aca="false">IF(A1913="","",IFERROR(VLOOKUP(A1913,DonHang!$A$2:$C$500,3,FALSE()),"mã đơn chưa có"))</f>
        <v/>
      </c>
      <c r="C1913" s="8"/>
      <c r="D1913" s="8"/>
      <c r="E1913" s="8"/>
      <c r="F1913" s="13"/>
      <c r="G1913" s="14"/>
      <c r="H1913" s="8"/>
      <c r="I1913" s="11" t="str">
        <f aca="false">IF(OR(F1913="",G1913=""),"",ROUND(F1913*G1913,0))</f>
        <v/>
      </c>
    </row>
    <row r="1914" customFormat="false" ht="15" hidden="false" customHeight="false" outlineLevel="0" collapsed="false">
      <c r="A1914" s="8"/>
      <c r="B1914" s="10" t="str">
        <f aca="false">IF(A1914="","",IFERROR(VLOOKUP(A1914,DonHang!$A$2:$C$500,3,FALSE()),"mã đơn chưa có"))</f>
        <v/>
      </c>
      <c r="C1914" s="8"/>
      <c r="D1914" s="8"/>
      <c r="E1914" s="8"/>
      <c r="F1914" s="13"/>
      <c r="G1914" s="14"/>
      <c r="H1914" s="8"/>
      <c r="I1914" s="11" t="str">
        <f aca="false">IF(OR(F1914="",G1914=""),"",ROUND(F1914*G1914,0))</f>
        <v/>
      </c>
    </row>
    <row r="1915" customFormat="false" ht="15" hidden="false" customHeight="false" outlineLevel="0" collapsed="false">
      <c r="A1915" s="8"/>
      <c r="B1915" s="10" t="str">
        <f aca="false">IF(A1915="","",IFERROR(VLOOKUP(A1915,DonHang!$A$2:$C$500,3,FALSE()),"mã đơn chưa có"))</f>
        <v/>
      </c>
      <c r="C1915" s="8"/>
      <c r="D1915" s="8"/>
      <c r="E1915" s="8"/>
      <c r="F1915" s="13"/>
      <c r="G1915" s="14"/>
      <c r="H1915" s="8"/>
      <c r="I1915" s="11" t="str">
        <f aca="false">IF(OR(F1915="",G1915=""),"",ROUND(F1915*G1915,0))</f>
        <v/>
      </c>
    </row>
    <row r="1916" customFormat="false" ht="15" hidden="false" customHeight="false" outlineLevel="0" collapsed="false">
      <c r="A1916" s="8"/>
      <c r="B1916" s="10" t="str">
        <f aca="false">IF(A1916="","",IFERROR(VLOOKUP(A1916,DonHang!$A$2:$C$500,3,FALSE()),"mã đơn chưa có"))</f>
        <v/>
      </c>
      <c r="C1916" s="8"/>
      <c r="D1916" s="8"/>
      <c r="E1916" s="8"/>
      <c r="F1916" s="13"/>
      <c r="G1916" s="14"/>
      <c r="H1916" s="8"/>
      <c r="I1916" s="11" t="str">
        <f aca="false">IF(OR(F1916="",G1916=""),"",ROUND(F1916*G1916,0))</f>
        <v/>
      </c>
    </row>
    <row r="1917" customFormat="false" ht="15" hidden="false" customHeight="false" outlineLevel="0" collapsed="false">
      <c r="A1917" s="8"/>
      <c r="B1917" s="10" t="str">
        <f aca="false">IF(A1917="","",IFERROR(VLOOKUP(A1917,DonHang!$A$2:$C$500,3,FALSE()),"mã đơn chưa có"))</f>
        <v/>
      </c>
      <c r="C1917" s="8"/>
      <c r="D1917" s="8"/>
      <c r="E1917" s="8"/>
      <c r="F1917" s="13"/>
      <c r="G1917" s="14"/>
      <c r="H1917" s="8"/>
      <c r="I1917" s="11" t="str">
        <f aca="false">IF(OR(F1917="",G1917=""),"",ROUND(F1917*G1917,0))</f>
        <v/>
      </c>
    </row>
    <row r="1918" customFormat="false" ht="15" hidden="false" customHeight="false" outlineLevel="0" collapsed="false">
      <c r="A1918" s="8"/>
      <c r="B1918" s="10" t="str">
        <f aca="false">IF(A1918="","",IFERROR(VLOOKUP(A1918,DonHang!$A$2:$C$500,3,FALSE()),"mã đơn chưa có"))</f>
        <v/>
      </c>
      <c r="C1918" s="8"/>
      <c r="D1918" s="8"/>
      <c r="E1918" s="8"/>
      <c r="F1918" s="13"/>
      <c r="G1918" s="14"/>
      <c r="H1918" s="8"/>
      <c r="I1918" s="11" t="str">
        <f aca="false">IF(OR(F1918="",G1918=""),"",ROUND(F1918*G1918,0))</f>
        <v/>
      </c>
    </row>
    <row r="1919" customFormat="false" ht="15" hidden="false" customHeight="false" outlineLevel="0" collapsed="false">
      <c r="A1919" s="8"/>
      <c r="B1919" s="10" t="str">
        <f aca="false">IF(A1919="","",IFERROR(VLOOKUP(A1919,DonHang!$A$2:$C$500,3,FALSE()),"mã đơn chưa có"))</f>
        <v/>
      </c>
      <c r="C1919" s="8"/>
      <c r="D1919" s="8"/>
      <c r="E1919" s="8"/>
      <c r="F1919" s="13"/>
      <c r="G1919" s="14"/>
      <c r="H1919" s="8"/>
      <c r="I1919" s="11" t="str">
        <f aca="false">IF(OR(F1919="",G1919=""),"",ROUND(F1919*G1919,0))</f>
        <v/>
      </c>
    </row>
    <row r="1920" customFormat="false" ht="15" hidden="false" customHeight="false" outlineLevel="0" collapsed="false">
      <c r="A1920" s="8"/>
      <c r="B1920" s="10" t="str">
        <f aca="false">IF(A1920="","",IFERROR(VLOOKUP(A1920,DonHang!$A$2:$C$500,3,FALSE()),"mã đơn chưa có"))</f>
        <v/>
      </c>
      <c r="C1920" s="8"/>
      <c r="D1920" s="8"/>
      <c r="E1920" s="8"/>
      <c r="F1920" s="13"/>
      <c r="G1920" s="14"/>
      <c r="H1920" s="8"/>
      <c r="I1920" s="11" t="str">
        <f aca="false">IF(OR(F1920="",G1920=""),"",ROUND(F1920*G1920,0))</f>
        <v/>
      </c>
    </row>
    <row r="1921" customFormat="false" ht="15" hidden="false" customHeight="false" outlineLevel="0" collapsed="false">
      <c r="A1921" s="8"/>
      <c r="B1921" s="10" t="str">
        <f aca="false">IF(A1921="","",IFERROR(VLOOKUP(A1921,DonHang!$A$2:$C$500,3,FALSE()),"mã đơn chưa có"))</f>
        <v/>
      </c>
      <c r="C1921" s="8"/>
      <c r="D1921" s="8"/>
      <c r="E1921" s="8"/>
      <c r="F1921" s="13"/>
      <c r="G1921" s="14"/>
      <c r="H1921" s="8"/>
      <c r="I1921" s="11" t="str">
        <f aca="false">IF(OR(F1921="",G1921=""),"",ROUND(F1921*G1921,0))</f>
        <v/>
      </c>
    </row>
    <row r="1922" customFormat="false" ht="15" hidden="false" customHeight="false" outlineLevel="0" collapsed="false">
      <c r="A1922" s="8"/>
      <c r="B1922" s="10" t="str">
        <f aca="false">IF(A1922="","",IFERROR(VLOOKUP(A1922,DonHang!$A$2:$C$500,3,FALSE()),"mã đơn chưa có"))</f>
        <v/>
      </c>
      <c r="C1922" s="8"/>
      <c r="D1922" s="8"/>
      <c r="E1922" s="8"/>
      <c r="F1922" s="13"/>
      <c r="G1922" s="14"/>
      <c r="H1922" s="8"/>
      <c r="I1922" s="11" t="str">
        <f aca="false">IF(OR(F1922="",G1922=""),"",ROUND(F1922*G1922,0))</f>
        <v/>
      </c>
    </row>
    <row r="1923" customFormat="false" ht="15" hidden="false" customHeight="false" outlineLevel="0" collapsed="false">
      <c r="A1923" s="8"/>
      <c r="B1923" s="10" t="str">
        <f aca="false">IF(A1923="","",IFERROR(VLOOKUP(A1923,DonHang!$A$2:$C$500,3,FALSE()),"mã đơn chưa có"))</f>
        <v/>
      </c>
      <c r="C1923" s="8"/>
      <c r="D1923" s="8"/>
      <c r="E1923" s="8"/>
      <c r="F1923" s="13"/>
      <c r="G1923" s="14"/>
      <c r="H1923" s="8"/>
      <c r="I1923" s="11" t="str">
        <f aca="false">IF(OR(F1923="",G1923=""),"",ROUND(F1923*G1923,0))</f>
        <v/>
      </c>
    </row>
    <row r="1924" customFormat="false" ht="15" hidden="false" customHeight="false" outlineLevel="0" collapsed="false">
      <c r="A1924" s="8"/>
      <c r="B1924" s="10" t="str">
        <f aca="false">IF(A1924="","",IFERROR(VLOOKUP(A1924,DonHang!$A$2:$C$500,3,FALSE()),"mã đơn chưa có"))</f>
        <v/>
      </c>
      <c r="C1924" s="8"/>
      <c r="D1924" s="8"/>
      <c r="E1924" s="8"/>
      <c r="F1924" s="13"/>
      <c r="G1924" s="14"/>
      <c r="H1924" s="8"/>
      <c r="I1924" s="11" t="str">
        <f aca="false">IF(OR(F1924="",G1924=""),"",ROUND(F1924*G1924,0))</f>
        <v/>
      </c>
    </row>
    <row r="1925" customFormat="false" ht="15" hidden="false" customHeight="false" outlineLevel="0" collapsed="false">
      <c r="A1925" s="8"/>
      <c r="B1925" s="10" t="str">
        <f aca="false">IF(A1925="","",IFERROR(VLOOKUP(A1925,DonHang!$A$2:$C$500,3,FALSE()),"mã đơn chưa có"))</f>
        <v/>
      </c>
      <c r="C1925" s="8"/>
      <c r="D1925" s="8"/>
      <c r="E1925" s="8"/>
      <c r="F1925" s="13"/>
      <c r="G1925" s="14"/>
      <c r="H1925" s="8"/>
      <c r="I1925" s="11" t="str">
        <f aca="false">IF(OR(F1925="",G1925=""),"",ROUND(F1925*G1925,0))</f>
        <v/>
      </c>
    </row>
    <row r="1926" customFormat="false" ht="15" hidden="false" customHeight="false" outlineLevel="0" collapsed="false">
      <c r="A1926" s="8"/>
      <c r="B1926" s="10" t="str">
        <f aca="false">IF(A1926="","",IFERROR(VLOOKUP(A1926,DonHang!$A$2:$C$500,3,FALSE()),"mã đơn chưa có"))</f>
        <v/>
      </c>
      <c r="C1926" s="8"/>
      <c r="D1926" s="8"/>
      <c r="E1926" s="8"/>
      <c r="F1926" s="13"/>
      <c r="G1926" s="14"/>
      <c r="H1926" s="8"/>
      <c r="I1926" s="11" t="str">
        <f aca="false">IF(OR(F1926="",G1926=""),"",ROUND(F1926*G1926,0))</f>
        <v/>
      </c>
    </row>
    <row r="1927" customFormat="false" ht="15" hidden="false" customHeight="false" outlineLevel="0" collapsed="false">
      <c r="A1927" s="8"/>
      <c r="B1927" s="10" t="str">
        <f aca="false">IF(A1927="","",IFERROR(VLOOKUP(A1927,DonHang!$A$2:$C$500,3,FALSE()),"mã đơn chưa có"))</f>
        <v/>
      </c>
      <c r="C1927" s="8"/>
      <c r="D1927" s="8"/>
      <c r="E1927" s="8"/>
      <c r="F1927" s="13"/>
      <c r="G1927" s="14"/>
      <c r="H1927" s="8"/>
      <c r="I1927" s="11" t="str">
        <f aca="false">IF(OR(F1927="",G1927=""),"",ROUND(F1927*G1927,0))</f>
        <v/>
      </c>
    </row>
    <row r="1928" customFormat="false" ht="15" hidden="false" customHeight="false" outlineLevel="0" collapsed="false">
      <c r="A1928" s="8"/>
      <c r="B1928" s="10" t="str">
        <f aca="false">IF(A1928="","",IFERROR(VLOOKUP(A1928,DonHang!$A$2:$C$500,3,FALSE()),"mã đơn chưa có"))</f>
        <v/>
      </c>
      <c r="C1928" s="8"/>
      <c r="D1928" s="8"/>
      <c r="E1928" s="8"/>
      <c r="F1928" s="13"/>
      <c r="G1928" s="14"/>
      <c r="H1928" s="8"/>
      <c r="I1928" s="11" t="str">
        <f aca="false">IF(OR(F1928="",G1928=""),"",ROUND(F1928*G1928,0))</f>
        <v/>
      </c>
    </row>
    <row r="1929" customFormat="false" ht="15" hidden="false" customHeight="false" outlineLevel="0" collapsed="false">
      <c r="A1929" s="8"/>
      <c r="B1929" s="10" t="str">
        <f aca="false">IF(A1929="","",IFERROR(VLOOKUP(A1929,DonHang!$A$2:$C$500,3,FALSE()),"mã đơn chưa có"))</f>
        <v/>
      </c>
      <c r="C1929" s="8"/>
      <c r="D1929" s="8"/>
      <c r="E1929" s="8"/>
      <c r="F1929" s="13"/>
      <c r="G1929" s="14"/>
      <c r="H1929" s="8"/>
      <c r="I1929" s="11" t="str">
        <f aca="false">IF(OR(F1929="",G1929=""),"",ROUND(F1929*G1929,0))</f>
        <v/>
      </c>
    </row>
    <row r="1930" customFormat="false" ht="15" hidden="false" customHeight="false" outlineLevel="0" collapsed="false">
      <c r="A1930" s="8"/>
      <c r="B1930" s="10" t="str">
        <f aca="false">IF(A1930="","",IFERROR(VLOOKUP(A1930,DonHang!$A$2:$C$500,3,FALSE()),"mã đơn chưa có"))</f>
        <v/>
      </c>
      <c r="C1930" s="8"/>
      <c r="D1930" s="8"/>
      <c r="E1930" s="8"/>
      <c r="F1930" s="13"/>
      <c r="G1930" s="14"/>
      <c r="H1930" s="8"/>
      <c r="I1930" s="11" t="str">
        <f aca="false">IF(OR(F1930="",G1930=""),"",ROUND(F1930*G1930,0))</f>
        <v/>
      </c>
    </row>
    <row r="1931" customFormat="false" ht="15" hidden="false" customHeight="false" outlineLevel="0" collapsed="false">
      <c r="A1931" s="8"/>
      <c r="B1931" s="10" t="str">
        <f aca="false">IF(A1931="","",IFERROR(VLOOKUP(A1931,DonHang!$A$2:$C$500,3,FALSE()),"mã đơn chưa có"))</f>
        <v/>
      </c>
      <c r="C1931" s="8"/>
      <c r="D1931" s="8"/>
      <c r="E1931" s="8"/>
      <c r="F1931" s="13"/>
      <c r="G1931" s="14"/>
      <c r="H1931" s="8"/>
      <c r="I1931" s="11" t="str">
        <f aca="false">IF(OR(F1931="",G1931=""),"",ROUND(F1931*G1931,0))</f>
        <v/>
      </c>
    </row>
    <row r="1932" customFormat="false" ht="15" hidden="false" customHeight="false" outlineLevel="0" collapsed="false">
      <c r="A1932" s="8"/>
      <c r="B1932" s="10" t="str">
        <f aca="false">IF(A1932="","",IFERROR(VLOOKUP(A1932,DonHang!$A$2:$C$500,3,FALSE()),"mã đơn chưa có"))</f>
        <v/>
      </c>
      <c r="C1932" s="8"/>
      <c r="D1932" s="8"/>
      <c r="E1932" s="8"/>
      <c r="F1932" s="13"/>
      <c r="G1932" s="14"/>
      <c r="H1932" s="8"/>
      <c r="I1932" s="11" t="str">
        <f aca="false">IF(OR(F1932="",G1932=""),"",ROUND(F1932*G1932,0))</f>
        <v/>
      </c>
    </row>
    <row r="1933" customFormat="false" ht="15" hidden="false" customHeight="false" outlineLevel="0" collapsed="false">
      <c r="A1933" s="8"/>
      <c r="B1933" s="10" t="str">
        <f aca="false">IF(A1933="","",IFERROR(VLOOKUP(A1933,DonHang!$A$2:$C$500,3,FALSE()),"mã đơn chưa có"))</f>
        <v/>
      </c>
      <c r="C1933" s="8"/>
      <c r="D1933" s="8"/>
      <c r="E1933" s="8"/>
      <c r="F1933" s="13"/>
      <c r="G1933" s="14"/>
      <c r="H1933" s="8"/>
      <c r="I1933" s="11" t="str">
        <f aca="false">IF(OR(F1933="",G1933=""),"",ROUND(F1933*G1933,0))</f>
        <v/>
      </c>
    </row>
    <row r="1934" customFormat="false" ht="15" hidden="false" customHeight="false" outlineLevel="0" collapsed="false">
      <c r="A1934" s="8"/>
      <c r="B1934" s="10" t="str">
        <f aca="false">IF(A1934="","",IFERROR(VLOOKUP(A1934,DonHang!$A$2:$C$500,3,FALSE()),"mã đơn chưa có"))</f>
        <v/>
      </c>
      <c r="C1934" s="8"/>
      <c r="D1934" s="8"/>
      <c r="E1934" s="8"/>
      <c r="F1934" s="13"/>
      <c r="G1934" s="14"/>
      <c r="H1934" s="8"/>
      <c r="I1934" s="11" t="str">
        <f aca="false">IF(OR(F1934="",G1934=""),"",ROUND(F1934*G1934,0))</f>
        <v/>
      </c>
    </row>
    <row r="1935" customFormat="false" ht="15" hidden="false" customHeight="false" outlineLevel="0" collapsed="false">
      <c r="A1935" s="8"/>
      <c r="B1935" s="10" t="str">
        <f aca="false">IF(A1935="","",IFERROR(VLOOKUP(A1935,DonHang!$A$2:$C$500,3,FALSE()),"mã đơn chưa có"))</f>
        <v/>
      </c>
      <c r="C1935" s="8"/>
      <c r="D1935" s="8"/>
      <c r="E1935" s="8"/>
      <c r="F1935" s="13"/>
      <c r="G1935" s="14"/>
      <c r="H1935" s="8"/>
      <c r="I1935" s="11" t="str">
        <f aca="false">IF(OR(F1935="",G1935=""),"",ROUND(F1935*G1935,0))</f>
        <v/>
      </c>
    </row>
    <row r="1936" customFormat="false" ht="15" hidden="false" customHeight="false" outlineLevel="0" collapsed="false">
      <c r="A1936" s="8"/>
      <c r="B1936" s="10" t="str">
        <f aca="false">IF(A1936="","",IFERROR(VLOOKUP(A1936,DonHang!$A$2:$C$500,3,FALSE()),"mã đơn chưa có"))</f>
        <v/>
      </c>
      <c r="C1936" s="8"/>
      <c r="D1936" s="8"/>
      <c r="E1936" s="8"/>
      <c r="F1936" s="13"/>
      <c r="G1936" s="14"/>
      <c r="H1936" s="8"/>
      <c r="I1936" s="11" t="str">
        <f aca="false">IF(OR(F1936="",G1936=""),"",ROUND(F1936*G1936,0))</f>
        <v/>
      </c>
    </row>
    <row r="1937" customFormat="false" ht="15" hidden="false" customHeight="false" outlineLevel="0" collapsed="false">
      <c r="A1937" s="8"/>
      <c r="B1937" s="10" t="str">
        <f aca="false">IF(A1937="","",IFERROR(VLOOKUP(A1937,DonHang!$A$2:$C$500,3,FALSE()),"mã đơn chưa có"))</f>
        <v/>
      </c>
      <c r="C1937" s="8"/>
      <c r="D1937" s="8"/>
      <c r="E1937" s="8"/>
      <c r="F1937" s="13"/>
      <c r="G1937" s="14"/>
      <c r="H1937" s="8"/>
      <c r="I1937" s="11" t="str">
        <f aca="false">IF(OR(F1937="",G1937=""),"",ROUND(F1937*G1937,0))</f>
        <v/>
      </c>
    </row>
    <row r="1938" customFormat="false" ht="15" hidden="false" customHeight="false" outlineLevel="0" collapsed="false">
      <c r="A1938" s="8"/>
      <c r="B1938" s="10" t="str">
        <f aca="false">IF(A1938="","",IFERROR(VLOOKUP(A1938,DonHang!$A$2:$C$500,3,FALSE()),"mã đơn chưa có"))</f>
        <v/>
      </c>
      <c r="C1938" s="8"/>
      <c r="D1938" s="8"/>
      <c r="E1938" s="8"/>
      <c r="F1938" s="13"/>
      <c r="G1938" s="14"/>
      <c r="H1938" s="8"/>
      <c r="I1938" s="11" t="str">
        <f aca="false">IF(OR(F1938="",G1938=""),"",ROUND(F1938*G1938,0))</f>
        <v/>
      </c>
    </row>
    <row r="1939" customFormat="false" ht="15" hidden="false" customHeight="false" outlineLevel="0" collapsed="false">
      <c r="A1939" s="8"/>
      <c r="B1939" s="10" t="str">
        <f aca="false">IF(A1939="","",IFERROR(VLOOKUP(A1939,DonHang!$A$2:$C$500,3,FALSE()),"mã đơn chưa có"))</f>
        <v/>
      </c>
      <c r="C1939" s="8"/>
      <c r="D1939" s="8"/>
      <c r="E1939" s="8"/>
      <c r="F1939" s="13"/>
      <c r="G1939" s="14"/>
      <c r="H1939" s="8"/>
      <c r="I1939" s="11" t="str">
        <f aca="false">IF(OR(F1939="",G1939=""),"",ROUND(F1939*G1939,0))</f>
        <v/>
      </c>
    </row>
    <row r="1940" customFormat="false" ht="15" hidden="false" customHeight="false" outlineLevel="0" collapsed="false">
      <c r="A1940" s="8"/>
      <c r="B1940" s="10" t="str">
        <f aca="false">IF(A1940="","",IFERROR(VLOOKUP(A1940,DonHang!$A$2:$C$500,3,FALSE()),"mã đơn chưa có"))</f>
        <v/>
      </c>
      <c r="C1940" s="8"/>
      <c r="D1940" s="8"/>
      <c r="E1940" s="8"/>
      <c r="F1940" s="13"/>
      <c r="G1940" s="14"/>
      <c r="H1940" s="8"/>
      <c r="I1940" s="11" t="str">
        <f aca="false">IF(OR(F1940="",G1940=""),"",ROUND(F1940*G1940,0))</f>
        <v/>
      </c>
    </row>
    <row r="1941" customFormat="false" ht="15" hidden="false" customHeight="false" outlineLevel="0" collapsed="false">
      <c r="A1941" s="8"/>
      <c r="B1941" s="10" t="str">
        <f aca="false">IF(A1941="","",IFERROR(VLOOKUP(A1941,DonHang!$A$2:$C$500,3,FALSE()),"mã đơn chưa có"))</f>
        <v/>
      </c>
      <c r="C1941" s="8"/>
      <c r="D1941" s="8"/>
      <c r="E1941" s="8"/>
      <c r="F1941" s="13"/>
      <c r="G1941" s="14"/>
      <c r="H1941" s="8"/>
      <c r="I1941" s="11" t="str">
        <f aca="false">IF(OR(F1941="",G1941=""),"",ROUND(F1941*G1941,0))</f>
        <v/>
      </c>
    </row>
    <row r="1942" customFormat="false" ht="15" hidden="false" customHeight="false" outlineLevel="0" collapsed="false">
      <c r="A1942" s="8"/>
      <c r="B1942" s="10" t="str">
        <f aca="false">IF(A1942="","",IFERROR(VLOOKUP(A1942,DonHang!$A$2:$C$500,3,FALSE()),"mã đơn chưa có"))</f>
        <v/>
      </c>
      <c r="C1942" s="8"/>
      <c r="D1942" s="8"/>
      <c r="E1942" s="8"/>
      <c r="F1942" s="13"/>
      <c r="G1942" s="14"/>
      <c r="H1942" s="8"/>
      <c r="I1942" s="11" t="str">
        <f aca="false">IF(OR(F1942="",G1942=""),"",ROUND(F1942*G1942,0))</f>
        <v/>
      </c>
    </row>
    <row r="1943" customFormat="false" ht="15" hidden="false" customHeight="false" outlineLevel="0" collapsed="false">
      <c r="A1943" s="8"/>
      <c r="B1943" s="10" t="str">
        <f aca="false">IF(A1943="","",IFERROR(VLOOKUP(A1943,DonHang!$A$2:$C$500,3,FALSE()),"mã đơn chưa có"))</f>
        <v/>
      </c>
      <c r="C1943" s="8"/>
      <c r="D1943" s="8"/>
      <c r="E1943" s="8"/>
      <c r="F1943" s="13"/>
      <c r="G1943" s="14"/>
      <c r="H1943" s="8"/>
      <c r="I1943" s="11" t="str">
        <f aca="false">IF(OR(F1943="",G1943=""),"",ROUND(F1943*G1943,0))</f>
        <v/>
      </c>
    </row>
    <row r="1944" customFormat="false" ht="15" hidden="false" customHeight="false" outlineLevel="0" collapsed="false">
      <c r="A1944" s="8"/>
      <c r="B1944" s="10" t="str">
        <f aca="false">IF(A1944="","",IFERROR(VLOOKUP(A1944,DonHang!$A$2:$C$500,3,FALSE()),"mã đơn chưa có"))</f>
        <v/>
      </c>
      <c r="C1944" s="8"/>
      <c r="D1944" s="8"/>
      <c r="E1944" s="8"/>
      <c r="F1944" s="13"/>
      <c r="G1944" s="14"/>
      <c r="H1944" s="8"/>
      <c r="I1944" s="11" t="str">
        <f aca="false">IF(OR(F1944="",G1944=""),"",ROUND(F1944*G1944,0))</f>
        <v/>
      </c>
    </row>
    <row r="1945" customFormat="false" ht="15" hidden="false" customHeight="false" outlineLevel="0" collapsed="false">
      <c r="A1945" s="8"/>
      <c r="B1945" s="10" t="str">
        <f aca="false">IF(A1945="","",IFERROR(VLOOKUP(A1945,DonHang!$A$2:$C$500,3,FALSE()),"mã đơn chưa có"))</f>
        <v/>
      </c>
      <c r="C1945" s="8"/>
      <c r="D1945" s="8"/>
      <c r="E1945" s="8"/>
      <c r="F1945" s="13"/>
      <c r="G1945" s="14"/>
      <c r="H1945" s="8"/>
      <c r="I1945" s="11" t="str">
        <f aca="false">IF(OR(F1945="",G1945=""),"",ROUND(F1945*G1945,0))</f>
        <v/>
      </c>
    </row>
    <row r="1946" customFormat="false" ht="15" hidden="false" customHeight="false" outlineLevel="0" collapsed="false">
      <c r="A1946" s="8"/>
      <c r="B1946" s="10" t="str">
        <f aca="false">IF(A1946="","",IFERROR(VLOOKUP(A1946,DonHang!$A$2:$C$500,3,FALSE()),"mã đơn chưa có"))</f>
        <v/>
      </c>
      <c r="C1946" s="8"/>
      <c r="D1946" s="8"/>
      <c r="E1946" s="8"/>
      <c r="F1946" s="13"/>
      <c r="G1946" s="14"/>
      <c r="H1946" s="8"/>
      <c r="I1946" s="11" t="str">
        <f aca="false">IF(OR(F1946="",G1946=""),"",ROUND(F1946*G1946,0))</f>
        <v/>
      </c>
    </row>
    <row r="1947" customFormat="false" ht="15" hidden="false" customHeight="false" outlineLevel="0" collapsed="false">
      <c r="A1947" s="8"/>
      <c r="B1947" s="10" t="str">
        <f aca="false">IF(A1947="","",IFERROR(VLOOKUP(A1947,DonHang!$A$2:$C$500,3,FALSE()),"mã đơn chưa có"))</f>
        <v/>
      </c>
      <c r="C1947" s="8"/>
      <c r="D1947" s="8"/>
      <c r="E1947" s="8"/>
      <c r="F1947" s="13"/>
      <c r="G1947" s="14"/>
      <c r="H1947" s="8"/>
      <c r="I1947" s="11" t="str">
        <f aca="false">IF(OR(F1947="",G1947=""),"",ROUND(F1947*G1947,0))</f>
        <v/>
      </c>
    </row>
    <row r="1948" customFormat="false" ht="15" hidden="false" customHeight="false" outlineLevel="0" collapsed="false">
      <c r="A1948" s="8"/>
      <c r="B1948" s="10" t="str">
        <f aca="false">IF(A1948="","",IFERROR(VLOOKUP(A1948,DonHang!$A$2:$C$500,3,FALSE()),"mã đơn chưa có"))</f>
        <v/>
      </c>
      <c r="C1948" s="8"/>
      <c r="D1948" s="8"/>
      <c r="E1948" s="8"/>
      <c r="F1948" s="13"/>
      <c r="G1948" s="14"/>
      <c r="H1948" s="8"/>
      <c r="I1948" s="11" t="str">
        <f aca="false">IF(OR(F1948="",G1948=""),"",ROUND(F1948*G1948,0))</f>
        <v/>
      </c>
    </row>
    <row r="1949" customFormat="false" ht="15" hidden="false" customHeight="false" outlineLevel="0" collapsed="false">
      <c r="A1949" s="8"/>
      <c r="B1949" s="10" t="str">
        <f aca="false">IF(A1949="","",IFERROR(VLOOKUP(A1949,DonHang!$A$2:$C$500,3,FALSE()),"mã đơn chưa có"))</f>
        <v/>
      </c>
      <c r="C1949" s="8"/>
      <c r="D1949" s="8"/>
      <c r="E1949" s="8"/>
      <c r="F1949" s="13"/>
      <c r="G1949" s="14"/>
      <c r="H1949" s="8"/>
      <c r="I1949" s="11" t="str">
        <f aca="false">IF(OR(F1949="",G1949=""),"",ROUND(F1949*G1949,0))</f>
        <v/>
      </c>
    </row>
    <row r="1950" customFormat="false" ht="15" hidden="false" customHeight="false" outlineLevel="0" collapsed="false">
      <c r="A1950" s="8"/>
      <c r="B1950" s="10" t="str">
        <f aca="false">IF(A1950="","",IFERROR(VLOOKUP(A1950,DonHang!$A$2:$C$500,3,FALSE()),"mã đơn chưa có"))</f>
        <v/>
      </c>
      <c r="C1950" s="8"/>
      <c r="D1950" s="8"/>
      <c r="E1950" s="8"/>
      <c r="F1950" s="13"/>
      <c r="G1950" s="14"/>
      <c r="H1950" s="8"/>
      <c r="I1950" s="11" t="str">
        <f aca="false">IF(OR(F1950="",G1950=""),"",ROUND(F1950*G1950,0))</f>
        <v/>
      </c>
    </row>
    <row r="1951" customFormat="false" ht="15" hidden="false" customHeight="false" outlineLevel="0" collapsed="false">
      <c r="A1951" s="8"/>
      <c r="B1951" s="10" t="str">
        <f aca="false">IF(A1951="","",IFERROR(VLOOKUP(A1951,DonHang!$A$2:$C$500,3,FALSE()),"mã đơn chưa có"))</f>
        <v/>
      </c>
      <c r="C1951" s="8"/>
      <c r="D1951" s="8"/>
      <c r="E1951" s="8"/>
      <c r="F1951" s="13"/>
      <c r="G1951" s="14"/>
      <c r="H1951" s="8"/>
      <c r="I1951" s="11" t="str">
        <f aca="false">IF(OR(F1951="",G1951=""),"",ROUND(F1951*G1951,0))</f>
        <v/>
      </c>
    </row>
    <row r="1952" customFormat="false" ht="15" hidden="false" customHeight="false" outlineLevel="0" collapsed="false">
      <c r="A1952" s="8"/>
      <c r="B1952" s="10" t="str">
        <f aca="false">IF(A1952="","",IFERROR(VLOOKUP(A1952,DonHang!$A$2:$C$500,3,FALSE()),"mã đơn chưa có"))</f>
        <v/>
      </c>
      <c r="C1952" s="8"/>
      <c r="D1952" s="8"/>
      <c r="E1952" s="8"/>
      <c r="F1952" s="13"/>
      <c r="G1952" s="14"/>
      <c r="H1952" s="8"/>
      <c r="I1952" s="11" t="str">
        <f aca="false">IF(OR(F1952="",G1952=""),"",ROUND(F1952*G1952,0))</f>
        <v/>
      </c>
    </row>
    <row r="1953" customFormat="false" ht="15" hidden="false" customHeight="false" outlineLevel="0" collapsed="false">
      <c r="A1953" s="8"/>
      <c r="B1953" s="10" t="str">
        <f aca="false">IF(A1953="","",IFERROR(VLOOKUP(A1953,DonHang!$A$2:$C$500,3,FALSE()),"mã đơn chưa có"))</f>
        <v/>
      </c>
      <c r="C1953" s="8"/>
      <c r="D1953" s="8"/>
      <c r="E1953" s="8"/>
      <c r="F1953" s="13"/>
      <c r="G1953" s="14"/>
      <c r="H1953" s="8"/>
      <c r="I1953" s="11" t="str">
        <f aca="false">IF(OR(F1953="",G1953=""),"",ROUND(F1953*G1953,0))</f>
        <v/>
      </c>
    </row>
    <row r="1954" customFormat="false" ht="15" hidden="false" customHeight="false" outlineLevel="0" collapsed="false">
      <c r="A1954" s="8"/>
      <c r="B1954" s="10" t="str">
        <f aca="false">IF(A1954="","",IFERROR(VLOOKUP(A1954,DonHang!$A$2:$C$500,3,FALSE()),"mã đơn chưa có"))</f>
        <v/>
      </c>
      <c r="C1954" s="8"/>
      <c r="D1954" s="8"/>
      <c r="E1954" s="8"/>
      <c r="F1954" s="13"/>
      <c r="G1954" s="14"/>
      <c r="H1954" s="8"/>
      <c r="I1954" s="11" t="str">
        <f aca="false">IF(OR(F1954="",G1954=""),"",ROUND(F1954*G1954,0))</f>
        <v/>
      </c>
    </row>
    <row r="1955" customFormat="false" ht="15" hidden="false" customHeight="false" outlineLevel="0" collapsed="false">
      <c r="A1955" s="8"/>
      <c r="B1955" s="10" t="str">
        <f aca="false">IF(A1955="","",IFERROR(VLOOKUP(A1955,DonHang!$A$2:$C$500,3,FALSE()),"mã đơn chưa có"))</f>
        <v/>
      </c>
      <c r="C1955" s="8"/>
      <c r="D1955" s="8"/>
      <c r="E1955" s="8"/>
      <c r="F1955" s="13"/>
      <c r="G1955" s="14"/>
      <c r="H1955" s="8"/>
      <c r="I1955" s="11" t="str">
        <f aca="false">IF(OR(F1955="",G1955=""),"",ROUND(F1955*G1955,0))</f>
        <v/>
      </c>
    </row>
    <row r="1956" customFormat="false" ht="15" hidden="false" customHeight="false" outlineLevel="0" collapsed="false">
      <c r="A1956" s="8"/>
      <c r="B1956" s="10" t="str">
        <f aca="false">IF(A1956="","",IFERROR(VLOOKUP(A1956,DonHang!$A$2:$C$500,3,FALSE()),"mã đơn chưa có"))</f>
        <v/>
      </c>
      <c r="C1956" s="8"/>
      <c r="D1956" s="8"/>
      <c r="E1956" s="8"/>
      <c r="F1956" s="13"/>
      <c r="G1956" s="14"/>
      <c r="H1956" s="8"/>
      <c r="I1956" s="11" t="str">
        <f aca="false">IF(OR(F1956="",G1956=""),"",ROUND(F1956*G1956,0))</f>
        <v/>
      </c>
    </row>
    <row r="1957" customFormat="false" ht="15" hidden="false" customHeight="false" outlineLevel="0" collapsed="false">
      <c r="A1957" s="8"/>
      <c r="B1957" s="10" t="str">
        <f aca="false">IF(A1957="","",IFERROR(VLOOKUP(A1957,DonHang!$A$2:$C$500,3,FALSE()),"mã đơn chưa có"))</f>
        <v/>
      </c>
      <c r="C1957" s="8"/>
      <c r="D1957" s="8"/>
      <c r="E1957" s="8"/>
      <c r="F1957" s="13"/>
      <c r="G1957" s="14"/>
      <c r="H1957" s="8"/>
      <c r="I1957" s="11" t="str">
        <f aca="false">IF(OR(F1957="",G1957=""),"",ROUND(F1957*G1957,0))</f>
        <v/>
      </c>
    </row>
    <row r="1958" customFormat="false" ht="15" hidden="false" customHeight="false" outlineLevel="0" collapsed="false">
      <c r="A1958" s="8"/>
      <c r="B1958" s="10" t="str">
        <f aca="false">IF(A1958="","",IFERROR(VLOOKUP(A1958,DonHang!$A$2:$C$500,3,FALSE()),"mã đơn chưa có"))</f>
        <v/>
      </c>
      <c r="C1958" s="8"/>
      <c r="D1958" s="8"/>
      <c r="E1958" s="8"/>
      <c r="F1958" s="13"/>
      <c r="G1958" s="14"/>
      <c r="H1958" s="8"/>
      <c r="I1958" s="11" t="str">
        <f aca="false">IF(OR(F1958="",G1958=""),"",ROUND(F1958*G1958,0))</f>
        <v/>
      </c>
    </row>
    <row r="1959" customFormat="false" ht="15" hidden="false" customHeight="false" outlineLevel="0" collapsed="false">
      <c r="A1959" s="8"/>
      <c r="B1959" s="10" t="str">
        <f aca="false">IF(A1959="","",IFERROR(VLOOKUP(A1959,DonHang!$A$2:$C$500,3,FALSE()),"mã đơn chưa có"))</f>
        <v/>
      </c>
      <c r="C1959" s="8"/>
      <c r="D1959" s="8"/>
      <c r="E1959" s="8"/>
      <c r="F1959" s="13"/>
      <c r="G1959" s="14"/>
      <c r="H1959" s="8"/>
      <c r="I1959" s="11" t="str">
        <f aca="false">IF(OR(F1959="",G1959=""),"",ROUND(F1959*G1959,0))</f>
        <v/>
      </c>
    </row>
    <row r="1960" customFormat="false" ht="15" hidden="false" customHeight="false" outlineLevel="0" collapsed="false">
      <c r="A1960" s="8"/>
      <c r="B1960" s="10" t="str">
        <f aca="false">IF(A1960="","",IFERROR(VLOOKUP(A1960,DonHang!$A$2:$C$500,3,FALSE()),"mã đơn chưa có"))</f>
        <v/>
      </c>
      <c r="C1960" s="8"/>
      <c r="D1960" s="8"/>
      <c r="E1960" s="8"/>
      <c r="F1960" s="13"/>
      <c r="G1960" s="14"/>
      <c r="H1960" s="8"/>
      <c r="I1960" s="11" t="str">
        <f aca="false">IF(OR(F1960="",G1960=""),"",ROUND(F1960*G1960,0))</f>
        <v/>
      </c>
    </row>
    <row r="1961" customFormat="false" ht="15" hidden="false" customHeight="false" outlineLevel="0" collapsed="false">
      <c r="A1961" s="8"/>
      <c r="B1961" s="10" t="str">
        <f aca="false">IF(A1961="","",IFERROR(VLOOKUP(A1961,DonHang!$A$2:$C$500,3,FALSE()),"mã đơn chưa có"))</f>
        <v/>
      </c>
      <c r="C1961" s="8"/>
      <c r="D1961" s="8"/>
      <c r="E1961" s="8"/>
      <c r="F1961" s="13"/>
      <c r="G1961" s="14"/>
      <c r="H1961" s="8"/>
      <c r="I1961" s="11" t="str">
        <f aca="false">IF(OR(F1961="",G1961=""),"",ROUND(F1961*G1961,0))</f>
        <v/>
      </c>
    </row>
    <row r="1962" customFormat="false" ht="15" hidden="false" customHeight="false" outlineLevel="0" collapsed="false">
      <c r="A1962" s="8"/>
      <c r="B1962" s="10" t="str">
        <f aca="false">IF(A1962="","",IFERROR(VLOOKUP(A1962,DonHang!$A$2:$C$500,3,FALSE()),"mã đơn chưa có"))</f>
        <v/>
      </c>
      <c r="C1962" s="8"/>
      <c r="D1962" s="8"/>
      <c r="E1962" s="8"/>
      <c r="F1962" s="13"/>
      <c r="G1962" s="14"/>
      <c r="H1962" s="8"/>
      <c r="I1962" s="11" t="str">
        <f aca="false">IF(OR(F1962="",G1962=""),"",ROUND(F1962*G1962,0))</f>
        <v/>
      </c>
    </row>
    <row r="1963" customFormat="false" ht="15" hidden="false" customHeight="false" outlineLevel="0" collapsed="false">
      <c r="A1963" s="8"/>
      <c r="B1963" s="10" t="str">
        <f aca="false">IF(A1963="","",IFERROR(VLOOKUP(A1963,DonHang!$A$2:$C$500,3,FALSE()),"mã đơn chưa có"))</f>
        <v/>
      </c>
      <c r="C1963" s="8"/>
      <c r="D1963" s="8"/>
      <c r="E1963" s="8"/>
      <c r="F1963" s="13"/>
      <c r="G1963" s="14"/>
      <c r="H1963" s="8"/>
      <c r="I1963" s="11" t="str">
        <f aca="false">IF(OR(F1963="",G1963=""),"",ROUND(F1963*G1963,0))</f>
        <v/>
      </c>
    </row>
    <row r="1964" customFormat="false" ht="15" hidden="false" customHeight="false" outlineLevel="0" collapsed="false">
      <c r="A1964" s="8"/>
      <c r="B1964" s="10" t="str">
        <f aca="false">IF(A1964="","",IFERROR(VLOOKUP(A1964,DonHang!$A$2:$C$500,3,FALSE()),"mã đơn chưa có"))</f>
        <v/>
      </c>
      <c r="C1964" s="8"/>
      <c r="D1964" s="8"/>
      <c r="E1964" s="8"/>
      <c r="F1964" s="13"/>
      <c r="G1964" s="14"/>
      <c r="H1964" s="8"/>
      <c r="I1964" s="11" t="str">
        <f aca="false">IF(OR(F1964="",G1964=""),"",ROUND(F1964*G1964,0))</f>
        <v/>
      </c>
    </row>
    <row r="1965" customFormat="false" ht="15" hidden="false" customHeight="false" outlineLevel="0" collapsed="false">
      <c r="A1965" s="8"/>
      <c r="B1965" s="10" t="str">
        <f aca="false">IF(A1965="","",IFERROR(VLOOKUP(A1965,DonHang!$A$2:$C$500,3,FALSE()),"mã đơn chưa có"))</f>
        <v/>
      </c>
      <c r="C1965" s="8"/>
      <c r="D1965" s="8"/>
      <c r="E1965" s="8"/>
      <c r="F1965" s="13"/>
      <c r="G1965" s="14"/>
      <c r="H1965" s="8"/>
      <c r="I1965" s="11" t="str">
        <f aca="false">IF(OR(F1965="",G1965=""),"",ROUND(F1965*G1965,0))</f>
        <v/>
      </c>
    </row>
    <row r="1966" customFormat="false" ht="15" hidden="false" customHeight="false" outlineLevel="0" collapsed="false">
      <c r="A1966" s="8"/>
      <c r="B1966" s="10" t="str">
        <f aca="false">IF(A1966="","",IFERROR(VLOOKUP(A1966,DonHang!$A$2:$C$500,3,FALSE()),"mã đơn chưa có"))</f>
        <v/>
      </c>
      <c r="C1966" s="8"/>
      <c r="D1966" s="8"/>
      <c r="E1966" s="8"/>
      <c r="F1966" s="13"/>
      <c r="G1966" s="14"/>
      <c r="H1966" s="8"/>
      <c r="I1966" s="11" t="str">
        <f aca="false">IF(OR(F1966="",G1966=""),"",ROUND(F1966*G1966,0))</f>
        <v/>
      </c>
    </row>
    <row r="1967" customFormat="false" ht="15" hidden="false" customHeight="false" outlineLevel="0" collapsed="false">
      <c r="A1967" s="8"/>
      <c r="B1967" s="10" t="str">
        <f aca="false">IF(A1967="","",IFERROR(VLOOKUP(A1967,DonHang!$A$2:$C$500,3,FALSE()),"mã đơn chưa có"))</f>
        <v/>
      </c>
      <c r="C1967" s="8"/>
      <c r="D1967" s="8"/>
      <c r="E1967" s="8"/>
      <c r="F1967" s="13"/>
      <c r="G1967" s="14"/>
      <c r="H1967" s="8"/>
      <c r="I1967" s="11" t="str">
        <f aca="false">IF(OR(F1967="",G1967=""),"",ROUND(F1967*G1967,0))</f>
        <v/>
      </c>
    </row>
    <row r="1968" customFormat="false" ht="15" hidden="false" customHeight="false" outlineLevel="0" collapsed="false">
      <c r="A1968" s="8"/>
      <c r="B1968" s="10" t="str">
        <f aca="false">IF(A1968="","",IFERROR(VLOOKUP(A1968,DonHang!$A$2:$C$500,3,FALSE()),"mã đơn chưa có"))</f>
        <v/>
      </c>
      <c r="C1968" s="8"/>
      <c r="D1968" s="8"/>
      <c r="E1968" s="8"/>
      <c r="F1968" s="13"/>
      <c r="G1968" s="14"/>
      <c r="H1968" s="8"/>
      <c r="I1968" s="11" t="str">
        <f aca="false">IF(OR(F1968="",G1968=""),"",ROUND(F1968*G1968,0))</f>
        <v/>
      </c>
    </row>
    <row r="1969" customFormat="false" ht="15" hidden="false" customHeight="false" outlineLevel="0" collapsed="false">
      <c r="A1969" s="8"/>
      <c r="B1969" s="10" t="str">
        <f aca="false">IF(A1969="","",IFERROR(VLOOKUP(A1969,DonHang!$A$2:$C$500,3,FALSE()),"mã đơn chưa có"))</f>
        <v/>
      </c>
      <c r="C1969" s="8"/>
      <c r="D1969" s="8"/>
      <c r="E1969" s="8"/>
      <c r="F1969" s="13"/>
      <c r="G1969" s="14"/>
      <c r="H1969" s="8"/>
      <c r="I1969" s="11" t="str">
        <f aca="false">IF(OR(F1969="",G1969=""),"",ROUND(F1969*G1969,0))</f>
        <v/>
      </c>
    </row>
    <row r="1970" customFormat="false" ht="15" hidden="false" customHeight="false" outlineLevel="0" collapsed="false">
      <c r="A1970" s="8"/>
      <c r="B1970" s="10" t="str">
        <f aca="false">IF(A1970="","",IFERROR(VLOOKUP(A1970,DonHang!$A$2:$C$500,3,FALSE()),"mã đơn chưa có"))</f>
        <v/>
      </c>
      <c r="C1970" s="8"/>
      <c r="D1970" s="8"/>
      <c r="E1970" s="8"/>
      <c r="F1970" s="13"/>
      <c r="G1970" s="14"/>
      <c r="H1970" s="8"/>
      <c r="I1970" s="11" t="str">
        <f aca="false">IF(OR(F1970="",G1970=""),"",ROUND(F1970*G1970,0))</f>
        <v/>
      </c>
    </row>
    <row r="1971" customFormat="false" ht="15" hidden="false" customHeight="false" outlineLevel="0" collapsed="false">
      <c r="A1971" s="8"/>
      <c r="B1971" s="10" t="str">
        <f aca="false">IF(A1971="","",IFERROR(VLOOKUP(A1971,DonHang!$A$2:$C$500,3,FALSE()),"mã đơn chưa có"))</f>
        <v/>
      </c>
      <c r="C1971" s="8"/>
      <c r="D1971" s="8"/>
      <c r="E1971" s="8"/>
      <c r="F1971" s="13"/>
      <c r="G1971" s="14"/>
      <c r="H1971" s="8"/>
      <c r="I1971" s="11" t="str">
        <f aca="false">IF(OR(F1971="",G1971=""),"",ROUND(F1971*G1971,0))</f>
        <v/>
      </c>
    </row>
    <row r="1972" customFormat="false" ht="15" hidden="false" customHeight="false" outlineLevel="0" collapsed="false">
      <c r="A1972" s="8"/>
      <c r="B1972" s="10" t="str">
        <f aca="false">IF(A1972="","",IFERROR(VLOOKUP(A1972,DonHang!$A$2:$C$500,3,FALSE()),"mã đơn chưa có"))</f>
        <v/>
      </c>
      <c r="C1972" s="8"/>
      <c r="D1972" s="8"/>
      <c r="E1972" s="8"/>
      <c r="F1972" s="13"/>
      <c r="G1972" s="14"/>
      <c r="H1972" s="8"/>
      <c r="I1972" s="11" t="str">
        <f aca="false">IF(OR(F1972="",G1972=""),"",ROUND(F1972*G1972,0))</f>
        <v/>
      </c>
    </row>
    <row r="1973" customFormat="false" ht="15" hidden="false" customHeight="false" outlineLevel="0" collapsed="false">
      <c r="A1973" s="8"/>
      <c r="B1973" s="10" t="str">
        <f aca="false">IF(A1973="","",IFERROR(VLOOKUP(A1973,DonHang!$A$2:$C$500,3,FALSE()),"mã đơn chưa có"))</f>
        <v/>
      </c>
      <c r="C1973" s="8"/>
      <c r="D1973" s="8"/>
      <c r="E1973" s="8"/>
      <c r="F1973" s="13"/>
      <c r="G1973" s="14"/>
      <c r="H1973" s="8"/>
      <c r="I1973" s="11" t="str">
        <f aca="false">IF(OR(F1973="",G1973=""),"",ROUND(F1973*G1973,0))</f>
        <v/>
      </c>
    </row>
    <row r="1974" customFormat="false" ht="15" hidden="false" customHeight="false" outlineLevel="0" collapsed="false">
      <c r="A1974" s="8"/>
      <c r="B1974" s="10" t="str">
        <f aca="false">IF(A1974="","",IFERROR(VLOOKUP(A1974,DonHang!$A$2:$C$500,3,FALSE()),"mã đơn chưa có"))</f>
        <v/>
      </c>
      <c r="C1974" s="8"/>
      <c r="D1974" s="8"/>
      <c r="E1974" s="8"/>
      <c r="F1974" s="13"/>
      <c r="G1974" s="14"/>
      <c r="H1974" s="8"/>
      <c r="I1974" s="11" t="str">
        <f aca="false">IF(OR(F1974="",G1974=""),"",ROUND(F1974*G1974,0))</f>
        <v/>
      </c>
    </row>
    <row r="1975" customFormat="false" ht="15" hidden="false" customHeight="false" outlineLevel="0" collapsed="false">
      <c r="A1975" s="8"/>
      <c r="B1975" s="10" t="str">
        <f aca="false">IF(A1975="","",IFERROR(VLOOKUP(A1975,DonHang!$A$2:$C$500,3,FALSE()),"mã đơn chưa có"))</f>
        <v/>
      </c>
      <c r="C1975" s="8"/>
      <c r="D1975" s="8"/>
      <c r="E1975" s="8"/>
      <c r="F1975" s="13"/>
      <c r="G1975" s="14"/>
      <c r="H1975" s="8"/>
      <c r="I1975" s="11" t="str">
        <f aca="false">IF(OR(F1975="",G1975=""),"",ROUND(F1975*G1975,0))</f>
        <v/>
      </c>
    </row>
    <row r="1976" customFormat="false" ht="15" hidden="false" customHeight="false" outlineLevel="0" collapsed="false">
      <c r="A1976" s="8"/>
      <c r="B1976" s="10" t="str">
        <f aca="false">IF(A1976="","",IFERROR(VLOOKUP(A1976,DonHang!$A$2:$C$500,3,FALSE()),"mã đơn chưa có"))</f>
        <v/>
      </c>
      <c r="C1976" s="8"/>
      <c r="D1976" s="8"/>
      <c r="E1976" s="8"/>
      <c r="F1976" s="13"/>
      <c r="G1976" s="14"/>
      <c r="H1976" s="8"/>
      <c r="I1976" s="11" t="str">
        <f aca="false">IF(OR(F1976="",G1976=""),"",ROUND(F1976*G1976,0))</f>
        <v/>
      </c>
    </row>
    <row r="1977" customFormat="false" ht="15" hidden="false" customHeight="false" outlineLevel="0" collapsed="false">
      <c r="A1977" s="8"/>
      <c r="B1977" s="10" t="str">
        <f aca="false">IF(A1977="","",IFERROR(VLOOKUP(A1977,DonHang!$A$2:$C$500,3,FALSE()),"mã đơn chưa có"))</f>
        <v/>
      </c>
      <c r="C1977" s="8"/>
      <c r="D1977" s="8"/>
      <c r="E1977" s="8"/>
      <c r="F1977" s="13"/>
      <c r="G1977" s="14"/>
      <c r="H1977" s="8"/>
      <c r="I1977" s="11" t="str">
        <f aca="false">IF(OR(F1977="",G1977=""),"",ROUND(F1977*G1977,0))</f>
        <v/>
      </c>
    </row>
    <row r="1978" customFormat="false" ht="15" hidden="false" customHeight="false" outlineLevel="0" collapsed="false">
      <c r="A1978" s="8"/>
      <c r="B1978" s="10" t="str">
        <f aca="false">IF(A1978="","",IFERROR(VLOOKUP(A1978,DonHang!$A$2:$C$500,3,FALSE()),"mã đơn chưa có"))</f>
        <v/>
      </c>
      <c r="C1978" s="8"/>
      <c r="D1978" s="8"/>
      <c r="E1978" s="8"/>
      <c r="F1978" s="13"/>
      <c r="G1978" s="14"/>
      <c r="H1978" s="8"/>
      <c r="I1978" s="11" t="str">
        <f aca="false">IF(OR(F1978="",G1978=""),"",ROUND(F1978*G1978,0))</f>
        <v/>
      </c>
    </row>
    <row r="1979" customFormat="false" ht="15" hidden="false" customHeight="false" outlineLevel="0" collapsed="false">
      <c r="A1979" s="8"/>
      <c r="B1979" s="10" t="str">
        <f aca="false">IF(A1979="","",IFERROR(VLOOKUP(A1979,DonHang!$A$2:$C$500,3,FALSE()),"mã đơn chưa có"))</f>
        <v/>
      </c>
      <c r="C1979" s="8"/>
      <c r="D1979" s="8"/>
      <c r="E1979" s="8"/>
      <c r="F1979" s="13"/>
      <c r="G1979" s="14"/>
      <c r="H1979" s="8"/>
      <c r="I1979" s="11" t="str">
        <f aca="false">IF(OR(F1979="",G1979=""),"",ROUND(F1979*G1979,0))</f>
        <v/>
      </c>
    </row>
    <row r="1980" customFormat="false" ht="15" hidden="false" customHeight="false" outlineLevel="0" collapsed="false">
      <c r="A1980" s="8"/>
      <c r="B1980" s="10" t="str">
        <f aca="false">IF(A1980="","",IFERROR(VLOOKUP(A1980,DonHang!$A$2:$C$500,3,FALSE()),"mã đơn chưa có"))</f>
        <v/>
      </c>
      <c r="C1980" s="8"/>
      <c r="D1980" s="8"/>
      <c r="E1980" s="8"/>
      <c r="F1980" s="13"/>
      <c r="G1980" s="14"/>
      <c r="H1980" s="8"/>
      <c r="I1980" s="11" t="str">
        <f aca="false">IF(OR(F1980="",G1980=""),"",ROUND(F1980*G1980,0))</f>
        <v/>
      </c>
    </row>
    <row r="1981" customFormat="false" ht="15" hidden="false" customHeight="false" outlineLevel="0" collapsed="false">
      <c r="A1981" s="8"/>
      <c r="B1981" s="10" t="str">
        <f aca="false">IF(A1981="","",IFERROR(VLOOKUP(A1981,DonHang!$A$2:$C$500,3,FALSE()),"mã đơn chưa có"))</f>
        <v/>
      </c>
      <c r="C1981" s="8"/>
      <c r="D1981" s="8"/>
      <c r="E1981" s="8"/>
      <c r="F1981" s="13"/>
      <c r="G1981" s="14"/>
      <c r="H1981" s="8"/>
      <c r="I1981" s="11" t="str">
        <f aca="false">IF(OR(F1981="",G1981=""),"",ROUND(F1981*G1981,0))</f>
        <v/>
      </c>
    </row>
    <row r="1982" customFormat="false" ht="15" hidden="false" customHeight="false" outlineLevel="0" collapsed="false">
      <c r="A1982" s="8"/>
      <c r="B1982" s="10" t="str">
        <f aca="false">IF(A1982="","",IFERROR(VLOOKUP(A1982,DonHang!$A$2:$C$500,3,FALSE()),"mã đơn chưa có"))</f>
        <v/>
      </c>
      <c r="C1982" s="8"/>
      <c r="D1982" s="8"/>
      <c r="E1982" s="8"/>
      <c r="F1982" s="13"/>
      <c r="G1982" s="14"/>
      <c r="H1982" s="8"/>
      <c r="I1982" s="11" t="str">
        <f aca="false">IF(OR(F1982="",G1982=""),"",ROUND(F1982*G1982,0))</f>
        <v/>
      </c>
    </row>
    <row r="1983" customFormat="false" ht="15" hidden="false" customHeight="false" outlineLevel="0" collapsed="false">
      <c r="A1983" s="8"/>
      <c r="B1983" s="10" t="str">
        <f aca="false">IF(A1983="","",IFERROR(VLOOKUP(A1983,DonHang!$A$2:$C$500,3,FALSE()),"mã đơn chưa có"))</f>
        <v/>
      </c>
      <c r="C1983" s="8"/>
      <c r="D1983" s="8"/>
      <c r="E1983" s="8"/>
      <c r="F1983" s="13"/>
      <c r="G1983" s="14"/>
      <c r="H1983" s="8"/>
      <c r="I1983" s="11" t="str">
        <f aca="false">IF(OR(F1983="",G1983=""),"",ROUND(F1983*G1983,0))</f>
        <v/>
      </c>
    </row>
    <row r="1984" customFormat="false" ht="15" hidden="false" customHeight="false" outlineLevel="0" collapsed="false">
      <c r="A1984" s="8"/>
      <c r="B1984" s="10" t="str">
        <f aca="false">IF(A1984="","",IFERROR(VLOOKUP(A1984,DonHang!$A$2:$C$500,3,FALSE()),"mã đơn chưa có"))</f>
        <v/>
      </c>
      <c r="C1984" s="8"/>
      <c r="D1984" s="8"/>
      <c r="E1984" s="8"/>
      <c r="F1984" s="13"/>
      <c r="G1984" s="14"/>
      <c r="H1984" s="8"/>
      <c r="I1984" s="11" t="str">
        <f aca="false">IF(OR(F1984="",G1984=""),"",ROUND(F1984*G1984,0))</f>
        <v/>
      </c>
    </row>
    <row r="1985" customFormat="false" ht="15" hidden="false" customHeight="false" outlineLevel="0" collapsed="false">
      <c r="A1985" s="8"/>
      <c r="B1985" s="10" t="str">
        <f aca="false">IF(A1985="","",IFERROR(VLOOKUP(A1985,DonHang!$A$2:$C$500,3,FALSE()),"mã đơn chưa có"))</f>
        <v/>
      </c>
      <c r="C1985" s="8"/>
      <c r="D1985" s="8"/>
      <c r="E1985" s="8"/>
      <c r="F1985" s="13"/>
      <c r="G1985" s="14"/>
      <c r="H1985" s="8"/>
      <c r="I1985" s="11" t="str">
        <f aca="false">IF(OR(F1985="",G1985=""),"",ROUND(F1985*G1985,0))</f>
        <v/>
      </c>
    </row>
    <row r="1986" customFormat="false" ht="15" hidden="false" customHeight="false" outlineLevel="0" collapsed="false">
      <c r="A1986" s="8"/>
      <c r="B1986" s="10" t="str">
        <f aca="false">IF(A1986="","",IFERROR(VLOOKUP(A1986,DonHang!$A$2:$C$500,3,FALSE()),"mã đơn chưa có"))</f>
        <v/>
      </c>
      <c r="C1986" s="8"/>
      <c r="D1986" s="8"/>
      <c r="E1986" s="8"/>
      <c r="F1986" s="13"/>
      <c r="G1986" s="14"/>
      <c r="H1986" s="8"/>
      <c r="I1986" s="11" t="str">
        <f aca="false">IF(OR(F1986="",G1986=""),"",ROUND(F1986*G1986,0))</f>
        <v/>
      </c>
    </row>
    <row r="1987" customFormat="false" ht="15" hidden="false" customHeight="false" outlineLevel="0" collapsed="false">
      <c r="A1987" s="8"/>
      <c r="B1987" s="10" t="str">
        <f aca="false">IF(A1987="","",IFERROR(VLOOKUP(A1987,DonHang!$A$2:$C$500,3,FALSE()),"mã đơn chưa có"))</f>
        <v/>
      </c>
      <c r="C1987" s="8"/>
      <c r="D1987" s="8"/>
      <c r="E1987" s="8"/>
      <c r="F1987" s="13"/>
      <c r="G1987" s="14"/>
      <c r="H1987" s="8"/>
      <c r="I1987" s="11" t="str">
        <f aca="false">IF(OR(F1987="",G1987=""),"",ROUND(F1987*G1987,0))</f>
        <v/>
      </c>
    </row>
    <row r="1988" customFormat="false" ht="15" hidden="false" customHeight="false" outlineLevel="0" collapsed="false">
      <c r="A1988" s="8"/>
      <c r="B1988" s="10" t="str">
        <f aca="false">IF(A1988="","",IFERROR(VLOOKUP(A1988,DonHang!$A$2:$C$500,3,FALSE()),"mã đơn chưa có"))</f>
        <v/>
      </c>
      <c r="C1988" s="8"/>
      <c r="D1988" s="8"/>
      <c r="E1988" s="8"/>
      <c r="F1988" s="13"/>
      <c r="G1988" s="14"/>
      <c r="H1988" s="8"/>
      <c r="I1988" s="11" t="str">
        <f aca="false">IF(OR(F1988="",G1988=""),"",ROUND(F1988*G1988,0))</f>
        <v/>
      </c>
    </row>
    <row r="1989" customFormat="false" ht="15" hidden="false" customHeight="false" outlineLevel="0" collapsed="false">
      <c r="A1989" s="8"/>
      <c r="B1989" s="10" t="str">
        <f aca="false">IF(A1989="","",IFERROR(VLOOKUP(A1989,DonHang!$A$2:$C$500,3,FALSE()),"mã đơn chưa có"))</f>
        <v/>
      </c>
      <c r="C1989" s="8"/>
      <c r="D1989" s="8"/>
      <c r="E1989" s="8"/>
      <c r="F1989" s="13"/>
      <c r="G1989" s="14"/>
      <c r="H1989" s="8"/>
      <c r="I1989" s="11" t="str">
        <f aca="false">IF(OR(F1989="",G1989=""),"",ROUND(F1989*G1989,0))</f>
        <v/>
      </c>
    </row>
    <row r="1990" customFormat="false" ht="15" hidden="false" customHeight="false" outlineLevel="0" collapsed="false">
      <c r="A1990" s="8"/>
      <c r="B1990" s="10" t="str">
        <f aca="false">IF(A1990="","",IFERROR(VLOOKUP(A1990,DonHang!$A$2:$C$500,3,FALSE()),"mã đơn chưa có"))</f>
        <v/>
      </c>
      <c r="C1990" s="8"/>
      <c r="D1990" s="8"/>
      <c r="E1990" s="8"/>
      <c r="F1990" s="13"/>
      <c r="G1990" s="14"/>
      <c r="H1990" s="8"/>
      <c r="I1990" s="11" t="str">
        <f aca="false">IF(OR(F1990="",G1990=""),"",ROUND(F1990*G1990,0))</f>
        <v/>
      </c>
    </row>
    <row r="1991" customFormat="false" ht="15" hidden="false" customHeight="false" outlineLevel="0" collapsed="false">
      <c r="A1991" s="8"/>
      <c r="B1991" s="10" t="str">
        <f aca="false">IF(A1991="","",IFERROR(VLOOKUP(A1991,DonHang!$A$2:$C$500,3,FALSE()),"mã đơn chưa có"))</f>
        <v/>
      </c>
      <c r="C1991" s="8"/>
      <c r="D1991" s="8"/>
      <c r="E1991" s="8"/>
      <c r="F1991" s="13"/>
      <c r="G1991" s="14"/>
      <c r="H1991" s="8"/>
      <c r="I1991" s="11" t="str">
        <f aca="false">IF(OR(F1991="",G1991=""),"",ROUND(F1991*G1991,0))</f>
        <v/>
      </c>
    </row>
    <row r="1992" customFormat="false" ht="15" hidden="false" customHeight="false" outlineLevel="0" collapsed="false">
      <c r="A1992" s="8"/>
      <c r="B1992" s="10" t="str">
        <f aca="false">IF(A1992="","",IFERROR(VLOOKUP(A1992,DonHang!$A$2:$C$500,3,FALSE()),"mã đơn chưa có"))</f>
        <v/>
      </c>
      <c r="C1992" s="8"/>
      <c r="D1992" s="8"/>
      <c r="E1992" s="8"/>
      <c r="F1992" s="13"/>
      <c r="G1992" s="14"/>
      <c r="H1992" s="8"/>
      <c r="I1992" s="11" t="str">
        <f aca="false">IF(OR(F1992="",G1992=""),"",ROUND(F1992*G1992,0))</f>
        <v/>
      </c>
    </row>
    <row r="1993" customFormat="false" ht="15" hidden="false" customHeight="false" outlineLevel="0" collapsed="false">
      <c r="A1993" s="8"/>
      <c r="B1993" s="10" t="str">
        <f aca="false">IF(A1993="","",IFERROR(VLOOKUP(A1993,DonHang!$A$2:$C$500,3,FALSE()),"mã đơn chưa có"))</f>
        <v/>
      </c>
      <c r="C1993" s="8"/>
      <c r="D1993" s="8"/>
      <c r="E1993" s="8"/>
      <c r="F1993" s="13"/>
      <c r="G1993" s="14"/>
      <c r="H1993" s="8"/>
      <c r="I1993" s="11" t="str">
        <f aca="false">IF(OR(F1993="",G1993=""),"",ROUND(F1993*G1993,0))</f>
        <v/>
      </c>
    </row>
    <row r="1994" customFormat="false" ht="15" hidden="false" customHeight="false" outlineLevel="0" collapsed="false">
      <c r="A1994" s="8"/>
      <c r="B1994" s="10" t="str">
        <f aca="false">IF(A1994="","",IFERROR(VLOOKUP(A1994,DonHang!$A$2:$C$500,3,FALSE()),"mã đơn chưa có"))</f>
        <v/>
      </c>
      <c r="C1994" s="8"/>
      <c r="D1994" s="8"/>
      <c r="E1994" s="8"/>
      <c r="F1994" s="13"/>
      <c r="G1994" s="14"/>
      <c r="H1994" s="8"/>
      <c r="I1994" s="11" t="str">
        <f aca="false">IF(OR(F1994="",G1994=""),"",ROUND(F1994*G1994,0))</f>
        <v/>
      </c>
    </row>
    <row r="1995" customFormat="false" ht="15" hidden="false" customHeight="false" outlineLevel="0" collapsed="false">
      <c r="A1995" s="8"/>
      <c r="B1995" s="10" t="str">
        <f aca="false">IF(A1995="","",IFERROR(VLOOKUP(A1995,DonHang!$A$2:$C$500,3,FALSE()),"mã đơn chưa có"))</f>
        <v/>
      </c>
      <c r="C1995" s="8"/>
      <c r="D1995" s="8"/>
      <c r="E1995" s="8"/>
      <c r="F1995" s="13"/>
      <c r="G1995" s="14"/>
      <c r="H1995" s="8"/>
      <c r="I1995" s="11" t="str">
        <f aca="false">IF(OR(F1995="",G1995=""),"",ROUND(F1995*G1995,0))</f>
        <v/>
      </c>
    </row>
    <row r="1996" customFormat="false" ht="15" hidden="false" customHeight="false" outlineLevel="0" collapsed="false">
      <c r="A1996" s="8"/>
      <c r="B1996" s="10" t="str">
        <f aca="false">IF(A1996="","",IFERROR(VLOOKUP(A1996,DonHang!$A$2:$C$500,3,FALSE()),"mã đơn chưa có"))</f>
        <v/>
      </c>
      <c r="C1996" s="8"/>
      <c r="D1996" s="8"/>
      <c r="E1996" s="8"/>
      <c r="F1996" s="13"/>
      <c r="G1996" s="14"/>
      <c r="H1996" s="8"/>
      <c r="I1996" s="11" t="str">
        <f aca="false">IF(OR(F1996="",G1996=""),"",ROUND(F1996*G1996,0))</f>
        <v/>
      </c>
    </row>
    <row r="1997" customFormat="false" ht="15" hidden="false" customHeight="false" outlineLevel="0" collapsed="false">
      <c r="A1997" s="8"/>
      <c r="B1997" s="10" t="str">
        <f aca="false">IF(A1997="","",IFERROR(VLOOKUP(A1997,DonHang!$A$2:$C$500,3,FALSE()),"mã đơn chưa có"))</f>
        <v/>
      </c>
      <c r="C1997" s="8"/>
      <c r="D1997" s="8"/>
      <c r="E1997" s="8"/>
      <c r="F1997" s="13"/>
      <c r="G1997" s="14"/>
      <c r="H1997" s="8"/>
      <c r="I1997" s="11" t="str">
        <f aca="false">IF(OR(F1997="",G1997=""),"",ROUND(F1997*G1997,0))</f>
        <v/>
      </c>
    </row>
    <row r="1998" customFormat="false" ht="15" hidden="false" customHeight="false" outlineLevel="0" collapsed="false">
      <c r="A1998" s="8"/>
      <c r="B1998" s="10" t="str">
        <f aca="false">IF(A1998="","",IFERROR(VLOOKUP(A1998,DonHang!$A$2:$C$500,3,FALSE()),"mã đơn chưa có"))</f>
        <v/>
      </c>
      <c r="C1998" s="8"/>
      <c r="D1998" s="8"/>
      <c r="E1998" s="8"/>
      <c r="F1998" s="13"/>
      <c r="G1998" s="14"/>
      <c r="H1998" s="8"/>
      <c r="I1998" s="11" t="str">
        <f aca="false">IF(OR(F1998="",G1998=""),"",ROUND(F1998*G1998,0))</f>
        <v/>
      </c>
    </row>
    <row r="1999" customFormat="false" ht="15" hidden="false" customHeight="false" outlineLevel="0" collapsed="false">
      <c r="A1999" s="8"/>
      <c r="B1999" s="10" t="str">
        <f aca="false">IF(A1999="","",IFERROR(VLOOKUP(A1999,DonHang!$A$2:$C$500,3,FALSE()),"mã đơn chưa có"))</f>
        <v/>
      </c>
      <c r="C1999" s="8"/>
      <c r="D1999" s="8"/>
      <c r="E1999" s="8"/>
      <c r="F1999" s="13"/>
      <c r="G1999" s="14"/>
      <c r="H1999" s="8"/>
      <c r="I1999" s="11" t="str">
        <f aca="false">IF(OR(F1999="",G1999=""),"",ROUND(F1999*G1999,0))</f>
        <v/>
      </c>
    </row>
    <row r="2000" customFormat="false" ht="15" hidden="false" customHeight="false" outlineLevel="0" collapsed="false">
      <c r="A2000" s="8"/>
      <c r="B2000" s="10" t="str">
        <f aca="false">IF(A2000="","",IFERROR(VLOOKUP(A2000,DonHang!$A$2:$C$500,3,FALSE()),"mã đơn chưa có"))</f>
        <v/>
      </c>
      <c r="C2000" s="8"/>
      <c r="D2000" s="8"/>
      <c r="E2000" s="8"/>
      <c r="F2000" s="13"/>
      <c r="G2000" s="14"/>
      <c r="H2000" s="8"/>
      <c r="I2000" s="11" t="str">
        <f aca="false">IF(OR(F2000="",G2000=""),"",ROUND(F2000*G2000,0))</f>
        <v/>
      </c>
    </row>
  </sheetData>
  <autoFilter ref="A1:I2000"/>
  <dataValidations count="1">
    <dataValidation allowBlank="true" error="Chọn một giá trị trong danh sách" errorStyle="stop" errorTitle="Sai giá trị" operator="between" showDropDown="false" showErrorMessage="true" showInputMessage="false" sqref="A2:A2000" type="list">
      <formula1>DonHang!$A$2:$A$500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30"/>
  </cols>
  <sheetData>
    <row r="1" customFormat="false" ht="36" hidden="false" customHeight="true" outlineLevel="0" collapsed="false">
      <c r="A1" s="7" t="s">
        <v>67</v>
      </c>
      <c r="B1" s="7" t="s">
        <v>11</v>
      </c>
      <c r="C1" s="7" t="s">
        <v>13</v>
      </c>
      <c r="D1" s="7" t="s">
        <v>68</v>
      </c>
      <c r="E1" s="7" t="s">
        <v>69</v>
      </c>
      <c r="F1" s="7" t="s">
        <v>70</v>
      </c>
      <c r="G1" s="7" t="s">
        <v>30</v>
      </c>
    </row>
    <row r="2" customFormat="false" ht="15" hidden="false" customHeight="false" outlineLevel="0" collapsed="false">
      <c r="A2" s="9"/>
      <c r="B2" s="8" t="s">
        <v>31</v>
      </c>
      <c r="C2" s="10" t="str">
        <f aca="false">IF(B2="","",IFERROR(VLOOKUP(B2,DonHang!$A$2:$C$500,3,FALSE()),"mã đơn chưa có"))</f>
        <v>CÔNG TY CỔ PHẦN CÔNG NGHỆ FATA</v>
      </c>
      <c r="D2" s="14" t="n">
        <v>130356000</v>
      </c>
      <c r="E2" s="8" t="s">
        <v>71</v>
      </c>
      <c r="F2" s="8" t="s">
        <v>72</v>
      </c>
      <c r="G2" s="8" t="s">
        <v>73</v>
      </c>
    </row>
    <row r="3" customFormat="false" ht="15" hidden="false" customHeight="false" outlineLevel="0" collapsed="false">
      <c r="A3" s="9"/>
      <c r="B3" s="8"/>
      <c r="C3" s="10" t="str">
        <f aca="false">IF(B3="","",IFERROR(VLOOKUP(B3,DonHang!$A$2:$C$500,3,FALSE()),"mã đơn chưa có"))</f>
        <v/>
      </c>
      <c r="D3" s="14"/>
      <c r="E3" s="8"/>
      <c r="F3" s="8"/>
      <c r="G3" s="8"/>
    </row>
    <row r="4" customFormat="false" ht="15" hidden="false" customHeight="false" outlineLevel="0" collapsed="false">
      <c r="A4" s="9"/>
      <c r="B4" s="8"/>
      <c r="C4" s="10" t="str">
        <f aca="false">IF(B4="","",IFERROR(VLOOKUP(B4,DonHang!$A$2:$C$500,3,FALSE()),"mã đơn chưa có"))</f>
        <v/>
      </c>
      <c r="D4" s="14"/>
      <c r="E4" s="8"/>
      <c r="F4" s="8"/>
      <c r="G4" s="8"/>
    </row>
    <row r="5" customFormat="false" ht="15" hidden="false" customHeight="false" outlineLevel="0" collapsed="false">
      <c r="A5" s="9"/>
      <c r="B5" s="8"/>
      <c r="C5" s="10" t="str">
        <f aca="false">IF(B5="","",IFERROR(VLOOKUP(B5,DonHang!$A$2:$C$500,3,FALSE()),"mã đơn chưa có"))</f>
        <v/>
      </c>
      <c r="D5" s="14"/>
      <c r="E5" s="8"/>
      <c r="F5" s="8"/>
      <c r="G5" s="8"/>
    </row>
    <row r="6" customFormat="false" ht="15" hidden="false" customHeight="false" outlineLevel="0" collapsed="false">
      <c r="A6" s="9"/>
      <c r="B6" s="8"/>
      <c r="C6" s="10" t="str">
        <f aca="false">IF(B6="","",IFERROR(VLOOKUP(B6,DonHang!$A$2:$C$500,3,FALSE()),"mã đơn chưa có"))</f>
        <v/>
      </c>
      <c r="D6" s="14"/>
      <c r="E6" s="8"/>
      <c r="F6" s="8"/>
      <c r="G6" s="8"/>
    </row>
    <row r="7" customFormat="false" ht="15" hidden="false" customHeight="false" outlineLevel="0" collapsed="false">
      <c r="A7" s="9"/>
      <c r="B7" s="8"/>
      <c r="C7" s="10" t="str">
        <f aca="false">IF(B7="","",IFERROR(VLOOKUP(B7,DonHang!$A$2:$C$500,3,FALSE()),"mã đơn chưa có"))</f>
        <v/>
      </c>
      <c r="D7" s="14"/>
      <c r="E7" s="8"/>
      <c r="F7" s="8"/>
      <c r="G7" s="8"/>
    </row>
    <row r="8" customFormat="false" ht="15" hidden="false" customHeight="false" outlineLevel="0" collapsed="false">
      <c r="A8" s="9"/>
      <c r="B8" s="8"/>
      <c r="C8" s="10" t="str">
        <f aca="false">IF(B8="","",IFERROR(VLOOKUP(B8,DonHang!$A$2:$C$500,3,FALSE()),"mã đơn chưa có"))</f>
        <v/>
      </c>
      <c r="D8" s="14"/>
      <c r="E8" s="8"/>
      <c r="F8" s="8"/>
      <c r="G8" s="8"/>
    </row>
    <row r="9" customFormat="false" ht="15" hidden="false" customHeight="false" outlineLevel="0" collapsed="false">
      <c r="A9" s="9"/>
      <c r="B9" s="8"/>
      <c r="C9" s="10" t="str">
        <f aca="false">IF(B9="","",IFERROR(VLOOKUP(B9,DonHang!$A$2:$C$500,3,FALSE()),"mã đơn chưa có"))</f>
        <v/>
      </c>
      <c r="D9" s="14"/>
      <c r="E9" s="8"/>
      <c r="F9" s="8"/>
      <c r="G9" s="8"/>
    </row>
    <row r="10" customFormat="false" ht="15" hidden="false" customHeight="false" outlineLevel="0" collapsed="false">
      <c r="A10" s="9"/>
      <c r="B10" s="8"/>
      <c r="C10" s="10" t="str">
        <f aca="false">IF(B10="","",IFERROR(VLOOKUP(B10,DonHang!$A$2:$C$500,3,FALSE()),"mã đơn chưa có"))</f>
        <v/>
      </c>
      <c r="D10" s="14"/>
      <c r="E10" s="8"/>
      <c r="F10" s="8"/>
      <c r="G10" s="8"/>
    </row>
    <row r="11" customFormat="false" ht="15" hidden="false" customHeight="false" outlineLevel="0" collapsed="false">
      <c r="A11" s="9"/>
      <c r="B11" s="8"/>
      <c r="C11" s="10" t="str">
        <f aca="false">IF(B11="","",IFERROR(VLOOKUP(B11,DonHang!$A$2:$C$500,3,FALSE()),"mã đơn chưa có"))</f>
        <v/>
      </c>
      <c r="D11" s="14"/>
      <c r="E11" s="8"/>
      <c r="F11" s="8"/>
      <c r="G11" s="8"/>
    </row>
    <row r="12" customFormat="false" ht="15" hidden="false" customHeight="false" outlineLevel="0" collapsed="false">
      <c r="A12" s="9"/>
      <c r="B12" s="8"/>
      <c r="C12" s="10" t="str">
        <f aca="false">IF(B12="","",IFERROR(VLOOKUP(B12,DonHang!$A$2:$C$500,3,FALSE()),"mã đơn chưa có"))</f>
        <v/>
      </c>
      <c r="D12" s="14"/>
      <c r="E12" s="8"/>
      <c r="F12" s="8"/>
      <c r="G12" s="8"/>
    </row>
    <row r="13" customFormat="false" ht="15" hidden="false" customHeight="false" outlineLevel="0" collapsed="false">
      <c r="A13" s="9"/>
      <c r="B13" s="8"/>
      <c r="C13" s="10" t="str">
        <f aca="false">IF(B13="","",IFERROR(VLOOKUP(B13,DonHang!$A$2:$C$500,3,FALSE()),"mã đơn chưa có"))</f>
        <v/>
      </c>
      <c r="D13" s="14"/>
      <c r="E13" s="8"/>
      <c r="F13" s="8"/>
      <c r="G13" s="8"/>
    </row>
    <row r="14" customFormat="false" ht="15" hidden="false" customHeight="false" outlineLevel="0" collapsed="false">
      <c r="A14" s="9"/>
      <c r="B14" s="8"/>
      <c r="C14" s="10" t="str">
        <f aca="false">IF(B14="","",IFERROR(VLOOKUP(B14,DonHang!$A$2:$C$500,3,FALSE()),"mã đơn chưa có"))</f>
        <v/>
      </c>
      <c r="D14" s="14"/>
      <c r="E14" s="8"/>
      <c r="F14" s="8"/>
      <c r="G14" s="8"/>
    </row>
    <row r="15" customFormat="false" ht="15" hidden="false" customHeight="false" outlineLevel="0" collapsed="false">
      <c r="A15" s="9"/>
      <c r="B15" s="8"/>
      <c r="C15" s="10" t="str">
        <f aca="false">IF(B15="","",IFERROR(VLOOKUP(B15,DonHang!$A$2:$C$500,3,FALSE()),"mã đơn chưa có"))</f>
        <v/>
      </c>
      <c r="D15" s="14"/>
      <c r="E15" s="8"/>
      <c r="F15" s="8"/>
      <c r="G15" s="8"/>
    </row>
    <row r="16" customFormat="false" ht="15" hidden="false" customHeight="false" outlineLevel="0" collapsed="false">
      <c r="A16" s="9"/>
      <c r="B16" s="8"/>
      <c r="C16" s="10" t="str">
        <f aca="false">IF(B16="","",IFERROR(VLOOKUP(B16,DonHang!$A$2:$C$500,3,FALSE()),"mã đơn chưa có"))</f>
        <v/>
      </c>
      <c r="D16" s="14"/>
      <c r="E16" s="8"/>
      <c r="F16" s="8"/>
      <c r="G16" s="8"/>
    </row>
    <row r="17" customFormat="false" ht="15" hidden="false" customHeight="false" outlineLevel="0" collapsed="false">
      <c r="A17" s="9"/>
      <c r="B17" s="8"/>
      <c r="C17" s="10" t="str">
        <f aca="false">IF(B17="","",IFERROR(VLOOKUP(B17,DonHang!$A$2:$C$500,3,FALSE()),"mã đơn chưa có"))</f>
        <v/>
      </c>
      <c r="D17" s="14"/>
      <c r="E17" s="8"/>
      <c r="F17" s="8"/>
      <c r="G17" s="8"/>
    </row>
    <row r="18" customFormat="false" ht="15" hidden="false" customHeight="false" outlineLevel="0" collapsed="false">
      <c r="A18" s="9"/>
      <c r="B18" s="8"/>
      <c r="C18" s="10" t="str">
        <f aca="false">IF(B18="","",IFERROR(VLOOKUP(B18,DonHang!$A$2:$C$500,3,FALSE()),"mã đơn chưa có"))</f>
        <v/>
      </c>
      <c r="D18" s="14"/>
      <c r="E18" s="8"/>
      <c r="F18" s="8"/>
      <c r="G18" s="8"/>
    </row>
    <row r="19" customFormat="false" ht="15" hidden="false" customHeight="false" outlineLevel="0" collapsed="false">
      <c r="A19" s="9"/>
      <c r="B19" s="8"/>
      <c r="C19" s="10" t="str">
        <f aca="false">IF(B19="","",IFERROR(VLOOKUP(B19,DonHang!$A$2:$C$500,3,FALSE()),"mã đơn chưa có"))</f>
        <v/>
      </c>
      <c r="D19" s="14"/>
      <c r="E19" s="8"/>
      <c r="F19" s="8"/>
      <c r="G19" s="8"/>
    </row>
    <row r="20" customFormat="false" ht="15" hidden="false" customHeight="false" outlineLevel="0" collapsed="false">
      <c r="A20" s="9"/>
      <c r="B20" s="8"/>
      <c r="C20" s="10" t="str">
        <f aca="false">IF(B20="","",IFERROR(VLOOKUP(B20,DonHang!$A$2:$C$500,3,FALSE()),"mã đơn chưa có"))</f>
        <v/>
      </c>
      <c r="D20" s="14"/>
      <c r="E20" s="8"/>
      <c r="F20" s="8"/>
      <c r="G20" s="8"/>
    </row>
    <row r="21" customFormat="false" ht="15" hidden="false" customHeight="false" outlineLevel="0" collapsed="false">
      <c r="A21" s="9"/>
      <c r="B21" s="8"/>
      <c r="C21" s="10" t="str">
        <f aca="false">IF(B21="","",IFERROR(VLOOKUP(B21,DonHang!$A$2:$C$500,3,FALSE()),"mã đơn chưa có"))</f>
        <v/>
      </c>
      <c r="D21" s="14"/>
      <c r="E21" s="8"/>
      <c r="F21" s="8"/>
      <c r="G21" s="8"/>
    </row>
    <row r="22" customFormat="false" ht="15" hidden="false" customHeight="false" outlineLevel="0" collapsed="false">
      <c r="A22" s="9"/>
      <c r="B22" s="8"/>
      <c r="C22" s="10" t="str">
        <f aca="false">IF(B22="","",IFERROR(VLOOKUP(B22,DonHang!$A$2:$C$500,3,FALSE()),"mã đơn chưa có"))</f>
        <v/>
      </c>
      <c r="D22" s="14"/>
      <c r="E22" s="8"/>
      <c r="F22" s="8"/>
      <c r="G22" s="8"/>
    </row>
    <row r="23" customFormat="false" ht="15" hidden="false" customHeight="false" outlineLevel="0" collapsed="false">
      <c r="A23" s="9"/>
      <c r="B23" s="8"/>
      <c r="C23" s="10" t="str">
        <f aca="false">IF(B23="","",IFERROR(VLOOKUP(B23,DonHang!$A$2:$C$500,3,FALSE()),"mã đơn chưa có"))</f>
        <v/>
      </c>
      <c r="D23" s="14"/>
      <c r="E23" s="8"/>
      <c r="F23" s="8"/>
      <c r="G23" s="8"/>
    </row>
    <row r="24" customFormat="false" ht="15" hidden="false" customHeight="false" outlineLevel="0" collapsed="false">
      <c r="A24" s="9"/>
      <c r="B24" s="8"/>
      <c r="C24" s="10" t="str">
        <f aca="false">IF(B24="","",IFERROR(VLOOKUP(B24,DonHang!$A$2:$C$500,3,FALSE()),"mã đơn chưa có"))</f>
        <v/>
      </c>
      <c r="D24" s="14"/>
      <c r="E24" s="8"/>
      <c r="F24" s="8"/>
      <c r="G24" s="8"/>
    </row>
    <row r="25" customFormat="false" ht="15" hidden="false" customHeight="false" outlineLevel="0" collapsed="false">
      <c r="A25" s="9"/>
      <c r="B25" s="8"/>
      <c r="C25" s="10" t="str">
        <f aca="false">IF(B25="","",IFERROR(VLOOKUP(B25,DonHang!$A$2:$C$500,3,FALSE()),"mã đơn chưa có"))</f>
        <v/>
      </c>
      <c r="D25" s="14"/>
      <c r="E25" s="8"/>
      <c r="F25" s="8"/>
      <c r="G25" s="8"/>
    </row>
    <row r="26" customFormat="false" ht="15" hidden="false" customHeight="false" outlineLevel="0" collapsed="false">
      <c r="A26" s="9"/>
      <c r="B26" s="8"/>
      <c r="C26" s="10" t="str">
        <f aca="false">IF(B26="","",IFERROR(VLOOKUP(B26,DonHang!$A$2:$C$500,3,FALSE()),"mã đơn chưa có"))</f>
        <v/>
      </c>
      <c r="D26" s="14"/>
      <c r="E26" s="8"/>
      <c r="F26" s="8"/>
      <c r="G26" s="8"/>
    </row>
    <row r="27" customFormat="false" ht="15" hidden="false" customHeight="false" outlineLevel="0" collapsed="false">
      <c r="A27" s="9"/>
      <c r="B27" s="8"/>
      <c r="C27" s="10" t="str">
        <f aca="false">IF(B27="","",IFERROR(VLOOKUP(B27,DonHang!$A$2:$C$500,3,FALSE()),"mã đơn chưa có"))</f>
        <v/>
      </c>
      <c r="D27" s="14"/>
      <c r="E27" s="8"/>
      <c r="F27" s="8"/>
      <c r="G27" s="8"/>
    </row>
    <row r="28" customFormat="false" ht="15" hidden="false" customHeight="false" outlineLevel="0" collapsed="false">
      <c r="A28" s="9"/>
      <c r="B28" s="8"/>
      <c r="C28" s="10" t="str">
        <f aca="false">IF(B28="","",IFERROR(VLOOKUP(B28,DonHang!$A$2:$C$500,3,FALSE()),"mã đơn chưa có"))</f>
        <v/>
      </c>
      <c r="D28" s="14"/>
      <c r="E28" s="8"/>
      <c r="F28" s="8"/>
      <c r="G28" s="8"/>
    </row>
    <row r="29" customFormat="false" ht="15" hidden="false" customHeight="false" outlineLevel="0" collapsed="false">
      <c r="A29" s="9"/>
      <c r="B29" s="8"/>
      <c r="C29" s="10" t="str">
        <f aca="false">IF(B29="","",IFERROR(VLOOKUP(B29,DonHang!$A$2:$C$500,3,FALSE()),"mã đơn chưa có"))</f>
        <v/>
      </c>
      <c r="D29" s="14"/>
      <c r="E29" s="8"/>
      <c r="F29" s="8"/>
      <c r="G29" s="8"/>
    </row>
    <row r="30" customFormat="false" ht="15" hidden="false" customHeight="false" outlineLevel="0" collapsed="false">
      <c r="A30" s="9"/>
      <c r="B30" s="8"/>
      <c r="C30" s="10" t="str">
        <f aca="false">IF(B30="","",IFERROR(VLOOKUP(B30,DonHang!$A$2:$C$500,3,FALSE()),"mã đơn chưa có"))</f>
        <v/>
      </c>
      <c r="D30" s="14"/>
      <c r="E30" s="8"/>
      <c r="F30" s="8"/>
      <c r="G30" s="8"/>
    </row>
    <row r="31" customFormat="false" ht="15" hidden="false" customHeight="false" outlineLevel="0" collapsed="false">
      <c r="A31" s="9"/>
      <c r="B31" s="8"/>
      <c r="C31" s="10" t="str">
        <f aca="false">IF(B31="","",IFERROR(VLOOKUP(B31,DonHang!$A$2:$C$500,3,FALSE()),"mã đơn chưa có"))</f>
        <v/>
      </c>
      <c r="D31" s="14"/>
      <c r="E31" s="8"/>
      <c r="F31" s="8"/>
      <c r="G31" s="8"/>
    </row>
    <row r="32" customFormat="false" ht="15" hidden="false" customHeight="false" outlineLevel="0" collapsed="false">
      <c r="A32" s="9"/>
      <c r="B32" s="8"/>
      <c r="C32" s="10" t="str">
        <f aca="false">IF(B32="","",IFERROR(VLOOKUP(B32,DonHang!$A$2:$C$500,3,FALSE()),"mã đơn chưa có"))</f>
        <v/>
      </c>
      <c r="D32" s="14"/>
      <c r="E32" s="8"/>
      <c r="F32" s="8"/>
      <c r="G32" s="8"/>
    </row>
    <row r="33" customFormat="false" ht="15" hidden="false" customHeight="false" outlineLevel="0" collapsed="false">
      <c r="A33" s="9"/>
      <c r="B33" s="8"/>
      <c r="C33" s="10" t="str">
        <f aca="false">IF(B33="","",IFERROR(VLOOKUP(B33,DonHang!$A$2:$C$500,3,FALSE()),"mã đơn chưa có"))</f>
        <v/>
      </c>
      <c r="D33" s="14"/>
      <c r="E33" s="8"/>
      <c r="F33" s="8"/>
      <c r="G33" s="8"/>
    </row>
    <row r="34" customFormat="false" ht="15" hidden="false" customHeight="false" outlineLevel="0" collapsed="false">
      <c r="A34" s="9"/>
      <c r="B34" s="8"/>
      <c r="C34" s="10" t="str">
        <f aca="false">IF(B34="","",IFERROR(VLOOKUP(B34,DonHang!$A$2:$C$500,3,FALSE()),"mã đơn chưa có"))</f>
        <v/>
      </c>
      <c r="D34" s="14"/>
      <c r="E34" s="8"/>
      <c r="F34" s="8"/>
      <c r="G34" s="8"/>
    </row>
    <row r="35" customFormat="false" ht="15" hidden="false" customHeight="false" outlineLevel="0" collapsed="false">
      <c r="A35" s="9"/>
      <c r="B35" s="8"/>
      <c r="C35" s="10" t="str">
        <f aca="false">IF(B35="","",IFERROR(VLOOKUP(B35,DonHang!$A$2:$C$500,3,FALSE()),"mã đơn chưa có"))</f>
        <v/>
      </c>
      <c r="D35" s="14"/>
      <c r="E35" s="8"/>
      <c r="F35" s="8"/>
      <c r="G35" s="8"/>
    </row>
    <row r="36" customFormat="false" ht="15" hidden="false" customHeight="false" outlineLevel="0" collapsed="false">
      <c r="A36" s="9"/>
      <c r="B36" s="8"/>
      <c r="C36" s="10" t="str">
        <f aca="false">IF(B36="","",IFERROR(VLOOKUP(B36,DonHang!$A$2:$C$500,3,FALSE()),"mã đơn chưa có"))</f>
        <v/>
      </c>
      <c r="D36" s="14"/>
      <c r="E36" s="8"/>
      <c r="F36" s="8"/>
      <c r="G36" s="8"/>
    </row>
    <row r="37" customFormat="false" ht="15" hidden="false" customHeight="false" outlineLevel="0" collapsed="false">
      <c r="A37" s="9"/>
      <c r="B37" s="8"/>
      <c r="C37" s="10" t="str">
        <f aca="false">IF(B37="","",IFERROR(VLOOKUP(B37,DonHang!$A$2:$C$500,3,FALSE()),"mã đơn chưa có"))</f>
        <v/>
      </c>
      <c r="D37" s="14"/>
      <c r="E37" s="8"/>
      <c r="F37" s="8"/>
      <c r="G37" s="8"/>
    </row>
    <row r="38" customFormat="false" ht="15" hidden="false" customHeight="false" outlineLevel="0" collapsed="false">
      <c r="A38" s="9"/>
      <c r="B38" s="8"/>
      <c r="C38" s="10" t="str">
        <f aca="false">IF(B38="","",IFERROR(VLOOKUP(B38,DonHang!$A$2:$C$500,3,FALSE()),"mã đơn chưa có"))</f>
        <v/>
      </c>
      <c r="D38" s="14"/>
      <c r="E38" s="8"/>
      <c r="F38" s="8"/>
      <c r="G38" s="8"/>
    </row>
    <row r="39" customFormat="false" ht="15" hidden="false" customHeight="false" outlineLevel="0" collapsed="false">
      <c r="A39" s="9"/>
      <c r="B39" s="8"/>
      <c r="C39" s="10" t="str">
        <f aca="false">IF(B39="","",IFERROR(VLOOKUP(B39,DonHang!$A$2:$C$500,3,FALSE()),"mã đơn chưa có"))</f>
        <v/>
      </c>
      <c r="D39" s="14"/>
      <c r="E39" s="8"/>
      <c r="F39" s="8"/>
      <c r="G39" s="8"/>
    </row>
    <row r="40" customFormat="false" ht="15" hidden="false" customHeight="false" outlineLevel="0" collapsed="false">
      <c r="A40" s="9"/>
      <c r="B40" s="8"/>
      <c r="C40" s="10" t="str">
        <f aca="false">IF(B40="","",IFERROR(VLOOKUP(B40,DonHang!$A$2:$C$500,3,FALSE()),"mã đơn chưa có"))</f>
        <v/>
      </c>
      <c r="D40" s="14"/>
      <c r="E40" s="8"/>
      <c r="F40" s="8"/>
      <c r="G40" s="8"/>
    </row>
    <row r="41" customFormat="false" ht="15" hidden="false" customHeight="false" outlineLevel="0" collapsed="false">
      <c r="A41" s="9"/>
      <c r="B41" s="8"/>
      <c r="C41" s="10" t="str">
        <f aca="false">IF(B41="","",IFERROR(VLOOKUP(B41,DonHang!$A$2:$C$500,3,FALSE()),"mã đơn chưa có"))</f>
        <v/>
      </c>
      <c r="D41" s="14"/>
      <c r="E41" s="8"/>
      <c r="F41" s="8"/>
      <c r="G41" s="8"/>
    </row>
    <row r="42" customFormat="false" ht="15" hidden="false" customHeight="false" outlineLevel="0" collapsed="false">
      <c r="A42" s="9"/>
      <c r="B42" s="8"/>
      <c r="C42" s="10" t="str">
        <f aca="false">IF(B42="","",IFERROR(VLOOKUP(B42,DonHang!$A$2:$C$500,3,FALSE()),"mã đơn chưa có"))</f>
        <v/>
      </c>
      <c r="D42" s="14"/>
      <c r="E42" s="8"/>
      <c r="F42" s="8"/>
      <c r="G42" s="8"/>
    </row>
    <row r="43" customFormat="false" ht="15" hidden="false" customHeight="false" outlineLevel="0" collapsed="false">
      <c r="A43" s="9"/>
      <c r="B43" s="8"/>
      <c r="C43" s="10" t="str">
        <f aca="false">IF(B43="","",IFERROR(VLOOKUP(B43,DonHang!$A$2:$C$500,3,FALSE()),"mã đơn chưa có"))</f>
        <v/>
      </c>
      <c r="D43" s="14"/>
      <c r="E43" s="8"/>
      <c r="F43" s="8"/>
      <c r="G43" s="8"/>
    </row>
    <row r="44" customFormat="false" ht="15" hidden="false" customHeight="false" outlineLevel="0" collapsed="false">
      <c r="A44" s="9"/>
      <c r="B44" s="8"/>
      <c r="C44" s="10" t="str">
        <f aca="false">IF(B44="","",IFERROR(VLOOKUP(B44,DonHang!$A$2:$C$500,3,FALSE()),"mã đơn chưa có"))</f>
        <v/>
      </c>
      <c r="D44" s="14"/>
      <c r="E44" s="8"/>
      <c r="F44" s="8"/>
      <c r="G44" s="8"/>
    </row>
    <row r="45" customFormat="false" ht="15" hidden="false" customHeight="false" outlineLevel="0" collapsed="false">
      <c r="A45" s="9"/>
      <c r="B45" s="8"/>
      <c r="C45" s="10" t="str">
        <f aca="false">IF(B45="","",IFERROR(VLOOKUP(B45,DonHang!$A$2:$C$500,3,FALSE()),"mã đơn chưa có"))</f>
        <v/>
      </c>
      <c r="D45" s="14"/>
      <c r="E45" s="8"/>
      <c r="F45" s="8"/>
      <c r="G45" s="8"/>
    </row>
    <row r="46" customFormat="false" ht="15" hidden="false" customHeight="false" outlineLevel="0" collapsed="false">
      <c r="A46" s="9"/>
      <c r="B46" s="8"/>
      <c r="C46" s="10" t="str">
        <f aca="false">IF(B46="","",IFERROR(VLOOKUP(B46,DonHang!$A$2:$C$500,3,FALSE()),"mã đơn chưa có"))</f>
        <v/>
      </c>
      <c r="D46" s="14"/>
      <c r="E46" s="8"/>
      <c r="F46" s="8"/>
      <c r="G46" s="8"/>
    </row>
    <row r="47" customFormat="false" ht="15" hidden="false" customHeight="false" outlineLevel="0" collapsed="false">
      <c r="A47" s="9"/>
      <c r="B47" s="8"/>
      <c r="C47" s="10" t="str">
        <f aca="false">IF(B47="","",IFERROR(VLOOKUP(B47,DonHang!$A$2:$C$500,3,FALSE()),"mã đơn chưa có"))</f>
        <v/>
      </c>
      <c r="D47" s="14"/>
      <c r="E47" s="8"/>
      <c r="F47" s="8"/>
      <c r="G47" s="8"/>
    </row>
    <row r="48" customFormat="false" ht="15" hidden="false" customHeight="false" outlineLevel="0" collapsed="false">
      <c r="A48" s="9"/>
      <c r="B48" s="8"/>
      <c r="C48" s="10" t="str">
        <f aca="false">IF(B48="","",IFERROR(VLOOKUP(B48,DonHang!$A$2:$C$500,3,FALSE()),"mã đơn chưa có"))</f>
        <v/>
      </c>
      <c r="D48" s="14"/>
      <c r="E48" s="8"/>
      <c r="F48" s="8"/>
      <c r="G48" s="8"/>
    </row>
    <row r="49" customFormat="false" ht="15" hidden="false" customHeight="false" outlineLevel="0" collapsed="false">
      <c r="A49" s="9"/>
      <c r="B49" s="8"/>
      <c r="C49" s="10" t="str">
        <f aca="false">IF(B49="","",IFERROR(VLOOKUP(B49,DonHang!$A$2:$C$500,3,FALSE()),"mã đơn chưa có"))</f>
        <v/>
      </c>
      <c r="D49" s="14"/>
      <c r="E49" s="8"/>
      <c r="F49" s="8"/>
      <c r="G49" s="8"/>
    </row>
    <row r="50" customFormat="false" ht="15" hidden="false" customHeight="false" outlineLevel="0" collapsed="false">
      <c r="A50" s="9"/>
      <c r="B50" s="8"/>
      <c r="C50" s="10" t="str">
        <f aca="false">IF(B50="","",IFERROR(VLOOKUP(B50,DonHang!$A$2:$C$500,3,FALSE()),"mã đơn chưa có"))</f>
        <v/>
      </c>
      <c r="D50" s="14"/>
      <c r="E50" s="8"/>
      <c r="F50" s="8"/>
      <c r="G50" s="8"/>
    </row>
    <row r="51" customFormat="false" ht="15" hidden="false" customHeight="false" outlineLevel="0" collapsed="false">
      <c r="A51" s="9"/>
      <c r="B51" s="8"/>
      <c r="C51" s="10" t="str">
        <f aca="false">IF(B51="","",IFERROR(VLOOKUP(B51,DonHang!$A$2:$C$500,3,FALSE()),"mã đơn chưa có"))</f>
        <v/>
      </c>
      <c r="D51" s="14"/>
      <c r="E51" s="8"/>
      <c r="F51" s="8"/>
      <c r="G51" s="8"/>
    </row>
    <row r="52" customFormat="false" ht="15" hidden="false" customHeight="false" outlineLevel="0" collapsed="false">
      <c r="A52" s="9"/>
      <c r="B52" s="8"/>
      <c r="C52" s="10" t="str">
        <f aca="false">IF(B52="","",IFERROR(VLOOKUP(B52,DonHang!$A$2:$C$500,3,FALSE()),"mã đơn chưa có"))</f>
        <v/>
      </c>
      <c r="D52" s="14"/>
      <c r="E52" s="8"/>
      <c r="F52" s="8"/>
      <c r="G52" s="8"/>
    </row>
    <row r="53" customFormat="false" ht="15" hidden="false" customHeight="false" outlineLevel="0" collapsed="false">
      <c r="A53" s="9"/>
      <c r="B53" s="8"/>
      <c r="C53" s="10" t="str">
        <f aca="false">IF(B53="","",IFERROR(VLOOKUP(B53,DonHang!$A$2:$C$500,3,FALSE()),"mã đơn chưa có"))</f>
        <v/>
      </c>
      <c r="D53" s="14"/>
      <c r="E53" s="8"/>
      <c r="F53" s="8"/>
      <c r="G53" s="8"/>
    </row>
    <row r="54" customFormat="false" ht="15" hidden="false" customHeight="false" outlineLevel="0" collapsed="false">
      <c r="A54" s="9"/>
      <c r="B54" s="8"/>
      <c r="C54" s="10" t="str">
        <f aca="false">IF(B54="","",IFERROR(VLOOKUP(B54,DonHang!$A$2:$C$500,3,FALSE()),"mã đơn chưa có"))</f>
        <v/>
      </c>
      <c r="D54" s="14"/>
      <c r="E54" s="8"/>
      <c r="F54" s="8"/>
      <c r="G54" s="8"/>
    </row>
    <row r="55" customFormat="false" ht="15" hidden="false" customHeight="false" outlineLevel="0" collapsed="false">
      <c r="A55" s="9"/>
      <c r="B55" s="8"/>
      <c r="C55" s="10" t="str">
        <f aca="false">IF(B55="","",IFERROR(VLOOKUP(B55,DonHang!$A$2:$C$500,3,FALSE()),"mã đơn chưa có"))</f>
        <v/>
      </c>
      <c r="D55" s="14"/>
      <c r="E55" s="8"/>
      <c r="F55" s="8"/>
      <c r="G55" s="8"/>
    </row>
    <row r="56" customFormat="false" ht="15" hidden="false" customHeight="false" outlineLevel="0" collapsed="false">
      <c r="A56" s="9"/>
      <c r="B56" s="8"/>
      <c r="C56" s="10" t="str">
        <f aca="false">IF(B56="","",IFERROR(VLOOKUP(B56,DonHang!$A$2:$C$500,3,FALSE()),"mã đơn chưa có"))</f>
        <v/>
      </c>
      <c r="D56" s="14"/>
      <c r="E56" s="8"/>
      <c r="F56" s="8"/>
      <c r="G56" s="8"/>
    </row>
    <row r="57" customFormat="false" ht="15" hidden="false" customHeight="false" outlineLevel="0" collapsed="false">
      <c r="A57" s="9"/>
      <c r="B57" s="8"/>
      <c r="C57" s="10" t="str">
        <f aca="false">IF(B57="","",IFERROR(VLOOKUP(B57,DonHang!$A$2:$C$500,3,FALSE()),"mã đơn chưa có"))</f>
        <v/>
      </c>
      <c r="D57" s="14"/>
      <c r="E57" s="8"/>
      <c r="F57" s="8"/>
      <c r="G57" s="8"/>
    </row>
    <row r="58" customFormat="false" ht="15" hidden="false" customHeight="false" outlineLevel="0" collapsed="false">
      <c r="A58" s="9"/>
      <c r="B58" s="8"/>
      <c r="C58" s="10" t="str">
        <f aca="false">IF(B58="","",IFERROR(VLOOKUP(B58,DonHang!$A$2:$C$500,3,FALSE()),"mã đơn chưa có"))</f>
        <v/>
      </c>
      <c r="D58" s="14"/>
      <c r="E58" s="8"/>
      <c r="F58" s="8"/>
      <c r="G58" s="8"/>
    </row>
    <row r="59" customFormat="false" ht="15" hidden="false" customHeight="false" outlineLevel="0" collapsed="false">
      <c r="A59" s="9"/>
      <c r="B59" s="8"/>
      <c r="C59" s="10" t="str">
        <f aca="false">IF(B59="","",IFERROR(VLOOKUP(B59,DonHang!$A$2:$C$500,3,FALSE()),"mã đơn chưa có"))</f>
        <v/>
      </c>
      <c r="D59" s="14"/>
      <c r="E59" s="8"/>
      <c r="F59" s="8"/>
      <c r="G59" s="8"/>
    </row>
    <row r="60" customFormat="false" ht="15" hidden="false" customHeight="false" outlineLevel="0" collapsed="false">
      <c r="A60" s="9"/>
      <c r="B60" s="8"/>
      <c r="C60" s="10" t="str">
        <f aca="false">IF(B60="","",IFERROR(VLOOKUP(B60,DonHang!$A$2:$C$500,3,FALSE()),"mã đơn chưa có"))</f>
        <v/>
      </c>
      <c r="D60" s="14"/>
      <c r="E60" s="8"/>
      <c r="F60" s="8"/>
      <c r="G60" s="8"/>
    </row>
    <row r="61" customFormat="false" ht="15" hidden="false" customHeight="false" outlineLevel="0" collapsed="false">
      <c r="A61" s="9"/>
      <c r="B61" s="8"/>
      <c r="C61" s="10" t="str">
        <f aca="false">IF(B61="","",IFERROR(VLOOKUP(B61,DonHang!$A$2:$C$500,3,FALSE()),"mã đơn chưa có"))</f>
        <v/>
      </c>
      <c r="D61" s="14"/>
      <c r="E61" s="8"/>
      <c r="F61" s="8"/>
      <c r="G61" s="8"/>
    </row>
    <row r="62" customFormat="false" ht="15" hidden="false" customHeight="false" outlineLevel="0" collapsed="false">
      <c r="A62" s="9"/>
      <c r="B62" s="8"/>
      <c r="C62" s="10" t="str">
        <f aca="false">IF(B62="","",IFERROR(VLOOKUP(B62,DonHang!$A$2:$C$500,3,FALSE()),"mã đơn chưa có"))</f>
        <v/>
      </c>
      <c r="D62" s="14"/>
      <c r="E62" s="8"/>
      <c r="F62" s="8"/>
      <c r="G62" s="8"/>
    </row>
    <row r="63" customFormat="false" ht="15" hidden="false" customHeight="false" outlineLevel="0" collapsed="false">
      <c r="A63" s="9"/>
      <c r="B63" s="8"/>
      <c r="C63" s="10" t="str">
        <f aca="false">IF(B63="","",IFERROR(VLOOKUP(B63,DonHang!$A$2:$C$500,3,FALSE()),"mã đơn chưa có"))</f>
        <v/>
      </c>
      <c r="D63" s="14"/>
      <c r="E63" s="8"/>
      <c r="F63" s="8"/>
      <c r="G63" s="8"/>
    </row>
    <row r="64" customFormat="false" ht="15" hidden="false" customHeight="false" outlineLevel="0" collapsed="false">
      <c r="A64" s="9"/>
      <c r="B64" s="8"/>
      <c r="C64" s="10" t="str">
        <f aca="false">IF(B64="","",IFERROR(VLOOKUP(B64,DonHang!$A$2:$C$500,3,FALSE()),"mã đơn chưa có"))</f>
        <v/>
      </c>
      <c r="D64" s="14"/>
      <c r="E64" s="8"/>
      <c r="F64" s="8"/>
      <c r="G64" s="8"/>
    </row>
    <row r="65" customFormat="false" ht="15" hidden="false" customHeight="false" outlineLevel="0" collapsed="false">
      <c r="A65" s="9"/>
      <c r="B65" s="8"/>
      <c r="C65" s="10" t="str">
        <f aca="false">IF(B65="","",IFERROR(VLOOKUP(B65,DonHang!$A$2:$C$500,3,FALSE()),"mã đơn chưa có"))</f>
        <v/>
      </c>
      <c r="D65" s="14"/>
      <c r="E65" s="8"/>
      <c r="F65" s="8"/>
      <c r="G65" s="8"/>
    </row>
    <row r="66" customFormat="false" ht="15" hidden="false" customHeight="false" outlineLevel="0" collapsed="false">
      <c r="A66" s="9"/>
      <c r="B66" s="8"/>
      <c r="C66" s="10" t="str">
        <f aca="false">IF(B66="","",IFERROR(VLOOKUP(B66,DonHang!$A$2:$C$500,3,FALSE()),"mã đơn chưa có"))</f>
        <v/>
      </c>
      <c r="D66" s="14"/>
      <c r="E66" s="8"/>
      <c r="F66" s="8"/>
      <c r="G66" s="8"/>
    </row>
    <row r="67" customFormat="false" ht="15" hidden="false" customHeight="false" outlineLevel="0" collapsed="false">
      <c r="A67" s="9"/>
      <c r="B67" s="8"/>
      <c r="C67" s="10" t="str">
        <f aca="false">IF(B67="","",IFERROR(VLOOKUP(B67,DonHang!$A$2:$C$500,3,FALSE()),"mã đơn chưa có"))</f>
        <v/>
      </c>
      <c r="D67" s="14"/>
      <c r="E67" s="8"/>
      <c r="F67" s="8"/>
      <c r="G67" s="8"/>
    </row>
    <row r="68" customFormat="false" ht="15" hidden="false" customHeight="false" outlineLevel="0" collapsed="false">
      <c r="A68" s="9"/>
      <c r="B68" s="8"/>
      <c r="C68" s="10" t="str">
        <f aca="false">IF(B68="","",IFERROR(VLOOKUP(B68,DonHang!$A$2:$C$500,3,FALSE()),"mã đơn chưa có"))</f>
        <v/>
      </c>
      <c r="D68" s="14"/>
      <c r="E68" s="8"/>
      <c r="F68" s="8"/>
      <c r="G68" s="8"/>
    </row>
    <row r="69" customFormat="false" ht="15" hidden="false" customHeight="false" outlineLevel="0" collapsed="false">
      <c r="A69" s="9"/>
      <c r="B69" s="8"/>
      <c r="C69" s="10" t="str">
        <f aca="false">IF(B69="","",IFERROR(VLOOKUP(B69,DonHang!$A$2:$C$500,3,FALSE()),"mã đơn chưa có"))</f>
        <v/>
      </c>
      <c r="D69" s="14"/>
      <c r="E69" s="8"/>
      <c r="F69" s="8"/>
      <c r="G69" s="8"/>
    </row>
    <row r="70" customFormat="false" ht="15" hidden="false" customHeight="false" outlineLevel="0" collapsed="false">
      <c r="A70" s="9"/>
      <c r="B70" s="8"/>
      <c r="C70" s="10" t="str">
        <f aca="false">IF(B70="","",IFERROR(VLOOKUP(B70,DonHang!$A$2:$C$500,3,FALSE()),"mã đơn chưa có"))</f>
        <v/>
      </c>
      <c r="D70" s="14"/>
      <c r="E70" s="8"/>
      <c r="F70" s="8"/>
      <c r="G70" s="8"/>
    </row>
    <row r="71" customFormat="false" ht="15" hidden="false" customHeight="false" outlineLevel="0" collapsed="false">
      <c r="A71" s="9"/>
      <c r="B71" s="8"/>
      <c r="C71" s="10" t="str">
        <f aca="false">IF(B71="","",IFERROR(VLOOKUP(B71,DonHang!$A$2:$C$500,3,FALSE()),"mã đơn chưa có"))</f>
        <v/>
      </c>
      <c r="D71" s="14"/>
      <c r="E71" s="8"/>
      <c r="F71" s="8"/>
      <c r="G71" s="8"/>
    </row>
    <row r="72" customFormat="false" ht="15" hidden="false" customHeight="false" outlineLevel="0" collapsed="false">
      <c r="A72" s="9"/>
      <c r="B72" s="8"/>
      <c r="C72" s="10" t="str">
        <f aca="false">IF(B72="","",IFERROR(VLOOKUP(B72,DonHang!$A$2:$C$500,3,FALSE()),"mã đơn chưa có"))</f>
        <v/>
      </c>
      <c r="D72" s="14"/>
      <c r="E72" s="8"/>
      <c r="F72" s="8"/>
      <c r="G72" s="8"/>
    </row>
    <row r="73" customFormat="false" ht="15" hidden="false" customHeight="false" outlineLevel="0" collapsed="false">
      <c r="A73" s="9"/>
      <c r="B73" s="8"/>
      <c r="C73" s="10" t="str">
        <f aca="false">IF(B73="","",IFERROR(VLOOKUP(B73,DonHang!$A$2:$C$500,3,FALSE()),"mã đơn chưa có"))</f>
        <v/>
      </c>
      <c r="D73" s="14"/>
      <c r="E73" s="8"/>
      <c r="F73" s="8"/>
      <c r="G73" s="8"/>
    </row>
    <row r="74" customFormat="false" ht="15" hidden="false" customHeight="false" outlineLevel="0" collapsed="false">
      <c r="A74" s="9"/>
      <c r="B74" s="8"/>
      <c r="C74" s="10" t="str">
        <f aca="false">IF(B74="","",IFERROR(VLOOKUP(B74,DonHang!$A$2:$C$500,3,FALSE()),"mã đơn chưa có"))</f>
        <v/>
      </c>
      <c r="D74" s="14"/>
      <c r="E74" s="8"/>
      <c r="F74" s="8"/>
      <c r="G74" s="8"/>
    </row>
    <row r="75" customFormat="false" ht="15" hidden="false" customHeight="false" outlineLevel="0" collapsed="false">
      <c r="A75" s="9"/>
      <c r="B75" s="8"/>
      <c r="C75" s="10" t="str">
        <f aca="false">IF(B75="","",IFERROR(VLOOKUP(B75,DonHang!$A$2:$C$500,3,FALSE()),"mã đơn chưa có"))</f>
        <v/>
      </c>
      <c r="D75" s="14"/>
      <c r="E75" s="8"/>
      <c r="F75" s="8"/>
      <c r="G75" s="8"/>
    </row>
    <row r="76" customFormat="false" ht="15" hidden="false" customHeight="false" outlineLevel="0" collapsed="false">
      <c r="A76" s="9"/>
      <c r="B76" s="8"/>
      <c r="C76" s="10" t="str">
        <f aca="false">IF(B76="","",IFERROR(VLOOKUP(B76,DonHang!$A$2:$C$500,3,FALSE()),"mã đơn chưa có"))</f>
        <v/>
      </c>
      <c r="D76" s="14"/>
      <c r="E76" s="8"/>
      <c r="F76" s="8"/>
      <c r="G76" s="8"/>
    </row>
    <row r="77" customFormat="false" ht="15" hidden="false" customHeight="false" outlineLevel="0" collapsed="false">
      <c r="A77" s="9"/>
      <c r="B77" s="8"/>
      <c r="C77" s="10" t="str">
        <f aca="false">IF(B77="","",IFERROR(VLOOKUP(B77,DonHang!$A$2:$C$500,3,FALSE()),"mã đơn chưa có"))</f>
        <v/>
      </c>
      <c r="D77" s="14"/>
      <c r="E77" s="8"/>
      <c r="F77" s="8"/>
      <c r="G77" s="8"/>
    </row>
    <row r="78" customFormat="false" ht="15" hidden="false" customHeight="false" outlineLevel="0" collapsed="false">
      <c r="A78" s="9"/>
      <c r="B78" s="8"/>
      <c r="C78" s="10" t="str">
        <f aca="false">IF(B78="","",IFERROR(VLOOKUP(B78,DonHang!$A$2:$C$500,3,FALSE()),"mã đơn chưa có"))</f>
        <v/>
      </c>
      <c r="D78" s="14"/>
      <c r="E78" s="8"/>
      <c r="F78" s="8"/>
      <c r="G78" s="8"/>
    </row>
    <row r="79" customFormat="false" ht="15" hidden="false" customHeight="false" outlineLevel="0" collapsed="false">
      <c r="A79" s="9"/>
      <c r="B79" s="8"/>
      <c r="C79" s="10" t="str">
        <f aca="false">IF(B79="","",IFERROR(VLOOKUP(B79,DonHang!$A$2:$C$500,3,FALSE()),"mã đơn chưa có"))</f>
        <v/>
      </c>
      <c r="D79" s="14"/>
      <c r="E79" s="8"/>
      <c r="F79" s="8"/>
      <c r="G79" s="8"/>
    </row>
    <row r="80" customFormat="false" ht="15" hidden="false" customHeight="false" outlineLevel="0" collapsed="false">
      <c r="A80" s="9"/>
      <c r="B80" s="8"/>
      <c r="C80" s="10" t="str">
        <f aca="false">IF(B80="","",IFERROR(VLOOKUP(B80,DonHang!$A$2:$C$500,3,FALSE()),"mã đơn chưa có"))</f>
        <v/>
      </c>
      <c r="D80" s="14"/>
      <c r="E80" s="8"/>
      <c r="F80" s="8"/>
      <c r="G80" s="8"/>
    </row>
    <row r="81" customFormat="false" ht="15" hidden="false" customHeight="false" outlineLevel="0" collapsed="false">
      <c r="A81" s="9"/>
      <c r="B81" s="8"/>
      <c r="C81" s="10" t="str">
        <f aca="false">IF(B81="","",IFERROR(VLOOKUP(B81,DonHang!$A$2:$C$500,3,FALSE()),"mã đơn chưa có"))</f>
        <v/>
      </c>
      <c r="D81" s="14"/>
      <c r="E81" s="8"/>
      <c r="F81" s="8"/>
      <c r="G81" s="8"/>
    </row>
    <row r="82" customFormat="false" ht="15" hidden="false" customHeight="false" outlineLevel="0" collapsed="false">
      <c r="A82" s="9"/>
      <c r="B82" s="8"/>
      <c r="C82" s="10" t="str">
        <f aca="false">IF(B82="","",IFERROR(VLOOKUP(B82,DonHang!$A$2:$C$500,3,FALSE()),"mã đơn chưa có"))</f>
        <v/>
      </c>
      <c r="D82" s="14"/>
      <c r="E82" s="8"/>
      <c r="F82" s="8"/>
      <c r="G82" s="8"/>
    </row>
    <row r="83" customFormat="false" ht="15" hidden="false" customHeight="false" outlineLevel="0" collapsed="false">
      <c r="A83" s="9"/>
      <c r="B83" s="8"/>
      <c r="C83" s="10" t="str">
        <f aca="false">IF(B83="","",IFERROR(VLOOKUP(B83,DonHang!$A$2:$C$500,3,FALSE()),"mã đơn chưa có"))</f>
        <v/>
      </c>
      <c r="D83" s="14"/>
      <c r="E83" s="8"/>
      <c r="F83" s="8"/>
      <c r="G83" s="8"/>
    </row>
    <row r="84" customFormat="false" ht="15" hidden="false" customHeight="false" outlineLevel="0" collapsed="false">
      <c r="A84" s="9"/>
      <c r="B84" s="8"/>
      <c r="C84" s="10" t="str">
        <f aca="false">IF(B84="","",IFERROR(VLOOKUP(B84,DonHang!$A$2:$C$500,3,FALSE()),"mã đơn chưa có"))</f>
        <v/>
      </c>
      <c r="D84" s="14"/>
      <c r="E84" s="8"/>
      <c r="F84" s="8"/>
      <c r="G84" s="8"/>
    </row>
    <row r="85" customFormat="false" ht="15" hidden="false" customHeight="false" outlineLevel="0" collapsed="false">
      <c r="A85" s="9"/>
      <c r="B85" s="8"/>
      <c r="C85" s="10" t="str">
        <f aca="false">IF(B85="","",IFERROR(VLOOKUP(B85,DonHang!$A$2:$C$500,3,FALSE()),"mã đơn chưa có"))</f>
        <v/>
      </c>
      <c r="D85" s="14"/>
      <c r="E85" s="8"/>
      <c r="F85" s="8"/>
      <c r="G85" s="8"/>
    </row>
    <row r="86" customFormat="false" ht="15" hidden="false" customHeight="false" outlineLevel="0" collapsed="false">
      <c r="A86" s="9"/>
      <c r="B86" s="8"/>
      <c r="C86" s="10" t="str">
        <f aca="false">IF(B86="","",IFERROR(VLOOKUP(B86,DonHang!$A$2:$C$500,3,FALSE()),"mã đơn chưa có"))</f>
        <v/>
      </c>
      <c r="D86" s="14"/>
      <c r="E86" s="8"/>
      <c r="F86" s="8"/>
      <c r="G86" s="8"/>
    </row>
    <row r="87" customFormat="false" ht="15" hidden="false" customHeight="false" outlineLevel="0" collapsed="false">
      <c r="A87" s="9"/>
      <c r="B87" s="8"/>
      <c r="C87" s="10" t="str">
        <f aca="false">IF(B87="","",IFERROR(VLOOKUP(B87,DonHang!$A$2:$C$500,3,FALSE()),"mã đơn chưa có"))</f>
        <v/>
      </c>
      <c r="D87" s="14"/>
      <c r="E87" s="8"/>
      <c r="F87" s="8"/>
      <c r="G87" s="8"/>
    </row>
    <row r="88" customFormat="false" ht="15" hidden="false" customHeight="false" outlineLevel="0" collapsed="false">
      <c r="A88" s="9"/>
      <c r="B88" s="8"/>
      <c r="C88" s="10" t="str">
        <f aca="false">IF(B88="","",IFERROR(VLOOKUP(B88,DonHang!$A$2:$C$500,3,FALSE()),"mã đơn chưa có"))</f>
        <v/>
      </c>
      <c r="D88" s="14"/>
      <c r="E88" s="8"/>
      <c r="F88" s="8"/>
      <c r="G88" s="8"/>
    </row>
    <row r="89" customFormat="false" ht="15" hidden="false" customHeight="false" outlineLevel="0" collapsed="false">
      <c r="A89" s="9"/>
      <c r="B89" s="8"/>
      <c r="C89" s="10" t="str">
        <f aca="false">IF(B89="","",IFERROR(VLOOKUP(B89,DonHang!$A$2:$C$500,3,FALSE()),"mã đơn chưa có"))</f>
        <v/>
      </c>
      <c r="D89" s="14"/>
      <c r="E89" s="8"/>
      <c r="F89" s="8"/>
      <c r="G89" s="8"/>
    </row>
    <row r="90" customFormat="false" ht="15" hidden="false" customHeight="false" outlineLevel="0" collapsed="false">
      <c r="A90" s="9"/>
      <c r="B90" s="8"/>
      <c r="C90" s="10" t="str">
        <f aca="false">IF(B90="","",IFERROR(VLOOKUP(B90,DonHang!$A$2:$C$500,3,FALSE()),"mã đơn chưa có"))</f>
        <v/>
      </c>
      <c r="D90" s="14"/>
      <c r="E90" s="8"/>
      <c r="F90" s="8"/>
      <c r="G90" s="8"/>
    </row>
    <row r="91" customFormat="false" ht="15" hidden="false" customHeight="false" outlineLevel="0" collapsed="false">
      <c r="A91" s="9"/>
      <c r="B91" s="8"/>
      <c r="C91" s="10" t="str">
        <f aca="false">IF(B91="","",IFERROR(VLOOKUP(B91,DonHang!$A$2:$C$500,3,FALSE()),"mã đơn chưa có"))</f>
        <v/>
      </c>
      <c r="D91" s="14"/>
      <c r="E91" s="8"/>
      <c r="F91" s="8"/>
      <c r="G91" s="8"/>
    </row>
    <row r="92" customFormat="false" ht="15" hidden="false" customHeight="false" outlineLevel="0" collapsed="false">
      <c r="A92" s="9"/>
      <c r="B92" s="8"/>
      <c r="C92" s="10" t="str">
        <f aca="false">IF(B92="","",IFERROR(VLOOKUP(B92,DonHang!$A$2:$C$500,3,FALSE()),"mã đơn chưa có"))</f>
        <v/>
      </c>
      <c r="D92" s="14"/>
      <c r="E92" s="8"/>
      <c r="F92" s="8"/>
      <c r="G92" s="8"/>
    </row>
    <row r="93" customFormat="false" ht="15" hidden="false" customHeight="false" outlineLevel="0" collapsed="false">
      <c r="A93" s="9"/>
      <c r="B93" s="8"/>
      <c r="C93" s="10" t="str">
        <f aca="false">IF(B93="","",IFERROR(VLOOKUP(B93,DonHang!$A$2:$C$500,3,FALSE()),"mã đơn chưa có"))</f>
        <v/>
      </c>
      <c r="D93" s="14"/>
      <c r="E93" s="8"/>
      <c r="F93" s="8"/>
      <c r="G93" s="8"/>
    </row>
    <row r="94" customFormat="false" ht="15" hidden="false" customHeight="false" outlineLevel="0" collapsed="false">
      <c r="A94" s="9"/>
      <c r="B94" s="8"/>
      <c r="C94" s="10" t="str">
        <f aca="false">IF(B94="","",IFERROR(VLOOKUP(B94,DonHang!$A$2:$C$500,3,FALSE()),"mã đơn chưa có"))</f>
        <v/>
      </c>
      <c r="D94" s="14"/>
      <c r="E94" s="8"/>
      <c r="F94" s="8"/>
      <c r="G94" s="8"/>
    </row>
    <row r="95" customFormat="false" ht="15" hidden="false" customHeight="false" outlineLevel="0" collapsed="false">
      <c r="A95" s="9"/>
      <c r="B95" s="8"/>
      <c r="C95" s="10" t="str">
        <f aca="false">IF(B95="","",IFERROR(VLOOKUP(B95,DonHang!$A$2:$C$500,3,FALSE()),"mã đơn chưa có"))</f>
        <v/>
      </c>
      <c r="D95" s="14"/>
      <c r="E95" s="8"/>
      <c r="F95" s="8"/>
      <c r="G95" s="8"/>
    </row>
    <row r="96" customFormat="false" ht="15" hidden="false" customHeight="false" outlineLevel="0" collapsed="false">
      <c r="A96" s="9"/>
      <c r="B96" s="8"/>
      <c r="C96" s="10" t="str">
        <f aca="false">IF(B96="","",IFERROR(VLOOKUP(B96,DonHang!$A$2:$C$500,3,FALSE()),"mã đơn chưa có"))</f>
        <v/>
      </c>
      <c r="D96" s="14"/>
      <c r="E96" s="8"/>
      <c r="F96" s="8"/>
      <c r="G96" s="8"/>
    </row>
    <row r="97" customFormat="false" ht="15" hidden="false" customHeight="false" outlineLevel="0" collapsed="false">
      <c r="A97" s="9"/>
      <c r="B97" s="8"/>
      <c r="C97" s="10" t="str">
        <f aca="false">IF(B97="","",IFERROR(VLOOKUP(B97,DonHang!$A$2:$C$500,3,FALSE()),"mã đơn chưa có"))</f>
        <v/>
      </c>
      <c r="D97" s="14"/>
      <c r="E97" s="8"/>
      <c r="F97" s="8"/>
      <c r="G97" s="8"/>
    </row>
    <row r="98" customFormat="false" ht="15" hidden="false" customHeight="false" outlineLevel="0" collapsed="false">
      <c r="A98" s="9"/>
      <c r="B98" s="8"/>
      <c r="C98" s="10" t="str">
        <f aca="false">IF(B98="","",IFERROR(VLOOKUP(B98,DonHang!$A$2:$C$500,3,FALSE()),"mã đơn chưa có"))</f>
        <v/>
      </c>
      <c r="D98" s="14"/>
      <c r="E98" s="8"/>
      <c r="F98" s="8"/>
      <c r="G98" s="8"/>
    </row>
    <row r="99" customFormat="false" ht="15" hidden="false" customHeight="false" outlineLevel="0" collapsed="false">
      <c r="A99" s="9"/>
      <c r="B99" s="8"/>
      <c r="C99" s="10" t="str">
        <f aca="false">IF(B99="","",IFERROR(VLOOKUP(B99,DonHang!$A$2:$C$500,3,FALSE()),"mã đơn chưa có"))</f>
        <v/>
      </c>
      <c r="D99" s="14"/>
      <c r="E99" s="8"/>
      <c r="F99" s="8"/>
      <c r="G99" s="8"/>
    </row>
    <row r="100" customFormat="false" ht="15" hidden="false" customHeight="false" outlineLevel="0" collapsed="false">
      <c r="A100" s="9"/>
      <c r="B100" s="8"/>
      <c r="C100" s="10" t="str">
        <f aca="false">IF(B100="","",IFERROR(VLOOKUP(B100,DonHang!$A$2:$C$500,3,FALSE()),"mã đơn chưa có"))</f>
        <v/>
      </c>
      <c r="D100" s="14"/>
      <c r="E100" s="8"/>
      <c r="F100" s="8"/>
      <c r="G100" s="8"/>
    </row>
    <row r="101" customFormat="false" ht="15" hidden="false" customHeight="false" outlineLevel="0" collapsed="false">
      <c r="A101" s="9"/>
      <c r="B101" s="8"/>
      <c r="C101" s="10" t="str">
        <f aca="false">IF(B101="","",IFERROR(VLOOKUP(B101,DonHang!$A$2:$C$500,3,FALSE()),"mã đơn chưa có"))</f>
        <v/>
      </c>
      <c r="D101" s="14"/>
      <c r="E101" s="8"/>
      <c r="F101" s="8"/>
      <c r="G101" s="8"/>
    </row>
    <row r="102" customFormat="false" ht="15" hidden="false" customHeight="false" outlineLevel="0" collapsed="false">
      <c r="A102" s="9"/>
      <c r="B102" s="8"/>
      <c r="C102" s="10" t="str">
        <f aca="false">IF(B102="","",IFERROR(VLOOKUP(B102,DonHang!$A$2:$C$500,3,FALSE()),"mã đơn chưa có"))</f>
        <v/>
      </c>
      <c r="D102" s="14"/>
      <c r="E102" s="8"/>
      <c r="F102" s="8"/>
      <c r="G102" s="8"/>
    </row>
    <row r="103" customFormat="false" ht="15" hidden="false" customHeight="false" outlineLevel="0" collapsed="false">
      <c r="A103" s="9"/>
      <c r="B103" s="8"/>
      <c r="C103" s="10" t="str">
        <f aca="false">IF(B103="","",IFERROR(VLOOKUP(B103,DonHang!$A$2:$C$500,3,FALSE()),"mã đơn chưa có"))</f>
        <v/>
      </c>
      <c r="D103" s="14"/>
      <c r="E103" s="8"/>
      <c r="F103" s="8"/>
      <c r="G103" s="8"/>
    </row>
    <row r="104" customFormat="false" ht="15" hidden="false" customHeight="false" outlineLevel="0" collapsed="false">
      <c r="A104" s="9"/>
      <c r="B104" s="8"/>
      <c r="C104" s="10" t="str">
        <f aca="false">IF(B104="","",IFERROR(VLOOKUP(B104,DonHang!$A$2:$C$500,3,FALSE()),"mã đơn chưa có"))</f>
        <v/>
      </c>
      <c r="D104" s="14"/>
      <c r="E104" s="8"/>
      <c r="F104" s="8"/>
      <c r="G104" s="8"/>
    </row>
    <row r="105" customFormat="false" ht="15" hidden="false" customHeight="false" outlineLevel="0" collapsed="false">
      <c r="A105" s="9"/>
      <c r="B105" s="8"/>
      <c r="C105" s="10" t="str">
        <f aca="false">IF(B105="","",IFERROR(VLOOKUP(B105,DonHang!$A$2:$C$500,3,FALSE()),"mã đơn chưa có"))</f>
        <v/>
      </c>
      <c r="D105" s="14"/>
      <c r="E105" s="8"/>
      <c r="F105" s="8"/>
      <c r="G105" s="8"/>
    </row>
    <row r="106" customFormat="false" ht="15" hidden="false" customHeight="false" outlineLevel="0" collapsed="false">
      <c r="A106" s="9"/>
      <c r="B106" s="8"/>
      <c r="C106" s="10" t="str">
        <f aca="false">IF(B106="","",IFERROR(VLOOKUP(B106,DonHang!$A$2:$C$500,3,FALSE()),"mã đơn chưa có"))</f>
        <v/>
      </c>
      <c r="D106" s="14"/>
      <c r="E106" s="8"/>
      <c r="F106" s="8"/>
      <c r="G106" s="8"/>
    </row>
    <row r="107" customFormat="false" ht="15" hidden="false" customHeight="false" outlineLevel="0" collapsed="false">
      <c r="A107" s="9"/>
      <c r="B107" s="8"/>
      <c r="C107" s="10" t="str">
        <f aca="false">IF(B107="","",IFERROR(VLOOKUP(B107,DonHang!$A$2:$C$500,3,FALSE()),"mã đơn chưa có"))</f>
        <v/>
      </c>
      <c r="D107" s="14"/>
      <c r="E107" s="8"/>
      <c r="F107" s="8"/>
      <c r="G107" s="8"/>
    </row>
    <row r="108" customFormat="false" ht="15" hidden="false" customHeight="false" outlineLevel="0" collapsed="false">
      <c r="A108" s="9"/>
      <c r="B108" s="8"/>
      <c r="C108" s="10" t="str">
        <f aca="false">IF(B108="","",IFERROR(VLOOKUP(B108,DonHang!$A$2:$C$500,3,FALSE()),"mã đơn chưa có"))</f>
        <v/>
      </c>
      <c r="D108" s="14"/>
      <c r="E108" s="8"/>
      <c r="F108" s="8"/>
      <c r="G108" s="8"/>
    </row>
    <row r="109" customFormat="false" ht="15" hidden="false" customHeight="false" outlineLevel="0" collapsed="false">
      <c r="A109" s="9"/>
      <c r="B109" s="8"/>
      <c r="C109" s="10" t="str">
        <f aca="false">IF(B109="","",IFERROR(VLOOKUP(B109,DonHang!$A$2:$C$500,3,FALSE()),"mã đơn chưa có"))</f>
        <v/>
      </c>
      <c r="D109" s="14"/>
      <c r="E109" s="8"/>
      <c r="F109" s="8"/>
      <c r="G109" s="8"/>
    </row>
    <row r="110" customFormat="false" ht="15" hidden="false" customHeight="false" outlineLevel="0" collapsed="false">
      <c r="A110" s="9"/>
      <c r="B110" s="8"/>
      <c r="C110" s="10" t="str">
        <f aca="false">IF(B110="","",IFERROR(VLOOKUP(B110,DonHang!$A$2:$C$500,3,FALSE()),"mã đơn chưa có"))</f>
        <v/>
      </c>
      <c r="D110" s="14"/>
      <c r="E110" s="8"/>
      <c r="F110" s="8"/>
      <c r="G110" s="8"/>
    </row>
    <row r="111" customFormat="false" ht="15" hidden="false" customHeight="false" outlineLevel="0" collapsed="false">
      <c r="A111" s="9"/>
      <c r="B111" s="8"/>
      <c r="C111" s="10" t="str">
        <f aca="false">IF(B111="","",IFERROR(VLOOKUP(B111,DonHang!$A$2:$C$500,3,FALSE()),"mã đơn chưa có"))</f>
        <v/>
      </c>
      <c r="D111" s="14"/>
      <c r="E111" s="8"/>
      <c r="F111" s="8"/>
      <c r="G111" s="8"/>
    </row>
    <row r="112" customFormat="false" ht="15" hidden="false" customHeight="false" outlineLevel="0" collapsed="false">
      <c r="A112" s="9"/>
      <c r="B112" s="8"/>
      <c r="C112" s="10" t="str">
        <f aca="false">IF(B112="","",IFERROR(VLOOKUP(B112,DonHang!$A$2:$C$500,3,FALSE()),"mã đơn chưa có"))</f>
        <v/>
      </c>
      <c r="D112" s="14"/>
      <c r="E112" s="8"/>
      <c r="F112" s="8"/>
      <c r="G112" s="8"/>
    </row>
    <row r="113" customFormat="false" ht="15" hidden="false" customHeight="false" outlineLevel="0" collapsed="false">
      <c r="A113" s="9"/>
      <c r="B113" s="8"/>
      <c r="C113" s="10" t="str">
        <f aca="false">IF(B113="","",IFERROR(VLOOKUP(B113,DonHang!$A$2:$C$500,3,FALSE()),"mã đơn chưa có"))</f>
        <v/>
      </c>
      <c r="D113" s="14"/>
      <c r="E113" s="8"/>
      <c r="F113" s="8"/>
      <c r="G113" s="8"/>
    </row>
    <row r="114" customFormat="false" ht="15" hidden="false" customHeight="false" outlineLevel="0" collapsed="false">
      <c r="A114" s="9"/>
      <c r="B114" s="8"/>
      <c r="C114" s="10" t="str">
        <f aca="false">IF(B114="","",IFERROR(VLOOKUP(B114,DonHang!$A$2:$C$500,3,FALSE()),"mã đơn chưa có"))</f>
        <v/>
      </c>
      <c r="D114" s="14"/>
      <c r="E114" s="8"/>
      <c r="F114" s="8"/>
      <c r="G114" s="8"/>
    </row>
    <row r="115" customFormat="false" ht="15" hidden="false" customHeight="false" outlineLevel="0" collapsed="false">
      <c r="A115" s="9"/>
      <c r="B115" s="8"/>
      <c r="C115" s="10" t="str">
        <f aca="false">IF(B115="","",IFERROR(VLOOKUP(B115,DonHang!$A$2:$C$500,3,FALSE()),"mã đơn chưa có"))</f>
        <v/>
      </c>
      <c r="D115" s="14"/>
      <c r="E115" s="8"/>
      <c r="F115" s="8"/>
      <c r="G115" s="8"/>
    </row>
    <row r="116" customFormat="false" ht="15" hidden="false" customHeight="false" outlineLevel="0" collapsed="false">
      <c r="A116" s="9"/>
      <c r="B116" s="8"/>
      <c r="C116" s="10" t="str">
        <f aca="false">IF(B116="","",IFERROR(VLOOKUP(B116,DonHang!$A$2:$C$500,3,FALSE()),"mã đơn chưa có"))</f>
        <v/>
      </c>
      <c r="D116" s="14"/>
      <c r="E116" s="8"/>
      <c r="F116" s="8"/>
      <c r="G116" s="8"/>
    </row>
    <row r="117" customFormat="false" ht="15" hidden="false" customHeight="false" outlineLevel="0" collapsed="false">
      <c r="A117" s="9"/>
      <c r="B117" s="8"/>
      <c r="C117" s="10" t="str">
        <f aca="false">IF(B117="","",IFERROR(VLOOKUP(B117,DonHang!$A$2:$C$500,3,FALSE()),"mã đơn chưa có"))</f>
        <v/>
      </c>
      <c r="D117" s="14"/>
      <c r="E117" s="8"/>
      <c r="F117" s="8"/>
      <c r="G117" s="8"/>
    </row>
    <row r="118" customFormat="false" ht="15" hidden="false" customHeight="false" outlineLevel="0" collapsed="false">
      <c r="A118" s="9"/>
      <c r="B118" s="8"/>
      <c r="C118" s="10" t="str">
        <f aca="false">IF(B118="","",IFERROR(VLOOKUP(B118,DonHang!$A$2:$C$500,3,FALSE()),"mã đơn chưa có"))</f>
        <v/>
      </c>
      <c r="D118" s="14"/>
      <c r="E118" s="8"/>
      <c r="F118" s="8"/>
      <c r="G118" s="8"/>
    </row>
    <row r="119" customFormat="false" ht="15" hidden="false" customHeight="false" outlineLevel="0" collapsed="false">
      <c r="A119" s="9"/>
      <c r="B119" s="8"/>
      <c r="C119" s="10" t="str">
        <f aca="false">IF(B119="","",IFERROR(VLOOKUP(B119,DonHang!$A$2:$C$500,3,FALSE()),"mã đơn chưa có"))</f>
        <v/>
      </c>
      <c r="D119" s="14"/>
      <c r="E119" s="8"/>
      <c r="F119" s="8"/>
      <c r="G119" s="8"/>
    </row>
    <row r="120" customFormat="false" ht="15" hidden="false" customHeight="false" outlineLevel="0" collapsed="false">
      <c r="A120" s="9"/>
      <c r="B120" s="8"/>
      <c r="C120" s="10" t="str">
        <f aca="false">IF(B120="","",IFERROR(VLOOKUP(B120,DonHang!$A$2:$C$500,3,FALSE()),"mã đơn chưa có"))</f>
        <v/>
      </c>
      <c r="D120" s="14"/>
      <c r="E120" s="8"/>
      <c r="F120" s="8"/>
      <c r="G120" s="8"/>
    </row>
    <row r="121" customFormat="false" ht="15" hidden="false" customHeight="false" outlineLevel="0" collapsed="false">
      <c r="A121" s="9"/>
      <c r="B121" s="8"/>
      <c r="C121" s="10" t="str">
        <f aca="false">IF(B121="","",IFERROR(VLOOKUP(B121,DonHang!$A$2:$C$500,3,FALSE()),"mã đơn chưa có"))</f>
        <v/>
      </c>
      <c r="D121" s="14"/>
      <c r="E121" s="8"/>
      <c r="F121" s="8"/>
      <c r="G121" s="8"/>
    </row>
    <row r="122" customFormat="false" ht="15" hidden="false" customHeight="false" outlineLevel="0" collapsed="false">
      <c r="A122" s="9"/>
      <c r="B122" s="8"/>
      <c r="C122" s="10" t="str">
        <f aca="false">IF(B122="","",IFERROR(VLOOKUP(B122,DonHang!$A$2:$C$500,3,FALSE()),"mã đơn chưa có"))</f>
        <v/>
      </c>
      <c r="D122" s="14"/>
      <c r="E122" s="8"/>
      <c r="F122" s="8"/>
      <c r="G122" s="8"/>
    </row>
    <row r="123" customFormat="false" ht="15" hidden="false" customHeight="false" outlineLevel="0" collapsed="false">
      <c r="A123" s="9"/>
      <c r="B123" s="8"/>
      <c r="C123" s="10" t="str">
        <f aca="false">IF(B123="","",IFERROR(VLOOKUP(B123,DonHang!$A$2:$C$500,3,FALSE()),"mã đơn chưa có"))</f>
        <v/>
      </c>
      <c r="D123" s="14"/>
      <c r="E123" s="8"/>
      <c r="F123" s="8"/>
      <c r="G123" s="8"/>
    </row>
    <row r="124" customFormat="false" ht="15" hidden="false" customHeight="false" outlineLevel="0" collapsed="false">
      <c r="A124" s="9"/>
      <c r="B124" s="8"/>
      <c r="C124" s="10" t="str">
        <f aca="false">IF(B124="","",IFERROR(VLOOKUP(B124,DonHang!$A$2:$C$500,3,FALSE()),"mã đơn chưa có"))</f>
        <v/>
      </c>
      <c r="D124" s="14"/>
      <c r="E124" s="8"/>
      <c r="F124" s="8"/>
      <c r="G124" s="8"/>
    </row>
    <row r="125" customFormat="false" ht="15" hidden="false" customHeight="false" outlineLevel="0" collapsed="false">
      <c r="A125" s="9"/>
      <c r="B125" s="8"/>
      <c r="C125" s="10" t="str">
        <f aca="false">IF(B125="","",IFERROR(VLOOKUP(B125,DonHang!$A$2:$C$500,3,FALSE()),"mã đơn chưa có"))</f>
        <v/>
      </c>
      <c r="D125" s="14"/>
      <c r="E125" s="8"/>
      <c r="F125" s="8"/>
      <c r="G125" s="8"/>
    </row>
    <row r="126" customFormat="false" ht="15" hidden="false" customHeight="false" outlineLevel="0" collapsed="false">
      <c r="A126" s="9"/>
      <c r="B126" s="8"/>
      <c r="C126" s="10" t="str">
        <f aca="false">IF(B126="","",IFERROR(VLOOKUP(B126,DonHang!$A$2:$C$500,3,FALSE()),"mã đơn chưa có"))</f>
        <v/>
      </c>
      <c r="D126" s="14"/>
      <c r="E126" s="8"/>
      <c r="F126" s="8"/>
      <c r="G126" s="8"/>
    </row>
    <row r="127" customFormat="false" ht="15" hidden="false" customHeight="false" outlineLevel="0" collapsed="false">
      <c r="A127" s="9"/>
      <c r="B127" s="8"/>
      <c r="C127" s="10" t="str">
        <f aca="false">IF(B127="","",IFERROR(VLOOKUP(B127,DonHang!$A$2:$C$500,3,FALSE()),"mã đơn chưa có"))</f>
        <v/>
      </c>
      <c r="D127" s="14"/>
      <c r="E127" s="8"/>
      <c r="F127" s="8"/>
      <c r="G127" s="8"/>
    </row>
    <row r="128" customFormat="false" ht="15" hidden="false" customHeight="false" outlineLevel="0" collapsed="false">
      <c r="A128" s="9"/>
      <c r="B128" s="8"/>
      <c r="C128" s="10" t="str">
        <f aca="false">IF(B128="","",IFERROR(VLOOKUP(B128,DonHang!$A$2:$C$500,3,FALSE()),"mã đơn chưa có"))</f>
        <v/>
      </c>
      <c r="D128" s="14"/>
      <c r="E128" s="8"/>
      <c r="F128" s="8"/>
      <c r="G128" s="8"/>
    </row>
    <row r="129" customFormat="false" ht="15" hidden="false" customHeight="false" outlineLevel="0" collapsed="false">
      <c r="A129" s="9"/>
      <c r="B129" s="8"/>
      <c r="C129" s="10" t="str">
        <f aca="false">IF(B129="","",IFERROR(VLOOKUP(B129,DonHang!$A$2:$C$500,3,FALSE()),"mã đơn chưa có"))</f>
        <v/>
      </c>
      <c r="D129" s="14"/>
      <c r="E129" s="8"/>
      <c r="F129" s="8"/>
      <c r="G129" s="8"/>
    </row>
    <row r="130" customFormat="false" ht="15" hidden="false" customHeight="false" outlineLevel="0" collapsed="false">
      <c r="A130" s="9"/>
      <c r="B130" s="8"/>
      <c r="C130" s="10" t="str">
        <f aca="false">IF(B130="","",IFERROR(VLOOKUP(B130,DonHang!$A$2:$C$500,3,FALSE()),"mã đơn chưa có"))</f>
        <v/>
      </c>
      <c r="D130" s="14"/>
      <c r="E130" s="8"/>
      <c r="F130" s="8"/>
      <c r="G130" s="8"/>
    </row>
    <row r="131" customFormat="false" ht="15" hidden="false" customHeight="false" outlineLevel="0" collapsed="false">
      <c r="A131" s="9"/>
      <c r="B131" s="8"/>
      <c r="C131" s="10" t="str">
        <f aca="false">IF(B131="","",IFERROR(VLOOKUP(B131,DonHang!$A$2:$C$500,3,FALSE()),"mã đơn chưa có"))</f>
        <v/>
      </c>
      <c r="D131" s="14"/>
      <c r="E131" s="8"/>
      <c r="F131" s="8"/>
      <c r="G131" s="8"/>
    </row>
    <row r="132" customFormat="false" ht="15" hidden="false" customHeight="false" outlineLevel="0" collapsed="false">
      <c r="A132" s="9"/>
      <c r="B132" s="8"/>
      <c r="C132" s="10" t="str">
        <f aca="false">IF(B132="","",IFERROR(VLOOKUP(B132,DonHang!$A$2:$C$500,3,FALSE()),"mã đơn chưa có"))</f>
        <v/>
      </c>
      <c r="D132" s="14"/>
      <c r="E132" s="8"/>
      <c r="F132" s="8"/>
      <c r="G132" s="8"/>
    </row>
    <row r="133" customFormat="false" ht="15" hidden="false" customHeight="false" outlineLevel="0" collapsed="false">
      <c r="A133" s="9"/>
      <c r="B133" s="8"/>
      <c r="C133" s="10" t="str">
        <f aca="false">IF(B133="","",IFERROR(VLOOKUP(B133,DonHang!$A$2:$C$500,3,FALSE()),"mã đơn chưa có"))</f>
        <v/>
      </c>
      <c r="D133" s="14"/>
      <c r="E133" s="8"/>
      <c r="F133" s="8"/>
      <c r="G133" s="8"/>
    </row>
    <row r="134" customFormat="false" ht="15" hidden="false" customHeight="false" outlineLevel="0" collapsed="false">
      <c r="A134" s="9"/>
      <c r="B134" s="8"/>
      <c r="C134" s="10" t="str">
        <f aca="false">IF(B134="","",IFERROR(VLOOKUP(B134,DonHang!$A$2:$C$500,3,FALSE()),"mã đơn chưa có"))</f>
        <v/>
      </c>
      <c r="D134" s="14"/>
      <c r="E134" s="8"/>
      <c r="F134" s="8"/>
      <c r="G134" s="8"/>
    </row>
    <row r="135" customFormat="false" ht="15" hidden="false" customHeight="false" outlineLevel="0" collapsed="false">
      <c r="A135" s="9"/>
      <c r="B135" s="8"/>
      <c r="C135" s="10" t="str">
        <f aca="false">IF(B135="","",IFERROR(VLOOKUP(B135,DonHang!$A$2:$C$500,3,FALSE()),"mã đơn chưa có"))</f>
        <v/>
      </c>
      <c r="D135" s="14"/>
      <c r="E135" s="8"/>
      <c r="F135" s="8"/>
      <c r="G135" s="8"/>
    </row>
    <row r="136" customFormat="false" ht="15" hidden="false" customHeight="false" outlineLevel="0" collapsed="false">
      <c r="A136" s="9"/>
      <c r="B136" s="8"/>
      <c r="C136" s="10" t="str">
        <f aca="false">IF(B136="","",IFERROR(VLOOKUP(B136,DonHang!$A$2:$C$500,3,FALSE()),"mã đơn chưa có"))</f>
        <v/>
      </c>
      <c r="D136" s="14"/>
      <c r="E136" s="8"/>
      <c r="F136" s="8"/>
      <c r="G136" s="8"/>
    </row>
    <row r="137" customFormat="false" ht="15" hidden="false" customHeight="false" outlineLevel="0" collapsed="false">
      <c r="A137" s="9"/>
      <c r="B137" s="8"/>
      <c r="C137" s="10" t="str">
        <f aca="false">IF(B137="","",IFERROR(VLOOKUP(B137,DonHang!$A$2:$C$500,3,FALSE()),"mã đơn chưa có"))</f>
        <v/>
      </c>
      <c r="D137" s="14"/>
      <c r="E137" s="8"/>
      <c r="F137" s="8"/>
      <c r="G137" s="8"/>
    </row>
    <row r="138" customFormat="false" ht="15" hidden="false" customHeight="false" outlineLevel="0" collapsed="false">
      <c r="A138" s="9"/>
      <c r="B138" s="8"/>
      <c r="C138" s="10" t="str">
        <f aca="false">IF(B138="","",IFERROR(VLOOKUP(B138,DonHang!$A$2:$C$500,3,FALSE()),"mã đơn chưa có"))</f>
        <v/>
      </c>
      <c r="D138" s="14"/>
      <c r="E138" s="8"/>
      <c r="F138" s="8"/>
      <c r="G138" s="8"/>
    </row>
    <row r="139" customFormat="false" ht="15" hidden="false" customHeight="false" outlineLevel="0" collapsed="false">
      <c r="A139" s="9"/>
      <c r="B139" s="8"/>
      <c r="C139" s="10" t="str">
        <f aca="false">IF(B139="","",IFERROR(VLOOKUP(B139,DonHang!$A$2:$C$500,3,FALSE()),"mã đơn chưa có"))</f>
        <v/>
      </c>
      <c r="D139" s="14"/>
      <c r="E139" s="8"/>
      <c r="F139" s="8"/>
      <c r="G139" s="8"/>
    </row>
    <row r="140" customFormat="false" ht="15" hidden="false" customHeight="false" outlineLevel="0" collapsed="false">
      <c r="A140" s="9"/>
      <c r="B140" s="8"/>
      <c r="C140" s="10" t="str">
        <f aca="false">IF(B140="","",IFERROR(VLOOKUP(B140,DonHang!$A$2:$C$500,3,FALSE()),"mã đơn chưa có"))</f>
        <v/>
      </c>
      <c r="D140" s="14"/>
      <c r="E140" s="8"/>
      <c r="F140" s="8"/>
      <c r="G140" s="8"/>
    </row>
    <row r="141" customFormat="false" ht="15" hidden="false" customHeight="false" outlineLevel="0" collapsed="false">
      <c r="A141" s="9"/>
      <c r="B141" s="8"/>
      <c r="C141" s="10" t="str">
        <f aca="false">IF(B141="","",IFERROR(VLOOKUP(B141,DonHang!$A$2:$C$500,3,FALSE()),"mã đơn chưa có"))</f>
        <v/>
      </c>
      <c r="D141" s="14"/>
      <c r="E141" s="8"/>
      <c r="F141" s="8"/>
      <c r="G141" s="8"/>
    </row>
    <row r="142" customFormat="false" ht="15" hidden="false" customHeight="false" outlineLevel="0" collapsed="false">
      <c r="A142" s="9"/>
      <c r="B142" s="8"/>
      <c r="C142" s="10" t="str">
        <f aca="false">IF(B142="","",IFERROR(VLOOKUP(B142,DonHang!$A$2:$C$500,3,FALSE()),"mã đơn chưa có"))</f>
        <v/>
      </c>
      <c r="D142" s="14"/>
      <c r="E142" s="8"/>
      <c r="F142" s="8"/>
      <c r="G142" s="8"/>
    </row>
    <row r="143" customFormat="false" ht="15" hidden="false" customHeight="false" outlineLevel="0" collapsed="false">
      <c r="A143" s="9"/>
      <c r="B143" s="8"/>
      <c r="C143" s="10" t="str">
        <f aca="false">IF(B143="","",IFERROR(VLOOKUP(B143,DonHang!$A$2:$C$500,3,FALSE()),"mã đơn chưa có"))</f>
        <v/>
      </c>
      <c r="D143" s="14"/>
      <c r="E143" s="8"/>
      <c r="F143" s="8"/>
      <c r="G143" s="8"/>
    </row>
    <row r="144" customFormat="false" ht="15" hidden="false" customHeight="false" outlineLevel="0" collapsed="false">
      <c r="A144" s="9"/>
      <c r="B144" s="8"/>
      <c r="C144" s="10" t="str">
        <f aca="false">IF(B144="","",IFERROR(VLOOKUP(B144,DonHang!$A$2:$C$500,3,FALSE()),"mã đơn chưa có"))</f>
        <v/>
      </c>
      <c r="D144" s="14"/>
      <c r="E144" s="8"/>
      <c r="F144" s="8"/>
      <c r="G144" s="8"/>
    </row>
    <row r="145" customFormat="false" ht="15" hidden="false" customHeight="false" outlineLevel="0" collapsed="false">
      <c r="A145" s="9"/>
      <c r="B145" s="8"/>
      <c r="C145" s="10" t="str">
        <f aca="false">IF(B145="","",IFERROR(VLOOKUP(B145,DonHang!$A$2:$C$500,3,FALSE()),"mã đơn chưa có"))</f>
        <v/>
      </c>
      <c r="D145" s="14"/>
      <c r="E145" s="8"/>
      <c r="F145" s="8"/>
      <c r="G145" s="8"/>
    </row>
    <row r="146" customFormat="false" ht="15" hidden="false" customHeight="false" outlineLevel="0" collapsed="false">
      <c r="A146" s="9"/>
      <c r="B146" s="8"/>
      <c r="C146" s="10" t="str">
        <f aca="false">IF(B146="","",IFERROR(VLOOKUP(B146,DonHang!$A$2:$C$500,3,FALSE()),"mã đơn chưa có"))</f>
        <v/>
      </c>
      <c r="D146" s="14"/>
      <c r="E146" s="8"/>
      <c r="F146" s="8"/>
      <c r="G146" s="8"/>
    </row>
    <row r="147" customFormat="false" ht="15" hidden="false" customHeight="false" outlineLevel="0" collapsed="false">
      <c r="A147" s="9"/>
      <c r="B147" s="8"/>
      <c r="C147" s="10" t="str">
        <f aca="false">IF(B147="","",IFERROR(VLOOKUP(B147,DonHang!$A$2:$C$500,3,FALSE()),"mã đơn chưa có"))</f>
        <v/>
      </c>
      <c r="D147" s="14"/>
      <c r="E147" s="8"/>
      <c r="F147" s="8"/>
      <c r="G147" s="8"/>
    </row>
    <row r="148" customFormat="false" ht="15" hidden="false" customHeight="false" outlineLevel="0" collapsed="false">
      <c r="A148" s="9"/>
      <c r="B148" s="8"/>
      <c r="C148" s="10" t="str">
        <f aca="false">IF(B148="","",IFERROR(VLOOKUP(B148,DonHang!$A$2:$C$500,3,FALSE()),"mã đơn chưa có"))</f>
        <v/>
      </c>
      <c r="D148" s="14"/>
      <c r="E148" s="8"/>
      <c r="F148" s="8"/>
      <c r="G148" s="8"/>
    </row>
    <row r="149" customFormat="false" ht="15" hidden="false" customHeight="false" outlineLevel="0" collapsed="false">
      <c r="A149" s="9"/>
      <c r="B149" s="8"/>
      <c r="C149" s="10" t="str">
        <f aca="false">IF(B149="","",IFERROR(VLOOKUP(B149,DonHang!$A$2:$C$500,3,FALSE()),"mã đơn chưa có"))</f>
        <v/>
      </c>
      <c r="D149" s="14"/>
      <c r="E149" s="8"/>
      <c r="F149" s="8"/>
      <c r="G149" s="8"/>
    </row>
    <row r="150" customFormat="false" ht="15" hidden="false" customHeight="false" outlineLevel="0" collapsed="false">
      <c r="A150" s="9"/>
      <c r="B150" s="8"/>
      <c r="C150" s="10" t="str">
        <f aca="false">IF(B150="","",IFERROR(VLOOKUP(B150,DonHang!$A$2:$C$500,3,FALSE()),"mã đơn chưa có"))</f>
        <v/>
      </c>
      <c r="D150" s="14"/>
      <c r="E150" s="8"/>
      <c r="F150" s="8"/>
      <c r="G150" s="8"/>
    </row>
    <row r="151" customFormat="false" ht="15" hidden="false" customHeight="false" outlineLevel="0" collapsed="false">
      <c r="A151" s="9"/>
      <c r="B151" s="8"/>
      <c r="C151" s="10" t="str">
        <f aca="false">IF(B151="","",IFERROR(VLOOKUP(B151,DonHang!$A$2:$C$500,3,FALSE()),"mã đơn chưa có"))</f>
        <v/>
      </c>
      <c r="D151" s="14"/>
      <c r="E151" s="8"/>
      <c r="F151" s="8"/>
      <c r="G151" s="8"/>
    </row>
    <row r="152" customFormat="false" ht="15" hidden="false" customHeight="false" outlineLevel="0" collapsed="false">
      <c r="A152" s="9"/>
      <c r="B152" s="8"/>
      <c r="C152" s="10" t="str">
        <f aca="false">IF(B152="","",IFERROR(VLOOKUP(B152,DonHang!$A$2:$C$500,3,FALSE()),"mã đơn chưa có"))</f>
        <v/>
      </c>
      <c r="D152" s="14"/>
      <c r="E152" s="8"/>
      <c r="F152" s="8"/>
      <c r="G152" s="8"/>
    </row>
    <row r="153" customFormat="false" ht="15" hidden="false" customHeight="false" outlineLevel="0" collapsed="false">
      <c r="A153" s="9"/>
      <c r="B153" s="8"/>
      <c r="C153" s="10" t="str">
        <f aca="false">IF(B153="","",IFERROR(VLOOKUP(B153,DonHang!$A$2:$C$500,3,FALSE()),"mã đơn chưa có"))</f>
        <v/>
      </c>
      <c r="D153" s="14"/>
      <c r="E153" s="8"/>
      <c r="F153" s="8"/>
      <c r="G153" s="8"/>
    </row>
    <row r="154" customFormat="false" ht="15" hidden="false" customHeight="false" outlineLevel="0" collapsed="false">
      <c r="A154" s="9"/>
      <c r="B154" s="8"/>
      <c r="C154" s="10" t="str">
        <f aca="false">IF(B154="","",IFERROR(VLOOKUP(B154,DonHang!$A$2:$C$500,3,FALSE()),"mã đơn chưa có"))</f>
        <v/>
      </c>
      <c r="D154" s="14"/>
      <c r="E154" s="8"/>
      <c r="F154" s="8"/>
      <c r="G154" s="8"/>
    </row>
    <row r="155" customFormat="false" ht="15" hidden="false" customHeight="false" outlineLevel="0" collapsed="false">
      <c r="A155" s="9"/>
      <c r="B155" s="8"/>
      <c r="C155" s="10" t="str">
        <f aca="false">IF(B155="","",IFERROR(VLOOKUP(B155,DonHang!$A$2:$C$500,3,FALSE()),"mã đơn chưa có"))</f>
        <v/>
      </c>
      <c r="D155" s="14"/>
      <c r="E155" s="8"/>
      <c r="F155" s="8"/>
      <c r="G155" s="8"/>
    </row>
    <row r="156" customFormat="false" ht="15" hidden="false" customHeight="false" outlineLevel="0" collapsed="false">
      <c r="A156" s="9"/>
      <c r="B156" s="8"/>
      <c r="C156" s="10" t="str">
        <f aca="false">IF(B156="","",IFERROR(VLOOKUP(B156,DonHang!$A$2:$C$500,3,FALSE()),"mã đơn chưa có"))</f>
        <v/>
      </c>
      <c r="D156" s="14"/>
      <c r="E156" s="8"/>
      <c r="F156" s="8"/>
      <c r="G156" s="8"/>
    </row>
    <row r="157" customFormat="false" ht="15" hidden="false" customHeight="false" outlineLevel="0" collapsed="false">
      <c r="A157" s="9"/>
      <c r="B157" s="8"/>
      <c r="C157" s="10" t="str">
        <f aca="false">IF(B157="","",IFERROR(VLOOKUP(B157,DonHang!$A$2:$C$500,3,FALSE()),"mã đơn chưa có"))</f>
        <v/>
      </c>
      <c r="D157" s="14"/>
      <c r="E157" s="8"/>
      <c r="F157" s="8"/>
      <c r="G157" s="8"/>
    </row>
    <row r="158" customFormat="false" ht="15" hidden="false" customHeight="false" outlineLevel="0" collapsed="false">
      <c r="A158" s="9"/>
      <c r="B158" s="8"/>
      <c r="C158" s="10" t="str">
        <f aca="false">IF(B158="","",IFERROR(VLOOKUP(B158,DonHang!$A$2:$C$500,3,FALSE()),"mã đơn chưa có"))</f>
        <v/>
      </c>
      <c r="D158" s="14"/>
      <c r="E158" s="8"/>
      <c r="F158" s="8"/>
      <c r="G158" s="8"/>
    </row>
    <row r="159" customFormat="false" ht="15" hidden="false" customHeight="false" outlineLevel="0" collapsed="false">
      <c r="A159" s="9"/>
      <c r="B159" s="8"/>
      <c r="C159" s="10" t="str">
        <f aca="false">IF(B159="","",IFERROR(VLOOKUP(B159,DonHang!$A$2:$C$500,3,FALSE()),"mã đơn chưa có"))</f>
        <v/>
      </c>
      <c r="D159" s="14"/>
      <c r="E159" s="8"/>
      <c r="F159" s="8"/>
      <c r="G159" s="8"/>
    </row>
    <row r="160" customFormat="false" ht="15" hidden="false" customHeight="false" outlineLevel="0" collapsed="false">
      <c r="A160" s="9"/>
      <c r="B160" s="8"/>
      <c r="C160" s="10" t="str">
        <f aca="false">IF(B160="","",IFERROR(VLOOKUP(B160,DonHang!$A$2:$C$500,3,FALSE()),"mã đơn chưa có"))</f>
        <v/>
      </c>
      <c r="D160" s="14"/>
      <c r="E160" s="8"/>
      <c r="F160" s="8"/>
      <c r="G160" s="8"/>
    </row>
    <row r="161" customFormat="false" ht="15" hidden="false" customHeight="false" outlineLevel="0" collapsed="false">
      <c r="A161" s="9"/>
      <c r="B161" s="8"/>
      <c r="C161" s="10" t="str">
        <f aca="false">IF(B161="","",IFERROR(VLOOKUP(B161,DonHang!$A$2:$C$500,3,FALSE()),"mã đơn chưa có"))</f>
        <v/>
      </c>
      <c r="D161" s="14"/>
      <c r="E161" s="8"/>
      <c r="F161" s="8"/>
      <c r="G161" s="8"/>
    </row>
    <row r="162" customFormat="false" ht="15" hidden="false" customHeight="false" outlineLevel="0" collapsed="false">
      <c r="A162" s="9"/>
      <c r="B162" s="8"/>
      <c r="C162" s="10" t="str">
        <f aca="false">IF(B162="","",IFERROR(VLOOKUP(B162,DonHang!$A$2:$C$500,3,FALSE()),"mã đơn chưa có"))</f>
        <v/>
      </c>
      <c r="D162" s="14"/>
      <c r="E162" s="8"/>
      <c r="F162" s="8"/>
      <c r="G162" s="8"/>
    </row>
    <row r="163" customFormat="false" ht="15" hidden="false" customHeight="false" outlineLevel="0" collapsed="false">
      <c r="A163" s="9"/>
      <c r="B163" s="8"/>
      <c r="C163" s="10" t="str">
        <f aca="false">IF(B163="","",IFERROR(VLOOKUP(B163,DonHang!$A$2:$C$500,3,FALSE()),"mã đơn chưa có"))</f>
        <v/>
      </c>
      <c r="D163" s="14"/>
      <c r="E163" s="8"/>
      <c r="F163" s="8"/>
      <c r="G163" s="8"/>
    </row>
    <row r="164" customFormat="false" ht="15" hidden="false" customHeight="false" outlineLevel="0" collapsed="false">
      <c r="A164" s="9"/>
      <c r="B164" s="8"/>
      <c r="C164" s="10" t="str">
        <f aca="false">IF(B164="","",IFERROR(VLOOKUP(B164,DonHang!$A$2:$C$500,3,FALSE()),"mã đơn chưa có"))</f>
        <v/>
      </c>
      <c r="D164" s="14"/>
      <c r="E164" s="8"/>
      <c r="F164" s="8"/>
      <c r="G164" s="8"/>
    </row>
    <row r="165" customFormat="false" ht="15" hidden="false" customHeight="false" outlineLevel="0" collapsed="false">
      <c r="A165" s="9"/>
      <c r="B165" s="8"/>
      <c r="C165" s="10" t="str">
        <f aca="false">IF(B165="","",IFERROR(VLOOKUP(B165,DonHang!$A$2:$C$500,3,FALSE()),"mã đơn chưa có"))</f>
        <v/>
      </c>
      <c r="D165" s="14"/>
      <c r="E165" s="8"/>
      <c r="F165" s="8"/>
      <c r="G165" s="8"/>
    </row>
    <row r="166" customFormat="false" ht="15" hidden="false" customHeight="false" outlineLevel="0" collapsed="false">
      <c r="A166" s="9"/>
      <c r="B166" s="8"/>
      <c r="C166" s="10" t="str">
        <f aca="false">IF(B166="","",IFERROR(VLOOKUP(B166,DonHang!$A$2:$C$500,3,FALSE()),"mã đơn chưa có"))</f>
        <v/>
      </c>
      <c r="D166" s="14"/>
      <c r="E166" s="8"/>
      <c r="F166" s="8"/>
      <c r="G166" s="8"/>
    </row>
    <row r="167" customFormat="false" ht="15" hidden="false" customHeight="false" outlineLevel="0" collapsed="false">
      <c r="A167" s="9"/>
      <c r="B167" s="8"/>
      <c r="C167" s="10" t="str">
        <f aca="false">IF(B167="","",IFERROR(VLOOKUP(B167,DonHang!$A$2:$C$500,3,FALSE()),"mã đơn chưa có"))</f>
        <v/>
      </c>
      <c r="D167" s="14"/>
      <c r="E167" s="8"/>
      <c r="F167" s="8"/>
      <c r="G167" s="8"/>
    </row>
    <row r="168" customFormat="false" ht="15" hidden="false" customHeight="false" outlineLevel="0" collapsed="false">
      <c r="A168" s="9"/>
      <c r="B168" s="8"/>
      <c r="C168" s="10" t="str">
        <f aca="false">IF(B168="","",IFERROR(VLOOKUP(B168,DonHang!$A$2:$C$500,3,FALSE()),"mã đơn chưa có"))</f>
        <v/>
      </c>
      <c r="D168" s="14"/>
      <c r="E168" s="8"/>
      <c r="F168" s="8"/>
      <c r="G168" s="8"/>
    </row>
    <row r="169" customFormat="false" ht="15" hidden="false" customHeight="false" outlineLevel="0" collapsed="false">
      <c r="A169" s="9"/>
      <c r="B169" s="8"/>
      <c r="C169" s="10" t="str">
        <f aca="false">IF(B169="","",IFERROR(VLOOKUP(B169,DonHang!$A$2:$C$500,3,FALSE()),"mã đơn chưa có"))</f>
        <v/>
      </c>
      <c r="D169" s="14"/>
      <c r="E169" s="8"/>
      <c r="F169" s="8"/>
      <c r="G169" s="8"/>
    </row>
    <row r="170" customFormat="false" ht="15" hidden="false" customHeight="false" outlineLevel="0" collapsed="false">
      <c r="A170" s="9"/>
      <c r="B170" s="8"/>
      <c r="C170" s="10" t="str">
        <f aca="false">IF(B170="","",IFERROR(VLOOKUP(B170,DonHang!$A$2:$C$500,3,FALSE()),"mã đơn chưa có"))</f>
        <v/>
      </c>
      <c r="D170" s="14"/>
      <c r="E170" s="8"/>
      <c r="F170" s="8"/>
      <c r="G170" s="8"/>
    </row>
    <row r="171" customFormat="false" ht="15" hidden="false" customHeight="false" outlineLevel="0" collapsed="false">
      <c r="A171" s="9"/>
      <c r="B171" s="8"/>
      <c r="C171" s="10" t="str">
        <f aca="false">IF(B171="","",IFERROR(VLOOKUP(B171,DonHang!$A$2:$C$500,3,FALSE()),"mã đơn chưa có"))</f>
        <v/>
      </c>
      <c r="D171" s="14"/>
      <c r="E171" s="8"/>
      <c r="F171" s="8"/>
      <c r="G171" s="8"/>
    </row>
    <row r="172" customFormat="false" ht="15" hidden="false" customHeight="false" outlineLevel="0" collapsed="false">
      <c r="A172" s="9"/>
      <c r="B172" s="8"/>
      <c r="C172" s="10" t="str">
        <f aca="false">IF(B172="","",IFERROR(VLOOKUP(B172,DonHang!$A$2:$C$500,3,FALSE()),"mã đơn chưa có"))</f>
        <v/>
      </c>
      <c r="D172" s="14"/>
      <c r="E172" s="8"/>
      <c r="F172" s="8"/>
      <c r="G172" s="8"/>
    </row>
    <row r="173" customFormat="false" ht="15" hidden="false" customHeight="false" outlineLevel="0" collapsed="false">
      <c r="A173" s="9"/>
      <c r="B173" s="8"/>
      <c r="C173" s="10" t="str">
        <f aca="false">IF(B173="","",IFERROR(VLOOKUP(B173,DonHang!$A$2:$C$500,3,FALSE()),"mã đơn chưa có"))</f>
        <v/>
      </c>
      <c r="D173" s="14"/>
      <c r="E173" s="8"/>
      <c r="F173" s="8"/>
      <c r="G173" s="8"/>
    </row>
    <row r="174" customFormat="false" ht="15" hidden="false" customHeight="false" outlineLevel="0" collapsed="false">
      <c r="A174" s="9"/>
      <c r="B174" s="8"/>
      <c r="C174" s="10" t="str">
        <f aca="false">IF(B174="","",IFERROR(VLOOKUP(B174,DonHang!$A$2:$C$500,3,FALSE()),"mã đơn chưa có"))</f>
        <v/>
      </c>
      <c r="D174" s="14"/>
      <c r="E174" s="8"/>
      <c r="F174" s="8"/>
      <c r="G174" s="8"/>
    </row>
    <row r="175" customFormat="false" ht="15" hidden="false" customHeight="false" outlineLevel="0" collapsed="false">
      <c r="A175" s="9"/>
      <c r="B175" s="8"/>
      <c r="C175" s="10" t="str">
        <f aca="false">IF(B175="","",IFERROR(VLOOKUP(B175,DonHang!$A$2:$C$500,3,FALSE()),"mã đơn chưa có"))</f>
        <v/>
      </c>
      <c r="D175" s="14"/>
      <c r="E175" s="8"/>
      <c r="F175" s="8"/>
      <c r="G175" s="8"/>
    </row>
    <row r="176" customFormat="false" ht="15" hidden="false" customHeight="false" outlineLevel="0" collapsed="false">
      <c r="A176" s="9"/>
      <c r="B176" s="8"/>
      <c r="C176" s="10" t="str">
        <f aca="false">IF(B176="","",IFERROR(VLOOKUP(B176,DonHang!$A$2:$C$500,3,FALSE()),"mã đơn chưa có"))</f>
        <v/>
      </c>
      <c r="D176" s="14"/>
      <c r="E176" s="8"/>
      <c r="F176" s="8"/>
      <c r="G176" s="8"/>
    </row>
    <row r="177" customFormat="false" ht="15" hidden="false" customHeight="false" outlineLevel="0" collapsed="false">
      <c r="A177" s="9"/>
      <c r="B177" s="8"/>
      <c r="C177" s="10" t="str">
        <f aca="false">IF(B177="","",IFERROR(VLOOKUP(B177,DonHang!$A$2:$C$500,3,FALSE()),"mã đơn chưa có"))</f>
        <v/>
      </c>
      <c r="D177" s="14"/>
      <c r="E177" s="8"/>
      <c r="F177" s="8"/>
      <c r="G177" s="8"/>
    </row>
    <row r="178" customFormat="false" ht="15" hidden="false" customHeight="false" outlineLevel="0" collapsed="false">
      <c r="A178" s="9"/>
      <c r="B178" s="8"/>
      <c r="C178" s="10" t="str">
        <f aca="false">IF(B178="","",IFERROR(VLOOKUP(B178,DonHang!$A$2:$C$500,3,FALSE()),"mã đơn chưa có"))</f>
        <v/>
      </c>
      <c r="D178" s="14"/>
      <c r="E178" s="8"/>
      <c r="F178" s="8"/>
      <c r="G178" s="8"/>
    </row>
    <row r="179" customFormat="false" ht="15" hidden="false" customHeight="false" outlineLevel="0" collapsed="false">
      <c r="A179" s="9"/>
      <c r="B179" s="8"/>
      <c r="C179" s="10" t="str">
        <f aca="false">IF(B179="","",IFERROR(VLOOKUP(B179,DonHang!$A$2:$C$500,3,FALSE()),"mã đơn chưa có"))</f>
        <v/>
      </c>
      <c r="D179" s="14"/>
      <c r="E179" s="8"/>
      <c r="F179" s="8"/>
      <c r="G179" s="8"/>
    </row>
    <row r="180" customFormat="false" ht="15" hidden="false" customHeight="false" outlineLevel="0" collapsed="false">
      <c r="A180" s="9"/>
      <c r="B180" s="8"/>
      <c r="C180" s="10" t="str">
        <f aca="false">IF(B180="","",IFERROR(VLOOKUP(B180,DonHang!$A$2:$C$500,3,FALSE()),"mã đơn chưa có"))</f>
        <v/>
      </c>
      <c r="D180" s="14"/>
      <c r="E180" s="8"/>
      <c r="F180" s="8"/>
      <c r="G180" s="8"/>
    </row>
    <row r="181" customFormat="false" ht="15" hidden="false" customHeight="false" outlineLevel="0" collapsed="false">
      <c r="A181" s="9"/>
      <c r="B181" s="8"/>
      <c r="C181" s="10" t="str">
        <f aca="false">IF(B181="","",IFERROR(VLOOKUP(B181,DonHang!$A$2:$C$500,3,FALSE()),"mã đơn chưa có"))</f>
        <v/>
      </c>
      <c r="D181" s="14"/>
      <c r="E181" s="8"/>
      <c r="F181" s="8"/>
      <c r="G181" s="8"/>
    </row>
    <row r="182" customFormat="false" ht="15" hidden="false" customHeight="false" outlineLevel="0" collapsed="false">
      <c r="A182" s="9"/>
      <c r="B182" s="8"/>
      <c r="C182" s="10" t="str">
        <f aca="false">IF(B182="","",IFERROR(VLOOKUP(B182,DonHang!$A$2:$C$500,3,FALSE()),"mã đơn chưa có"))</f>
        <v/>
      </c>
      <c r="D182" s="14"/>
      <c r="E182" s="8"/>
      <c r="F182" s="8"/>
      <c r="G182" s="8"/>
    </row>
    <row r="183" customFormat="false" ht="15" hidden="false" customHeight="false" outlineLevel="0" collapsed="false">
      <c r="A183" s="9"/>
      <c r="B183" s="8"/>
      <c r="C183" s="10" t="str">
        <f aca="false">IF(B183="","",IFERROR(VLOOKUP(B183,DonHang!$A$2:$C$500,3,FALSE()),"mã đơn chưa có"))</f>
        <v/>
      </c>
      <c r="D183" s="14"/>
      <c r="E183" s="8"/>
      <c r="F183" s="8"/>
      <c r="G183" s="8"/>
    </row>
    <row r="184" customFormat="false" ht="15" hidden="false" customHeight="false" outlineLevel="0" collapsed="false">
      <c r="A184" s="9"/>
      <c r="B184" s="8"/>
      <c r="C184" s="10" t="str">
        <f aca="false">IF(B184="","",IFERROR(VLOOKUP(B184,DonHang!$A$2:$C$500,3,FALSE()),"mã đơn chưa có"))</f>
        <v/>
      </c>
      <c r="D184" s="14"/>
      <c r="E184" s="8"/>
      <c r="F184" s="8"/>
      <c r="G184" s="8"/>
    </row>
    <row r="185" customFormat="false" ht="15" hidden="false" customHeight="false" outlineLevel="0" collapsed="false">
      <c r="A185" s="9"/>
      <c r="B185" s="8"/>
      <c r="C185" s="10" t="str">
        <f aca="false">IF(B185="","",IFERROR(VLOOKUP(B185,DonHang!$A$2:$C$500,3,FALSE()),"mã đơn chưa có"))</f>
        <v/>
      </c>
      <c r="D185" s="14"/>
      <c r="E185" s="8"/>
      <c r="F185" s="8"/>
      <c r="G185" s="8"/>
    </row>
    <row r="186" customFormat="false" ht="15" hidden="false" customHeight="false" outlineLevel="0" collapsed="false">
      <c r="A186" s="9"/>
      <c r="B186" s="8"/>
      <c r="C186" s="10" t="str">
        <f aca="false">IF(B186="","",IFERROR(VLOOKUP(B186,DonHang!$A$2:$C$500,3,FALSE()),"mã đơn chưa có"))</f>
        <v/>
      </c>
      <c r="D186" s="14"/>
      <c r="E186" s="8"/>
      <c r="F186" s="8"/>
      <c r="G186" s="8"/>
    </row>
    <row r="187" customFormat="false" ht="15" hidden="false" customHeight="false" outlineLevel="0" collapsed="false">
      <c r="A187" s="9"/>
      <c r="B187" s="8"/>
      <c r="C187" s="10" t="str">
        <f aca="false">IF(B187="","",IFERROR(VLOOKUP(B187,DonHang!$A$2:$C$500,3,FALSE()),"mã đơn chưa có"))</f>
        <v/>
      </c>
      <c r="D187" s="14"/>
      <c r="E187" s="8"/>
      <c r="F187" s="8"/>
      <c r="G187" s="8"/>
    </row>
    <row r="188" customFormat="false" ht="15" hidden="false" customHeight="false" outlineLevel="0" collapsed="false">
      <c r="A188" s="9"/>
      <c r="B188" s="8"/>
      <c r="C188" s="10" t="str">
        <f aca="false">IF(B188="","",IFERROR(VLOOKUP(B188,DonHang!$A$2:$C$500,3,FALSE()),"mã đơn chưa có"))</f>
        <v/>
      </c>
      <c r="D188" s="14"/>
      <c r="E188" s="8"/>
      <c r="F188" s="8"/>
      <c r="G188" s="8"/>
    </row>
    <row r="189" customFormat="false" ht="15" hidden="false" customHeight="false" outlineLevel="0" collapsed="false">
      <c r="A189" s="9"/>
      <c r="B189" s="8"/>
      <c r="C189" s="10" t="str">
        <f aca="false">IF(B189="","",IFERROR(VLOOKUP(B189,DonHang!$A$2:$C$500,3,FALSE()),"mã đơn chưa có"))</f>
        <v/>
      </c>
      <c r="D189" s="14"/>
      <c r="E189" s="8"/>
      <c r="F189" s="8"/>
      <c r="G189" s="8"/>
    </row>
    <row r="190" customFormat="false" ht="15" hidden="false" customHeight="false" outlineLevel="0" collapsed="false">
      <c r="A190" s="9"/>
      <c r="B190" s="8"/>
      <c r="C190" s="10" t="str">
        <f aca="false">IF(B190="","",IFERROR(VLOOKUP(B190,DonHang!$A$2:$C$500,3,FALSE()),"mã đơn chưa có"))</f>
        <v/>
      </c>
      <c r="D190" s="14"/>
      <c r="E190" s="8"/>
      <c r="F190" s="8"/>
      <c r="G190" s="8"/>
    </row>
    <row r="191" customFormat="false" ht="15" hidden="false" customHeight="false" outlineLevel="0" collapsed="false">
      <c r="A191" s="9"/>
      <c r="B191" s="8"/>
      <c r="C191" s="10" t="str">
        <f aca="false">IF(B191="","",IFERROR(VLOOKUP(B191,DonHang!$A$2:$C$500,3,FALSE()),"mã đơn chưa có"))</f>
        <v/>
      </c>
      <c r="D191" s="14"/>
      <c r="E191" s="8"/>
      <c r="F191" s="8"/>
      <c r="G191" s="8"/>
    </row>
    <row r="192" customFormat="false" ht="15" hidden="false" customHeight="false" outlineLevel="0" collapsed="false">
      <c r="A192" s="9"/>
      <c r="B192" s="8"/>
      <c r="C192" s="10" t="str">
        <f aca="false">IF(B192="","",IFERROR(VLOOKUP(B192,DonHang!$A$2:$C$500,3,FALSE()),"mã đơn chưa có"))</f>
        <v/>
      </c>
      <c r="D192" s="14"/>
      <c r="E192" s="8"/>
      <c r="F192" s="8"/>
      <c r="G192" s="8"/>
    </row>
    <row r="193" customFormat="false" ht="15" hidden="false" customHeight="false" outlineLevel="0" collapsed="false">
      <c r="A193" s="9"/>
      <c r="B193" s="8"/>
      <c r="C193" s="10" t="str">
        <f aca="false">IF(B193="","",IFERROR(VLOOKUP(B193,DonHang!$A$2:$C$500,3,FALSE()),"mã đơn chưa có"))</f>
        <v/>
      </c>
      <c r="D193" s="14"/>
      <c r="E193" s="8"/>
      <c r="F193" s="8"/>
      <c r="G193" s="8"/>
    </row>
    <row r="194" customFormat="false" ht="15" hidden="false" customHeight="false" outlineLevel="0" collapsed="false">
      <c r="A194" s="9"/>
      <c r="B194" s="8"/>
      <c r="C194" s="10" t="str">
        <f aca="false">IF(B194="","",IFERROR(VLOOKUP(B194,DonHang!$A$2:$C$500,3,FALSE()),"mã đơn chưa có"))</f>
        <v/>
      </c>
      <c r="D194" s="14"/>
      <c r="E194" s="8"/>
      <c r="F194" s="8"/>
      <c r="G194" s="8"/>
    </row>
    <row r="195" customFormat="false" ht="15" hidden="false" customHeight="false" outlineLevel="0" collapsed="false">
      <c r="A195" s="9"/>
      <c r="B195" s="8"/>
      <c r="C195" s="10" t="str">
        <f aca="false">IF(B195="","",IFERROR(VLOOKUP(B195,DonHang!$A$2:$C$500,3,FALSE()),"mã đơn chưa có"))</f>
        <v/>
      </c>
      <c r="D195" s="14"/>
      <c r="E195" s="8"/>
      <c r="F195" s="8"/>
      <c r="G195" s="8"/>
    </row>
    <row r="196" customFormat="false" ht="15" hidden="false" customHeight="false" outlineLevel="0" collapsed="false">
      <c r="A196" s="9"/>
      <c r="B196" s="8"/>
      <c r="C196" s="10" t="str">
        <f aca="false">IF(B196="","",IFERROR(VLOOKUP(B196,DonHang!$A$2:$C$500,3,FALSE()),"mã đơn chưa có"))</f>
        <v/>
      </c>
      <c r="D196" s="14"/>
      <c r="E196" s="8"/>
      <c r="F196" s="8"/>
      <c r="G196" s="8"/>
    </row>
    <row r="197" customFormat="false" ht="15" hidden="false" customHeight="false" outlineLevel="0" collapsed="false">
      <c r="A197" s="9"/>
      <c r="B197" s="8"/>
      <c r="C197" s="10" t="str">
        <f aca="false">IF(B197="","",IFERROR(VLOOKUP(B197,DonHang!$A$2:$C$500,3,FALSE()),"mã đơn chưa có"))</f>
        <v/>
      </c>
      <c r="D197" s="14"/>
      <c r="E197" s="8"/>
      <c r="F197" s="8"/>
      <c r="G197" s="8"/>
    </row>
    <row r="198" customFormat="false" ht="15" hidden="false" customHeight="false" outlineLevel="0" collapsed="false">
      <c r="A198" s="9"/>
      <c r="B198" s="8"/>
      <c r="C198" s="10" t="str">
        <f aca="false">IF(B198="","",IFERROR(VLOOKUP(B198,DonHang!$A$2:$C$500,3,FALSE()),"mã đơn chưa có"))</f>
        <v/>
      </c>
      <c r="D198" s="14"/>
      <c r="E198" s="8"/>
      <c r="F198" s="8"/>
      <c r="G198" s="8"/>
    </row>
    <row r="199" customFormat="false" ht="15" hidden="false" customHeight="false" outlineLevel="0" collapsed="false">
      <c r="A199" s="9"/>
      <c r="B199" s="8"/>
      <c r="C199" s="10" t="str">
        <f aca="false">IF(B199="","",IFERROR(VLOOKUP(B199,DonHang!$A$2:$C$500,3,FALSE()),"mã đơn chưa có"))</f>
        <v/>
      </c>
      <c r="D199" s="14"/>
      <c r="E199" s="8"/>
      <c r="F199" s="8"/>
      <c r="G199" s="8"/>
    </row>
    <row r="200" customFormat="false" ht="15" hidden="false" customHeight="false" outlineLevel="0" collapsed="false">
      <c r="A200" s="9"/>
      <c r="B200" s="8"/>
      <c r="C200" s="10" t="str">
        <f aca="false">IF(B200="","",IFERROR(VLOOKUP(B200,DonHang!$A$2:$C$500,3,FALSE()),"mã đơn chưa có"))</f>
        <v/>
      </c>
      <c r="D200" s="14"/>
      <c r="E200" s="8"/>
      <c r="F200" s="8"/>
      <c r="G200" s="8"/>
    </row>
    <row r="201" customFormat="false" ht="15" hidden="false" customHeight="false" outlineLevel="0" collapsed="false">
      <c r="A201" s="9"/>
      <c r="B201" s="8"/>
      <c r="C201" s="10" t="str">
        <f aca="false">IF(B201="","",IFERROR(VLOOKUP(B201,DonHang!$A$2:$C$500,3,FALSE()),"mã đơn chưa có"))</f>
        <v/>
      </c>
      <c r="D201" s="14"/>
      <c r="E201" s="8"/>
      <c r="F201" s="8"/>
      <c r="G201" s="8"/>
    </row>
    <row r="202" customFormat="false" ht="15" hidden="false" customHeight="false" outlineLevel="0" collapsed="false">
      <c r="A202" s="9"/>
      <c r="B202" s="8"/>
      <c r="C202" s="10" t="str">
        <f aca="false">IF(B202="","",IFERROR(VLOOKUP(B202,DonHang!$A$2:$C$500,3,FALSE()),"mã đơn chưa có"))</f>
        <v/>
      </c>
      <c r="D202" s="14"/>
      <c r="E202" s="8"/>
      <c r="F202" s="8"/>
      <c r="G202" s="8"/>
    </row>
    <row r="203" customFormat="false" ht="15" hidden="false" customHeight="false" outlineLevel="0" collapsed="false">
      <c r="A203" s="9"/>
      <c r="B203" s="8"/>
      <c r="C203" s="10" t="str">
        <f aca="false">IF(B203="","",IFERROR(VLOOKUP(B203,DonHang!$A$2:$C$500,3,FALSE()),"mã đơn chưa có"))</f>
        <v/>
      </c>
      <c r="D203" s="14"/>
      <c r="E203" s="8"/>
      <c r="F203" s="8"/>
      <c r="G203" s="8"/>
    </row>
    <row r="204" customFormat="false" ht="15" hidden="false" customHeight="false" outlineLevel="0" collapsed="false">
      <c r="A204" s="9"/>
      <c r="B204" s="8"/>
      <c r="C204" s="10" t="str">
        <f aca="false">IF(B204="","",IFERROR(VLOOKUP(B204,DonHang!$A$2:$C$500,3,FALSE()),"mã đơn chưa có"))</f>
        <v/>
      </c>
      <c r="D204" s="14"/>
      <c r="E204" s="8"/>
      <c r="F204" s="8"/>
      <c r="G204" s="8"/>
    </row>
    <row r="205" customFormat="false" ht="15" hidden="false" customHeight="false" outlineLevel="0" collapsed="false">
      <c r="A205" s="9"/>
      <c r="B205" s="8"/>
      <c r="C205" s="10" t="str">
        <f aca="false">IF(B205="","",IFERROR(VLOOKUP(B205,DonHang!$A$2:$C$500,3,FALSE()),"mã đơn chưa có"))</f>
        <v/>
      </c>
      <c r="D205" s="14"/>
      <c r="E205" s="8"/>
      <c r="F205" s="8"/>
      <c r="G205" s="8"/>
    </row>
    <row r="206" customFormat="false" ht="15" hidden="false" customHeight="false" outlineLevel="0" collapsed="false">
      <c r="A206" s="9"/>
      <c r="B206" s="8"/>
      <c r="C206" s="10" t="str">
        <f aca="false">IF(B206="","",IFERROR(VLOOKUP(B206,DonHang!$A$2:$C$500,3,FALSE()),"mã đơn chưa có"))</f>
        <v/>
      </c>
      <c r="D206" s="14"/>
      <c r="E206" s="8"/>
      <c r="F206" s="8"/>
      <c r="G206" s="8"/>
    </row>
    <row r="207" customFormat="false" ht="15" hidden="false" customHeight="false" outlineLevel="0" collapsed="false">
      <c r="A207" s="9"/>
      <c r="B207" s="8"/>
      <c r="C207" s="10" t="str">
        <f aca="false">IF(B207="","",IFERROR(VLOOKUP(B207,DonHang!$A$2:$C$500,3,FALSE()),"mã đơn chưa có"))</f>
        <v/>
      </c>
      <c r="D207" s="14"/>
      <c r="E207" s="8"/>
      <c r="F207" s="8"/>
      <c r="G207" s="8"/>
    </row>
    <row r="208" customFormat="false" ht="15" hidden="false" customHeight="false" outlineLevel="0" collapsed="false">
      <c r="A208" s="9"/>
      <c r="B208" s="8"/>
      <c r="C208" s="10" t="str">
        <f aca="false">IF(B208="","",IFERROR(VLOOKUP(B208,DonHang!$A$2:$C$500,3,FALSE()),"mã đơn chưa có"))</f>
        <v/>
      </c>
      <c r="D208" s="14"/>
      <c r="E208" s="8"/>
      <c r="F208" s="8"/>
      <c r="G208" s="8"/>
    </row>
    <row r="209" customFormat="false" ht="15" hidden="false" customHeight="false" outlineLevel="0" collapsed="false">
      <c r="A209" s="9"/>
      <c r="B209" s="8"/>
      <c r="C209" s="10" t="str">
        <f aca="false">IF(B209="","",IFERROR(VLOOKUP(B209,DonHang!$A$2:$C$500,3,FALSE()),"mã đơn chưa có"))</f>
        <v/>
      </c>
      <c r="D209" s="14"/>
      <c r="E209" s="8"/>
      <c r="F209" s="8"/>
      <c r="G209" s="8"/>
    </row>
    <row r="210" customFormat="false" ht="15" hidden="false" customHeight="false" outlineLevel="0" collapsed="false">
      <c r="A210" s="9"/>
      <c r="B210" s="8"/>
      <c r="C210" s="10" t="str">
        <f aca="false">IF(B210="","",IFERROR(VLOOKUP(B210,DonHang!$A$2:$C$500,3,FALSE()),"mã đơn chưa có"))</f>
        <v/>
      </c>
      <c r="D210" s="14"/>
      <c r="E210" s="8"/>
      <c r="F210" s="8"/>
      <c r="G210" s="8"/>
    </row>
    <row r="211" customFormat="false" ht="15" hidden="false" customHeight="false" outlineLevel="0" collapsed="false">
      <c r="A211" s="9"/>
      <c r="B211" s="8"/>
      <c r="C211" s="10" t="str">
        <f aca="false">IF(B211="","",IFERROR(VLOOKUP(B211,DonHang!$A$2:$C$500,3,FALSE()),"mã đơn chưa có"))</f>
        <v/>
      </c>
      <c r="D211" s="14"/>
      <c r="E211" s="8"/>
      <c r="F211" s="8"/>
      <c r="G211" s="8"/>
    </row>
    <row r="212" customFormat="false" ht="15" hidden="false" customHeight="false" outlineLevel="0" collapsed="false">
      <c r="A212" s="9"/>
      <c r="B212" s="8"/>
      <c r="C212" s="10" t="str">
        <f aca="false">IF(B212="","",IFERROR(VLOOKUP(B212,DonHang!$A$2:$C$500,3,FALSE()),"mã đơn chưa có"))</f>
        <v/>
      </c>
      <c r="D212" s="14"/>
      <c r="E212" s="8"/>
      <c r="F212" s="8"/>
      <c r="G212" s="8"/>
    </row>
    <row r="213" customFormat="false" ht="15" hidden="false" customHeight="false" outlineLevel="0" collapsed="false">
      <c r="A213" s="9"/>
      <c r="B213" s="8"/>
      <c r="C213" s="10" t="str">
        <f aca="false">IF(B213="","",IFERROR(VLOOKUP(B213,DonHang!$A$2:$C$500,3,FALSE()),"mã đơn chưa có"))</f>
        <v/>
      </c>
      <c r="D213" s="14"/>
      <c r="E213" s="8"/>
      <c r="F213" s="8"/>
      <c r="G213" s="8"/>
    </row>
    <row r="214" customFormat="false" ht="15" hidden="false" customHeight="false" outlineLevel="0" collapsed="false">
      <c r="A214" s="9"/>
      <c r="B214" s="8"/>
      <c r="C214" s="10" t="str">
        <f aca="false">IF(B214="","",IFERROR(VLOOKUP(B214,DonHang!$A$2:$C$500,3,FALSE()),"mã đơn chưa có"))</f>
        <v/>
      </c>
      <c r="D214" s="14"/>
      <c r="E214" s="8"/>
      <c r="F214" s="8"/>
      <c r="G214" s="8"/>
    </row>
    <row r="215" customFormat="false" ht="15" hidden="false" customHeight="false" outlineLevel="0" collapsed="false">
      <c r="A215" s="9"/>
      <c r="B215" s="8"/>
      <c r="C215" s="10" t="str">
        <f aca="false">IF(B215="","",IFERROR(VLOOKUP(B215,DonHang!$A$2:$C$500,3,FALSE()),"mã đơn chưa có"))</f>
        <v/>
      </c>
      <c r="D215" s="14"/>
      <c r="E215" s="8"/>
      <c r="F215" s="8"/>
      <c r="G215" s="8"/>
    </row>
    <row r="216" customFormat="false" ht="15" hidden="false" customHeight="false" outlineLevel="0" collapsed="false">
      <c r="A216" s="9"/>
      <c r="B216" s="8"/>
      <c r="C216" s="10" t="str">
        <f aca="false">IF(B216="","",IFERROR(VLOOKUP(B216,DonHang!$A$2:$C$500,3,FALSE()),"mã đơn chưa có"))</f>
        <v/>
      </c>
      <c r="D216" s="14"/>
      <c r="E216" s="8"/>
      <c r="F216" s="8"/>
      <c r="G216" s="8"/>
    </row>
    <row r="217" customFormat="false" ht="15" hidden="false" customHeight="false" outlineLevel="0" collapsed="false">
      <c r="A217" s="9"/>
      <c r="B217" s="8"/>
      <c r="C217" s="10" t="str">
        <f aca="false">IF(B217="","",IFERROR(VLOOKUP(B217,DonHang!$A$2:$C$500,3,FALSE()),"mã đơn chưa có"))</f>
        <v/>
      </c>
      <c r="D217" s="14"/>
      <c r="E217" s="8"/>
      <c r="F217" s="8"/>
      <c r="G217" s="8"/>
    </row>
    <row r="218" customFormat="false" ht="15" hidden="false" customHeight="false" outlineLevel="0" collapsed="false">
      <c r="A218" s="9"/>
      <c r="B218" s="8"/>
      <c r="C218" s="10" t="str">
        <f aca="false">IF(B218="","",IFERROR(VLOOKUP(B218,DonHang!$A$2:$C$500,3,FALSE()),"mã đơn chưa có"))</f>
        <v/>
      </c>
      <c r="D218" s="14"/>
      <c r="E218" s="8"/>
      <c r="F218" s="8"/>
      <c r="G218" s="8"/>
    </row>
    <row r="219" customFormat="false" ht="15" hidden="false" customHeight="false" outlineLevel="0" collapsed="false">
      <c r="A219" s="9"/>
      <c r="B219" s="8"/>
      <c r="C219" s="10" t="str">
        <f aca="false">IF(B219="","",IFERROR(VLOOKUP(B219,DonHang!$A$2:$C$500,3,FALSE()),"mã đơn chưa có"))</f>
        <v/>
      </c>
      <c r="D219" s="14"/>
      <c r="E219" s="8"/>
      <c r="F219" s="8"/>
      <c r="G219" s="8"/>
    </row>
    <row r="220" customFormat="false" ht="15" hidden="false" customHeight="false" outlineLevel="0" collapsed="false">
      <c r="A220" s="9"/>
      <c r="B220" s="8"/>
      <c r="C220" s="10" t="str">
        <f aca="false">IF(B220="","",IFERROR(VLOOKUP(B220,DonHang!$A$2:$C$500,3,FALSE()),"mã đơn chưa có"))</f>
        <v/>
      </c>
      <c r="D220" s="14"/>
      <c r="E220" s="8"/>
      <c r="F220" s="8"/>
      <c r="G220" s="8"/>
    </row>
    <row r="221" customFormat="false" ht="15" hidden="false" customHeight="false" outlineLevel="0" collapsed="false">
      <c r="A221" s="9"/>
      <c r="B221" s="8"/>
      <c r="C221" s="10" t="str">
        <f aca="false">IF(B221="","",IFERROR(VLOOKUP(B221,DonHang!$A$2:$C$500,3,FALSE()),"mã đơn chưa có"))</f>
        <v/>
      </c>
      <c r="D221" s="14"/>
      <c r="E221" s="8"/>
      <c r="F221" s="8"/>
      <c r="G221" s="8"/>
    </row>
    <row r="222" customFormat="false" ht="15" hidden="false" customHeight="false" outlineLevel="0" collapsed="false">
      <c r="A222" s="9"/>
      <c r="B222" s="8"/>
      <c r="C222" s="10" t="str">
        <f aca="false">IF(B222="","",IFERROR(VLOOKUP(B222,DonHang!$A$2:$C$500,3,FALSE()),"mã đơn chưa có"))</f>
        <v/>
      </c>
      <c r="D222" s="14"/>
      <c r="E222" s="8"/>
      <c r="F222" s="8"/>
      <c r="G222" s="8"/>
    </row>
    <row r="223" customFormat="false" ht="15" hidden="false" customHeight="false" outlineLevel="0" collapsed="false">
      <c r="A223" s="9"/>
      <c r="B223" s="8"/>
      <c r="C223" s="10" t="str">
        <f aca="false">IF(B223="","",IFERROR(VLOOKUP(B223,DonHang!$A$2:$C$500,3,FALSE()),"mã đơn chưa có"))</f>
        <v/>
      </c>
      <c r="D223" s="14"/>
      <c r="E223" s="8"/>
      <c r="F223" s="8"/>
      <c r="G223" s="8"/>
    </row>
    <row r="224" customFormat="false" ht="15" hidden="false" customHeight="false" outlineLevel="0" collapsed="false">
      <c r="A224" s="9"/>
      <c r="B224" s="8"/>
      <c r="C224" s="10" t="str">
        <f aca="false">IF(B224="","",IFERROR(VLOOKUP(B224,DonHang!$A$2:$C$500,3,FALSE()),"mã đơn chưa có"))</f>
        <v/>
      </c>
      <c r="D224" s="14"/>
      <c r="E224" s="8"/>
      <c r="F224" s="8"/>
      <c r="G224" s="8"/>
    </row>
    <row r="225" customFormat="false" ht="15" hidden="false" customHeight="false" outlineLevel="0" collapsed="false">
      <c r="A225" s="9"/>
      <c r="B225" s="8"/>
      <c r="C225" s="10" t="str">
        <f aca="false">IF(B225="","",IFERROR(VLOOKUP(B225,DonHang!$A$2:$C$500,3,FALSE()),"mã đơn chưa có"))</f>
        <v/>
      </c>
      <c r="D225" s="14"/>
      <c r="E225" s="8"/>
      <c r="F225" s="8"/>
      <c r="G225" s="8"/>
    </row>
    <row r="226" customFormat="false" ht="15" hidden="false" customHeight="false" outlineLevel="0" collapsed="false">
      <c r="A226" s="9"/>
      <c r="B226" s="8"/>
      <c r="C226" s="10" t="str">
        <f aca="false">IF(B226="","",IFERROR(VLOOKUP(B226,DonHang!$A$2:$C$500,3,FALSE()),"mã đơn chưa có"))</f>
        <v/>
      </c>
      <c r="D226" s="14"/>
      <c r="E226" s="8"/>
      <c r="F226" s="8"/>
      <c r="G226" s="8"/>
    </row>
    <row r="227" customFormat="false" ht="15" hidden="false" customHeight="false" outlineLevel="0" collapsed="false">
      <c r="A227" s="9"/>
      <c r="B227" s="8"/>
      <c r="C227" s="10" t="str">
        <f aca="false">IF(B227="","",IFERROR(VLOOKUP(B227,DonHang!$A$2:$C$500,3,FALSE()),"mã đơn chưa có"))</f>
        <v/>
      </c>
      <c r="D227" s="14"/>
      <c r="E227" s="8"/>
      <c r="F227" s="8"/>
      <c r="G227" s="8"/>
    </row>
    <row r="228" customFormat="false" ht="15" hidden="false" customHeight="false" outlineLevel="0" collapsed="false">
      <c r="A228" s="9"/>
      <c r="B228" s="8"/>
      <c r="C228" s="10" t="str">
        <f aca="false">IF(B228="","",IFERROR(VLOOKUP(B228,DonHang!$A$2:$C$500,3,FALSE()),"mã đơn chưa có"))</f>
        <v/>
      </c>
      <c r="D228" s="14"/>
      <c r="E228" s="8"/>
      <c r="F228" s="8"/>
      <c r="G228" s="8"/>
    </row>
    <row r="229" customFormat="false" ht="15" hidden="false" customHeight="false" outlineLevel="0" collapsed="false">
      <c r="A229" s="9"/>
      <c r="B229" s="8"/>
      <c r="C229" s="10" t="str">
        <f aca="false">IF(B229="","",IFERROR(VLOOKUP(B229,DonHang!$A$2:$C$500,3,FALSE()),"mã đơn chưa có"))</f>
        <v/>
      </c>
      <c r="D229" s="14"/>
      <c r="E229" s="8"/>
      <c r="F229" s="8"/>
      <c r="G229" s="8"/>
    </row>
    <row r="230" customFormat="false" ht="15" hidden="false" customHeight="false" outlineLevel="0" collapsed="false">
      <c r="A230" s="9"/>
      <c r="B230" s="8"/>
      <c r="C230" s="10" t="str">
        <f aca="false">IF(B230="","",IFERROR(VLOOKUP(B230,DonHang!$A$2:$C$500,3,FALSE()),"mã đơn chưa có"))</f>
        <v/>
      </c>
      <c r="D230" s="14"/>
      <c r="E230" s="8"/>
      <c r="F230" s="8"/>
      <c r="G230" s="8"/>
    </row>
    <row r="231" customFormat="false" ht="15" hidden="false" customHeight="false" outlineLevel="0" collapsed="false">
      <c r="A231" s="9"/>
      <c r="B231" s="8"/>
      <c r="C231" s="10" t="str">
        <f aca="false">IF(B231="","",IFERROR(VLOOKUP(B231,DonHang!$A$2:$C$500,3,FALSE()),"mã đơn chưa có"))</f>
        <v/>
      </c>
      <c r="D231" s="14"/>
      <c r="E231" s="8"/>
      <c r="F231" s="8"/>
      <c r="G231" s="8"/>
    </row>
    <row r="232" customFormat="false" ht="15" hidden="false" customHeight="false" outlineLevel="0" collapsed="false">
      <c r="A232" s="9"/>
      <c r="B232" s="8"/>
      <c r="C232" s="10" t="str">
        <f aca="false">IF(B232="","",IFERROR(VLOOKUP(B232,DonHang!$A$2:$C$500,3,FALSE()),"mã đơn chưa có"))</f>
        <v/>
      </c>
      <c r="D232" s="14"/>
      <c r="E232" s="8"/>
      <c r="F232" s="8"/>
      <c r="G232" s="8"/>
    </row>
    <row r="233" customFormat="false" ht="15" hidden="false" customHeight="false" outlineLevel="0" collapsed="false">
      <c r="A233" s="9"/>
      <c r="B233" s="8"/>
      <c r="C233" s="10" t="str">
        <f aca="false">IF(B233="","",IFERROR(VLOOKUP(B233,DonHang!$A$2:$C$500,3,FALSE()),"mã đơn chưa có"))</f>
        <v/>
      </c>
      <c r="D233" s="14"/>
      <c r="E233" s="8"/>
      <c r="F233" s="8"/>
      <c r="G233" s="8"/>
    </row>
    <row r="234" customFormat="false" ht="15" hidden="false" customHeight="false" outlineLevel="0" collapsed="false">
      <c r="A234" s="9"/>
      <c r="B234" s="8"/>
      <c r="C234" s="10" t="str">
        <f aca="false">IF(B234="","",IFERROR(VLOOKUP(B234,DonHang!$A$2:$C$500,3,FALSE()),"mã đơn chưa có"))</f>
        <v/>
      </c>
      <c r="D234" s="14"/>
      <c r="E234" s="8"/>
      <c r="F234" s="8"/>
      <c r="G234" s="8"/>
    </row>
    <row r="235" customFormat="false" ht="15" hidden="false" customHeight="false" outlineLevel="0" collapsed="false">
      <c r="A235" s="9"/>
      <c r="B235" s="8"/>
      <c r="C235" s="10" t="str">
        <f aca="false">IF(B235="","",IFERROR(VLOOKUP(B235,DonHang!$A$2:$C$500,3,FALSE()),"mã đơn chưa có"))</f>
        <v/>
      </c>
      <c r="D235" s="14"/>
      <c r="E235" s="8"/>
      <c r="F235" s="8"/>
      <c r="G235" s="8"/>
    </row>
    <row r="236" customFormat="false" ht="15" hidden="false" customHeight="false" outlineLevel="0" collapsed="false">
      <c r="A236" s="9"/>
      <c r="B236" s="8"/>
      <c r="C236" s="10" t="str">
        <f aca="false">IF(B236="","",IFERROR(VLOOKUP(B236,DonHang!$A$2:$C$500,3,FALSE()),"mã đơn chưa có"))</f>
        <v/>
      </c>
      <c r="D236" s="14"/>
      <c r="E236" s="8"/>
      <c r="F236" s="8"/>
      <c r="G236" s="8"/>
    </row>
    <row r="237" customFormat="false" ht="15" hidden="false" customHeight="false" outlineLevel="0" collapsed="false">
      <c r="A237" s="9"/>
      <c r="B237" s="8"/>
      <c r="C237" s="10" t="str">
        <f aca="false">IF(B237="","",IFERROR(VLOOKUP(B237,DonHang!$A$2:$C$500,3,FALSE()),"mã đơn chưa có"))</f>
        <v/>
      </c>
      <c r="D237" s="14"/>
      <c r="E237" s="8"/>
      <c r="F237" s="8"/>
      <c r="G237" s="8"/>
    </row>
    <row r="238" customFormat="false" ht="15" hidden="false" customHeight="false" outlineLevel="0" collapsed="false">
      <c r="A238" s="9"/>
      <c r="B238" s="8"/>
      <c r="C238" s="10" t="str">
        <f aca="false">IF(B238="","",IFERROR(VLOOKUP(B238,DonHang!$A$2:$C$500,3,FALSE()),"mã đơn chưa có"))</f>
        <v/>
      </c>
      <c r="D238" s="14"/>
      <c r="E238" s="8"/>
      <c r="F238" s="8"/>
      <c r="G238" s="8"/>
    </row>
    <row r="239" customFormat="false" ht="15" hidden="false" customHeight="false" outlineLevel="0" collapsed="false">
      <c r="A239" s="9"/>
      <c r="B239" s="8"/>
      <c r="C239" s="10" t="str">
        <f aca="false">IF(B239="","",IFERROR(VLOOKUP(B239,DonHang!$A$2:$C$500,3,FALSE()),"mã đơn chưa có"))</f>
        <v/>
      </c>
      <c r="D239" s="14"/>
      <c r="E239" s="8"/>
      <c r="F239" s="8"/>
      <c r="G239" s="8"/>
    </row>
    <row r="240" customFormat="false" ht="15" hidden="false" customHeight="false" outlineLevel="0" collapsed="false">
      <c r="A240" s="9"/>
      <c r="B240" s="8"/>
      <c r="C240" s="10" t="str">
        <f aca="false">IF(B240="","",IFERROR(VLOOKUP(B240,DonHang!$A$2:$C$500,3,FALSE()),"mã đơn chưa có"))</f>
        <v/>
      </c>
      <c r="D240" s="14"/>
      <c r="E240" s="8"/>
      <c r="F240" s="8"/>
      <c r="G240" s="8"/>
    </row>
    <row r="241" customFormat="false" ht="15" hidden="false" customHeight="false" outlineLevel="0" collapsed="false">
      <c r="A241" s="9"/>
      <c r="B241" s="8"/>
      <c r="C241" s="10" t="str">
        <f aca="false">IF(B241="","",IFERROR(VLOOKUP(B241,DonHang!$A$2:$C$500,3,FALSE()),"mã đơn chưa có"))</f>
        <v/>
      </c>
      <c r="D241" s="14"/>
      <c r="E241" s="8"/>
      <c r="F241" s="8"/>
      <c r="G241" s="8"/>
    </row>
    <row r="242" customFormat="false" ht="15" hidden="false" customHeight="false" outlineLevel="0" collapsed="false">
      <c r="A242" s="9"/>
      <c r="B242" s="8"/>
      <c r="C242" s="10" t="str">
        <f aca="false">IF(B242="","",IFERROR(VLOOKUP(B242,DonHang!$A$2:$C$500,3,FALSE()),"mã đơn chưa có"))</f>
        <v/>
      </c>
      <c r="D242" s="14"/>
      <c r="E242" s="8"/>
      <c r="F242" s="8"/>
      <c r="G242" s="8"/>
    </row>
    <row r="243" customFormat="false" ht="15" hidden="false" customHeight="false" outlineLevel="0" collapsed="false">
      <c r="A243" s="9"/>
      <c r="B243" s="8"/>
      <c r="C243" s="10" t="str">
        <f aca="false">IF(B243="","",IFERROR(VLOOKUP(B243,DonHang!$A$2:$C$500,3,FALSE()),"mã đơn chưa có"))</f>
        <v/>
      </c>
      <c r="D243" s="14"/>
      <c r="E243" s="8"/>
      <c r="F243" s="8"/>
      <c r="G243" s="8"/>
    </row>
    <row r="244" customFormat="false" ht="15" hidden="false" customHeight="false" outlineLevel="0" collapsed="false">
      <c r="A244" s="9"/>
      <c r="B244" s="8"/>
      <c r="C244" s="10" t="str">
        <f aca="false">IF(B244="","",IFERROR(VLOOKUP(B244,DonHang!$A$2:$C$500,3,FALSE()),"mã đơn chưa có"))</f>
        <v/>
      </c>
      <c r="D244" s="14"/>
      <c r="E244" s="8"/>
      <c r="F244" s="8"/>
      <c r="G244" s="8"/>
    </row>
    <row r="245" customFormat="false" ht="15" hidden="false" customHeight="false" outlineLevel="0" collapsed="false">
      <c r="A245" s="9"/>
      <c r="B245" s="8"/>
      <c r="C245" s="10" t="str">
        <f aca="false">IF(B245="","",IFERROR(VLOOKUP(B245,DonHang!$A$2:$C$500,3,FALSE()),"mã đơn chưa có"))</f>
        <v/>
      </c>
      <c r="D245" s="14"/>
      <c r="E245" s="8"/>
      <c r="F245" s="8"/>
      <c r="G245" s="8"/>
    </row>
    <row r="246" customFormat="false" ht="15" hidden="false" customHeight="false" outlineLevel="0" collapsed="false">
      <c r="A246" s="9"/>
      <c r="B246" s="8"/>
      <c r="C246" s="10" t="str">
        <f aca="false">IF(B246="","",IFERROR(VLOOKUP(B246,DonHang!$A$2:$C$500,3,FALSE()),"mã đơn chưa có"))</f>
        <v/>
      </c>
      <c r="D246" s="14"/>
      <c r="E246" s="8"/>
      <c r="F246" s="8"/>
      <c r="G246" s="8"/>
    </row>
    <row r="247" customFormat="false" ht="15" hidden="false" customHeight="false" outlineLevel="0" collapsed="false">
      <c r="A247" s="9"/>
      <c r="B247" s="8"/>
      <c r="C247" s="10" t="str">
        <f aca="false">IF(B247="","",IFERROR(VLOOKUP(B247,DonHang!$A$2:$C$500,3,FALSE()),"mã đơn chưa có"))</f>
        <v/>
      </c>
      <c r="D247" s="14"/>
      <c r="E247" s="8"/>
      <c r="F247" s="8"/>
      <c r="G247" s="8"/>
    </row>
    <row r="248" customFormat="false" ht="15" hidden="false" customHeight="false" outlineLevel="0" collapsed="false">
      <c r="A248" s="9"/>
      <c r="B248" s="8"/>
      <c r="C248" s="10" t="str">
        <f aca="false">IF(B248="","",IFERROR(VLOOKUP(B248,DonHang!$A$2:$C$500,3,FALSE()),"mã đơn chưa có"))</f>
        <v/>
      </c>
      <c r="D248" s="14"/>
      <c r="E248" s="8"/>
      <c r="F248" s="8"/>
      <c r="G248" s="8"/>
    </row>
    <row r="249" customFormat="false" ht="15" hidden="false" customHeight="false" outlineLevel="0" collapsed="false">
      <c r="A249" s="9"/>
      <c r="B249" s="8"/>
      <c r="C249" s="10" t="str">
        <f aca="false">IF(B249="","",IFERROR(VLOOKUP(B249,DonHang!$A$2:$C$500,3,FALSE()),"mã đơn chưa có"))</f>
        <v/>
      </c>
      <c r="D249" s="14"/>
      <c r="E249" s="8"/>
      <c r="F249" s="8"/>
      <c r="G249" s="8"/>
    </row>
    <row r="250" customFormat="false" ht="15" hidden="false" customHeight="false" outlineLevel="0" collapsed="false">
      <c r="A250" s="9"/>
      <c r="B250" s="8"/>
      <c r="C250" s="10" t="str">
        <f aca="false">IF(B250="","",IFERROR(VLOOKUP(B250,DonHang!$A$2:$C$500,3,FALSE()),"mã đơn chưa có"))</f>
        <v/>
      </c>
      <c r="D250" s="14"/>
      <c r="E250" s="8"/>
      <c r="F250" s="8"/>
      <c r="G250" s="8"/>
    </row>
    <row r="251" customFormat="false" ht="15" hidden="false" customHeight="false" outlineLevel="0" collapsed="false">
      <c r="A251" s="9"/>
      <c r="B251" s="8"/>
      <c r="C251" s="10" t="str">
        <f aca="false">IF(B251="","",IFERROR(VLOOKUP(B251,DonHang!$A$2:$C$500,3,FALSE()),"mã đơn chưa có"))</f>
        <v/>
      </c>
      <c r="D251" s="14"/>
      <c r="E251" s="8"/>
      <c r="F251" s="8"/>
      <c r="G251" s="8"/>
    </row>
    <row r="252" customFormat="false" ht="15" hidden="false" customHeight="false" outlineLevel="0" collapsed="false">
      <c r="A252" s="9"/>
      <c r="B252" s="8"/>
      <c r="C252" s="10" t="str">
        <f aca="false">IF(B252="","",IFERROR(VLOOKUP(B252,DonHang!$A$2:$C$500,3,FALSE()),"mã đơn chưa có"))</f>
        <v/>
      </c>
      <c r="D252" s="14"/>
      <c r="E252" s="8"/>
      <c r="F252" s="8"/>
      <c r="G252" s="8"/>
    </row>
    <row r="253" customFormat="false" ht="15" hidden="false" customHeight="false" outlineLevel="0" collapsed="false">
      <c r="A253" s="9"/>
      <c r="B253" s="8"/>
      <c r="C253" s="10" t="str">
        <f aca="false">IF(B253="","",IFERROR(VLOOKUP(B253,DonHang!$A$2:$C$500,3,FALSE()),"mã đơn chưa có"))</f>
        <v/>
      </c>
      <c r="D253" s="14"/>
      <c r="E253" s="8"/>
      <c r="F253" s="8"/>
      <c r="G253" s="8"/>
    </row>
    <row r="254" customFormat="false" ht="15" hidden="false" customHeight="false" outlineLevel="0" collapsed="false">
      <c r="A254" s="9"/>
      <c r="B254" s="8"/>
      <c r="C254" s="10" t="str">
        <f aca="false">IF(B254="","",IFERROR(VLOOKUP(B254,DonHang!$A$2:$C$500,3,FALSE()),"mã đơn chưa có"))</f>
        <v/>
      </c>
      <c r="D254" s="14"/>
      <c r="E254" s="8"/>
      <c r="F254" s="8"/>
      <c r="G254" s="8"/>
    </row>
    <row r="255" customFormat="false" ht="15" hidden="false" customHeight="false" outlineLevel="0" collapsed="false">
      <c r="A255" s="9"/>
      <c r="B255" s="8"/>
      <c r="C255" s="10" t="str">
        <f aca="false">IF(B255="","",IFERROR(VLOOKUP(B255,DonHang!$A$2:$C$500,3,FALSE()),"mã đơn chưa có"))</f>
        <v/>
      </c>
      <c r="D255" s="14"/>
      <c r="E255" s="8"/>
      <c r="F255" s="8"/>
      <c r="G255" s="8"/>
    </row>
    <row r="256" customFormat="false" ht="15" hidden="false" customHeight="false" outlineLevel="0" collapsed="false">
      <c r="A256" s="9"/>
      <c r="B256" s="8"/>
      <c r="C256" s="10" t="str">
        <f aca="false">IF(B256="","",IFERROR(VLOOKUP(B256,DonHang!$A$2:$C$500,3,FALSE()),"mã đơn chưa có"))</f>
        <v/>
      </c>
      <c r="D256" s="14"/>
      <c r="E256" s="8"/>
      <c r="F256" s="8"/>
      <c r="G256" s="8"/>
    </row>
    <row r="257" customFormat="false" ht="15" hidden="false" customHeight="false" outlineLevel="0" collapsed="false">
      <c r="A257" s="9"/>
      <c r="B257" s="8"/>
      <c r="C257" s="10" t="str">
        <f aca="false">IF(B257="","",IFERROR(VLOOKUP(B257,DonHang!$A$2:$C$500,3,FALSE()),"mã đơn chưa có"))</f>
        <v/>
      </c>
      <c r="D257" s="14"/>
      <c r="E257" s="8"/>
      <c r="F257" s="8"/>
      <c r="G257" s="8"/>
    </row>
    <row r="258" customFormat="false" ht="15" hidden="false" customHeight="false" outlineLevel="0" collapsed="false">
      <c r="A258" s="9"/>
      <c r="B258" s="8"/>
      <c r="C258" s="10" t="str">
        <f aca="false">IF(B258="","",IFERROR(VLOOKUP(B258,DonHang!$A$2:$C$500,3,FALSE()),"mã đơn chưa có"))</f>
        <v/>
      </c>
      <c r="D258" s="14"/>
      <c r="E258" s="8"/>
      <c r="F258" s="8"/>
      <c r="G258" s="8"/>
    </row>
    <row r="259" customFormat="false" ht="15" hidden="false" customHeight="false" outlineLevel="0" collapsed="false">
      <c r="A259" s="9"/>
      <c r="B259" s="8"/>
      <c r="C259" s="10" t="str">
        <f aca="false">IF(B259="","",IFERROR(VLOOKUP(B259,DonHang!$A$2:$C$500,3,FALSE()),"mã đơn chưa có"))</f>
        <v/>
      </c>
      <c r="D259" s="14"/>
      <c r="E259" s="8"/>
      <c r="F259" s="8"/>
      <c r="G259" s="8"/>
    </row>
    <row r="260" customFormat="false" ht="15" hidden="false" customHeight="false" outlineLevel="0" collapsed="false">
      <c r="A260" s="9"/>
      <c r="B260" s="8"/>
      <c r="C260" s="10" t="str">
        <f aca="false">IF(B260="","",IFERROR(VLOOKUP(B260,DonHang!$A$2:$C$500,3,FALSE()),"mã đơn chưa có"))</f>
        <v/>
      </c>
      <c r="D260" s="14"/>
      <c r="E260" s="8"/>
      <c r="F260" s="8"/>
      <c r="G260" s="8"/>
    </row>
    <row r="261" customFormat="false" ht="15" hidden="false" customHeight="false" outlineLevel="0" collapsed="false">
      <c r="A261" s="9"/>
      <c r="B261" s="8"/>
      <c r="C261" s="10" t="str">
        <f aca="false">IF(B261="","",IFERROR(VLOOKUP(B261,DonHang!$A$2:$C$500,3,FALSE()),"mã đơn chưa có"))</f>
        <v/>
      </c>
      <c r="D261" s="14"/>
      <c r="E261" s="8"/>
      <c r="F261" s="8"/>
      <c r="G261" s="8"/>
    </row>
    <row r="262" customFormat="false" ht="15" hidden="false" customHeight="false" outlineLevel="0" collapsed="false">
      <c r="A262" s="9"/>
      <c r="B262" s="8"/>
      <c r="C262" s="10" t="str">
        <f aca="false">IF(B262="","",IFERROR(VLOOKUP(B262,DonHang!$A$2:$C$500,3,FALSE()),"mã đơn chưa có"))</f>
        <v/>
      </c>
      <c r="D262" s="14"/>
      <c r="E262" s="8"/>
      <c r="F262" s="8"/>
      <c r="G262" s="8"/>
    </row>
    <row r="263" customFormat="false" ht="15" hidden="false" customHeight="false" outlineLevel="0" collapsed="false">
      <c r="A263" s="9"/>
      <c r="B263" s="8"/>
      <c r="C263" s="10" t="str">
        <f aca="false">IF(B263="","",IFERROR(VLOOKUP(B263,DonHang!$A$2:$C$500,3,FALSE()),"mã đơn chưa có"))</f>
        <v/>
      </c>
      <c r="D263" s="14"/>
      <c r="E263" s="8"/>
      <c r="F263" s="8"/>
      <c r="G263" s="8"/>
    </row>
    <row r="264" customFormat="false" ht="15" hidden="false" customHeight="false" outlineLevel="0" collapsed="false">
      <c r="A264" s="9"/>
      <c r="B264" s="8"/>
      <c r="C264" s="10" t="str">
        <f aca="false">IF(B264="","",IFERROR(VLOOKUP(B264,DonHang!$A$2:$C$500,3,FALSE()),"mã đơn chưa có"))</f>
        <v/>
      </c>
      <c r="D264" s="14"/>
      <c r="E264" s="8"/>
      <c r="F264" s="8"/>
      <c r="G264" s="8"/>
    </row>
    <row r="265" customFormat="false" ht="15" hidden="false" customHeight="false" outlineLevel="0" collapsed="false">
      <c r="A265" s="9"/>
      <c r="B265" s="8"/>
      <c r="C265" s="10" t="str">
        <f aca="false">IF(B265="","",IFERROR(VLOOKUP(B265,DonHang!$A$2:$C$500,3,FALSE()),"mã đơn chưa có"))</f>
        <v/>
      </c>
      <c r="D265" s="14"/>
      <c r="E265" s="8"/>
      <c r="F265" s="8"/>
      <c r="G265" s="8"/>
    </row>
    <row r="266" customFormat="false" ht="15" hidden="false" customHeight="false" outlineLevel="0" collapsed="false">
      <c r="A266" s="9"/>
      <c r="B266" s="8"/>
      <c r="C266" s="10" t="str">
        <f aca="false">IF(B266="","",IFERROR(VLOOKUP(B266,DonHang!$A$2:$C$500,3,FALSE()),"mã đơn chưa có"))</f>
        <v/>
      </c>
      <c r="D266" s="14"/>
      <c r="E266" s="8"/>
      <c r="F266" s="8"/>
      <c r="G266" s="8"/>
    </row>
    <row r="267" customFormat="false" ht="15" hidden="false" customHeight="false" outlineLevel="0" collapsed="false">
      <c r="A267" s="9"/>
      <c r="B267" s="8"/>
      <c r="C267" s="10" t="str">
        <f aca="false">IF(B267="","",IFERROR(VLOOKUP(B267,DonHang!$A$2:$C$500,3,FALSE()),"mã đơn chưa có"))</f>
        <v/>
      </c>
      <c r="D267" s="14"/>
      <c r="E267" s="8"/>
      <c r="F267" s="8"/>
      <c r="G267" s="8"/>
    </row>
    <row r="268" customFormat="false" ht="15" hidden="false" customHeight="false" outlineLevel="0" collapsed="false">
      <c r="A268" s="9"/>
      <c r="B268" s="8"/>
      <c r="C268" s="10" t="str">
        <f aca="false">IF(B268="","",IFERROR(VLOOKUP(B268,DonHang!$A$2:$C$500,3,FALSE()),"mã đơn chưa có"))</f>
        <v/>
      </c>
      <c r="D268" s="14"/>
      <c r="E268" s="8"/>
      <c r="F268" s="8"/>
      <c r="G268" s="8"/>
    </row>
    <row r="269" customFormat="false" ht="15" hidden="false" customHeight="false" outlineLevel="0" collapsed="false">
      <c r="A269" s="9"/>
      <c r="B269" s="8"/>
      <c r="C269" s="10" t="str">
        <f aca="false">IF(B269="","",IFERROR(VLOOKUP(B269,DonHang!$A$2:$C$500,3,FALSE()),"mã đơn chưa có"))</f>
        <v/>
      </c>
      <c r="D269" s="14"/>
      <c r="E269" s="8"/>
      <c r="F269" s="8"/>
      <c r="G269" s="8"/>
    </row>
    <row r="270" customFormat="false" ht="15" hidden="false" customHeight="false" outlineLevel="0" collapsed="false">
      <c r="A270" s="9"/>
      <c r="B270" s="8"/>
      <c r="C270" s="10" t="str">
        <f aca="false">IF(B270="","",IFERROR(VLOOKUP(B270,DonHang!$A$2:$C$500,3,FALSE()),"mã đơn chưa có"))</f>
        <v/>
      </c>
      <c r="D270" s="14"/>
      <c r="E270" s="8"/>
      <c r="F270" s="8"/>
      <c r="G270" s="8"/>
    </row>
    <row r="271" customFormat="false" ht="15" hidden="false" customHeight="false" outlineLevel="0" collapsed="false">
      <c r="A271" s="9"/>
      <c r="B271" s="8"/>
      <c r="C271" s="10" t="str">
        <f aca="false">IF(B271="","",IFERROR(VLOOKUP(B271,DonHang!$A$2:$C$500,3,FALSE()),"mã đơn chưa có"))</f>
        <v/>
      </c>
      <c r="D271" s="14"/>
      <c r="E271" s="8"/>
      <c r="F271" s="8"/>
      <c r="G271" s="8"/>
    </row>
    <row r="272" customFormat="false" ht="15" hidden="false" customHeight="false" outlineLevel="0" collapsed="false">
      <c r="A272" s="9"/>
      <c r="B272" s="8"/>
      <c r="C272" s="10" t="str">
        <f aca="false">IF(B272="","",IFERROR(VLOOKUP(B272,DonHang!$A$2:$C$500,3,FALSE()),"mã đơn chưa có"))</f>
        <v/>
      </c>
      <c r="D272" s="14"/>
      <c r="E272" s="8"/>
      <c r="F272" s="8"/>
      <c r="G272" s="8"/>
    </row>
    <row r="273" customFormat="false" ht="15" hidden="false" customHeight="false" outlineLevel="0" collapsed="false">
      <c r="A273" s="9"/>
      <c r="B273" s="8"/>
      <c r="C273" s="10" t="str">
        <f aca="false">IF(B273="","",IFERROR(VLOOKUP(B273,DonHang!$A$2:$C$500,3,FALSE()),"mã đơn chưa có"))</f>
        <v/>
      </c>
      <c r="D273" s="14"/>
      <c r="E273" s="8"/>
      <c r="F273" s="8"/>
      <c r="G273" s="8"/>
    </row>
    <row r="274" customFormat="false" ht="15" hidden="false" customHeight="false" outlineLevel="0" collapsed="false">
      <c r="A274" s="9"/>
      <c r="B274" s="8"/>
      <c r="C274" s="10" t="str">
        <f aca="false">IF(B274="","",IFERROR(VLOOKUP(B274,DonHang!$A$2:$C$500,3,FALSE()),"mã đơn chưa có"))</f>
        <v/>
      </c>
      <c r="D274" s="14"/>
      <c r="E274" s="8"/>
      <c r="F274" s="8"/>
      <c r="G274" s="8"/>
    </row>
    <row r="275" customFormat="false" ht="15" hidden="false" customHeight="false" outlineLevel="0" collapsed="false">
      <c r="A275" s="9"/>
      <c r="B275" s="8"/>
      <c r="C275" s="10" t="str">
        <f aca="false">IF(B275="","",IFERROR(VLOOKUP(B275,DonHang!$A$2:$C$500,3,FALSE()),"mã đơn chưa có"))</f>
        <v/>
      </c>
      <c r="D275" s="14"/>
      <c r="E275" s="8"/>
      <c r="F275" s="8"/>
      <c r="G275" s="8"/>
    </row>
    <row r="276" customFormat="false" ht="15" hidden="false" customHeight="false" outlineLevel="0" collapsed="false">
      <c r="A276" s="9"/>
      <c r="B276" s="8"/>
      <c r="C276" s="10" t="str">
        <f aca="false">IF(B276="","",IFERROR(VLOOKUP(B276,DonHang!$A$2:$C$500,3,FALSE()),"mã đơn chưa có"))</f>
        <v/>
      </c>
      <c r="D276" s="14"/>
      <c r="E276" s="8"/>
      <c r="F276" s="8"/>
      <c r="G276" s="8"/>
    </row>
    <row r="277" customFormat="false" ht="15" hidden="false" customHeight="false" outlineLevel="0" collapsed="false">
      <c r="A277" s="9"/>
      <c r="B277" s="8"/>
      <c r="C277" s="10" t="str">
        <f aca="false">IF(B277="","",IFERROR(VLOOKUP(B277,DonHang!$A$2:$C$500,3,FALSE()),"mã đơn chưa có"))</f>
        <v/>
      </c>
      <c r="D277" s="14"/>
      <c r="E277" s="8"/>
      <c r="F277" s="8"/>
      <c r="G277" s="8"/>
    </row>
    <row r="278" customFormat="false" ht="15" hidden="false" customHeight="false" outlineLevel="0" collapsed="false">
      <c r="A278" s="9"/>
      <c r="B278" s="8"/>
      <c r="C278" s="10" t="str">
        <f aca="false">IF(B278="","",IFERROR(VLOOKUP(B278,DonHang!$A$2:$C$500,3,FALSE()),"mã đơn chưa có"))</f>
        <v/>
      </c>
      <c r="D278" s="14"/>
      <c r="E278" s="8"/>
      <c r="F278" s="8"/>
      <c r="G278" s="8"/>
    </row>
    <row r="279" customFormat="false" ht="15" hidden="false" customHeight="false" outlineLevel="0" collapsed="false">
      <c r="A279" s="9"/>
      <c r="B279" s="8"/>
      <c r="C279" s="10" t="str">
        <f aca="false">IF(B279="","",IFERROR(VLOOKUP(B279,DonHang!$A$2:$C$500,3,FALSE()),"mã đơn chưa có"))</f>
        <v/>
      </c>
      <c r="D279" s="14"/>
      <c r="E279" s="8"/>
      <c r="F279" s="8"/>
      <c r="G279" s="8"/>
    </row>
    <row r="280" customFormat="false" ht="15" hidden="false" customHeight="false" outlineLevel="0" collapsed="false">
      <c r="A280" s="9"/>
      <c r="B280" s="8"/>
      <c r="C280" s="10" t="str">
        <f aca="false">IF(B280="","",IFERROR(VLOOKUP(B280,DonHang!$A$2:$C$500,3,FALSE()),"mã đơn chưa có"))</f>
        <v/>
      </c>
      <c r="D280" s="14"/>
      <c r="E280" s="8"/>
      <c r="F280" s="8"/>
      <c r="G280" s="8"/>
    </row>
    <row r="281" customFormat="false" ht="15" hidden="false" customHeight="false" outlineLevel="0" collapsed="false">
      <c r="A281" s="9"/>
      <c r="B281" s="8"/>
      <c r="C281" s="10" t="str">
        <f aca="false">IF(B281="","",IFERROR(VLOOKUP(B281,DonHang!$A$2:$C$500,3,FALSE()),"mã đơn chưa có"))</f>
        <v/>
      </c>
      <c r="D281" s="14"/>
      <c r="E281" s="8"/>
      <c r="F281" s="8"/>
      <c r="G281" s="8"/>
    </row>
    <row r="282" customFormat="false" ht="15" hidden="false" customHeight="false" outlineLevel="0" collapsed="false">
      <c r="A282" s="9"/>
      <c r="B282" s="8"/>
      <c r="C282" s="10" t="str">
        <f aca="false">IF(B282="","",IFERROR(VLOOKUP(B282,DonHang!$A$2:$C$500,3,FALSE()),"mã đơn chưa có"))</f>
        <v/>
      </c>
      <c r="D282" s="14"/>
      <c r="E282" s="8"/>
      <c r="F282" s="8"/>
      <c r="G282" s="8"/>
    </row>
    <row r="283" customFormat="false" ht="15" hidden="false" customHeight="false" outlineLevel="0" collapsed="false">
      <c r="A283" s="9"/>
      <c r="B283" s="8"/>
      <c r="C283" s="10" t="str">
        <f aca="false">IF(B283="","",IFERROR(VLOOKUP(B283,DonHang!$A$2:$C$500,3,FALSE()),"mã đơn chưa có"))</f>
        <v/>
      </c>
      <c r="D283" s="14"/>
      <c r="E283" s="8"/>
      <c r="F283" s="8"/>
      <c r="G283" s="8"/>
    </row>
    <row r="284" customFormat="false" ht="15" hidden="false" customHeight="false" outlineLevel="0" collapsed="false">
      <c r="A284" s="9"/>
      <c r="B284" s="8"/>
      <c r="C284" s="10" t="str">
        <f aca="false">IF(B284="","",IFERROR(VLOOKUP(B284,DonHang!$A$2:$C$500,3,FALSE()),"mã đơn chưa có"))</f>
        <v/>
      </c>
      <c r="D284" s="14"/>
      <c r="E284" s="8"/>
      <c r="F284" s="8"/>
      <c r="G284" s="8"/>
    </row>
    <row r="285" customFormat="false" ht="15" hidden="false" customHeight="false" outlineLevel="0" collapsed="false">
      <c r="A285" s="9"/>
      <c r="B285" s="8"/>
      <c r="C285" s="10" t="str">
        <f aca="false">IF(B285="","",IFERROR(VLOOKUP(B285,DonHang!$A$2:$C$500,3,FALSE()),"mã đơn chưa có"))</f>
        <v/>
      </c>
      <c r="D285" s="14"/>
      <c r="E285" s="8"/>
      <c r="F285" s="8"/>
      <c r="G285" s="8"/>
    </row>
    <row r="286" customFormat="false" ht="15" hidden="false" customHeight="false" outlineLevel="0" collapsed="false">
      <c r="A286" s="9"/>
      <c r="B286" s="8"/>
      <c r="C286" s="10" t="str">
        <f aca="false">IF(B286="","",IFERROR(VLOOKUP(B286,DonHang!$A$2:$C$500,3,FALSE()),"mã đơn chưa có"))</f>
        <v/>
      </c>
      <c r="D286" s="14"/>
      <c r="E286" s="8"/>
      <c r="F286" s="8"/>
      <c r="G286" s="8"/>
    </row>
    <row r="287" customFormat="false" ht="15" hidden="false" customHeight="false" outlineLevel="0" collapsed="false">
      <c r="A287" s="9"/>
      <c r="B287" s="8"/>
      <c r="C287" s="10" t="str">
        <f aca="false">IF(B287="","",IFERROR(VLOOKUP(B287,DonHang!$A$2:$C$500,3,FALSE()),"mã đơn chưa có"))</f>
        <v/>
      </c>
      <c r="D287" s="14"/>
      <c r="E287" s="8"/>
      <c r="F287" s="8"/>
      <c r="G287" s="8"/>
    </row>
    <row r="288" customFormat="false" ht="15" hidden="false" customHeight="false" outlineLevel="0" collapsed="false">
      <c r="A288" s="9"/>
      <c r="B288" s="8"/>
      <c r="C288" s="10" t="str">
        <f aca="false">IF(B288="","",IFERROR(VLOOKUP(B288,DonHang!$A$2:$C$500,3,FALSE()),"mã đơn chưa có"))</f>
        <v/>
      </c>
      <c r="D288" s="14"/>
      <c r="E288" s="8"/>
      <c r="F288" s="8"/>
      <c r="G288" s="8"/>
    </row>
    <row r="289" customFormat="false" ht="15" hidden="false" customHeight="false" outlineLevel="0" collapsed="false">
      <c r="A289" s="9"/>
      <c r="B289" s="8"/>
      <c r="C289" s="10" t="str">
        <f aca="false">IF(B289="","",IFERROR(VLOOKUP(B289,DonHang!$A$2:$C$500,3,FALSE()),"mã đơn chưa có"))</f>
        <v/>
      </c>
      <c r="D289" s="14"/>
      <c r="E289" s="8"/>
      <c r="F289" s="8"/>
      <c r="G289" s="8"/>
    </row>
    <row r="290" customFormat="false" ht="15" hidden="false" customHeight="false" outlineLevel="0" collapsed="false">
      <c r="A290" s="9"/>
      <c r="B290" s="8"/>
      <c r="C290" s="10" t="str">
        <f aca="false">IF(B290="","",IFERROR(VLOOKUP(B290,DonHang!$A$2:$C$500,3,FALSE()),"mã đơn chưa có"))</f>
        <v/>
      </c>
      <c r="D290" s="14"/>
      <c r="E290" s="8"/>
      <c r="F290" s="8"/>
      <c r="G290" s="8"/>
    </row>
    <row r="291" customFormat="false" ht="15" hidden="false" customHeight="false" outlineLevel="0" collapsed="false">
      <c r="A291" s="9"/>
      <c r="B291" s="8"/>
      <c r="C291" s="10" t="str">
        <f aca="false">IF(B291="","",IFERROR(VLOOKUP(B291,DonHang!$A$2:$C$500,3,FALSE()),"mã đơn chưa có"))</f>
        <v/>
      </c>
      <c r="D291" s="14"/>
      <c r="E291" s="8"/>
      <c r="F291" s="8"/>
      <c r="G291" s="8"/>
    </row>
    <row r="292" customFormat="false" ht="15" hidden="false" customHeight="false" outlineLevel="0" collapsed="false">
      <c r="A292" s="9"/>
      <c r="B292" s="8"/>
      <c r="C292" s="10" t="str">
        <f aca="false">IF(B292="","",IFERROR(VLOOKUP(B292,DonHang!$A$2:$C$500,3,FALSE()),"mã đơn chưa có"))</f>
        <v/>
      </c>
      <c r="D292" s="14"/>
      <c r="E292" s="8"/>
      <c r="F292" s="8"/>
      <c r="G292" s="8"/>
    </row>
    <row r="293" customFormat="false" ht="15" hidden="false" customHeight="false" outlineLevel="0" collapsed="false">
      <c r="A293" s="9"/>
      <c r="B293" s="8"/>
      <c r="C293" s="10" t="str">
        <f aca="false">IF(B293="","",IFERROR(VLOOKUP(B293,DonHang!$A$2:$C$500,3,FALSE()),"mã đơn chưa có"))</f>
        <v/>
      </c>
      <c r="D293" s="14"/>
      <c r="E293" s="8"/>
      <c r="F293" s="8"/>
      <c r="G293" s="8"/>
    </row>
    <row r="294" customFormat="false" ht="15" hidden="false" customHeight="false" outlineLevel="0" collapsed="false">
      <c r="A294" s="9"/>
      <c r="B294" s="8"/>
      <c r="C294" s="10" t="str">
        <f aca="false">IF(B294="","",IFERROR(VLOOKUP(B294,DonHang!$A$2:$C$500,3,FALSE()),"mã đơn chưa có"))</f>
        <v/>
      </c>
      <c r="D294" s="14"/>
      <c r="E294" s="8"/>
      <c r="F294" s="8"/>
      <c r="G294" s="8"/>
    </row>
    <row r="295" customFormat="false" ht="15" hidden="false" customHeight="false" outlineLevel="0" collapsed="false">
      <c r="A295" s="9"/>
      <c r="B295" s="8"/>
      <c r="C295" s="10" t="str">
        <f aca="false">IF(B295="","",IFERROR(VLOOKUP(B295,DonHang!$A$2:$C$500,3,FALSE()),"mã đơn chưa có"))</f>
        <v/>
      </c>
      <c r="D295" s="14"/>
      <c r="E295" s="8"/>
      <c r="F295" s="8"/>
      <c r="G295" s="8"/>
    </row>
    <row r="296" customFormat="false" ht="15" hidden="false" customHeight="false" outlineLevel="0" collapsed="false">
      <c r="A296" s="9"/>
      <c r="B296" s="8"/>
      <c r="C296" s="10" t="str">
        <f aca="false">IF(B296="","",IFERROR(VLOOKUP(B296,DonHang!$A$2:$C$500,3,FALSE()),"mã đơn chưa có"))</f>
        <v/>
      </c>
      <c r="D296" s="14"/>
      <c r="E296" s="8"/>
      <c r="F296" s="8"/>
      <c r="G296" s="8"/>
    </row>
    <row r="297" customFormat="false" ht="15" hidden="false" customHeight="false" outlineLevel="0" collapsed="false">
      <c r="A297" s="9"/>
      <c r="B297" s="8"/>
      <c r="C297" s="10" t="str">
        <f aca="false">IF(B297="","",IFERROR(VLOOKUP(B297,DonHang!$A$2:$C$500,3,FALSE()),"mã đơn chưa có"))</f>
        <v/>
      </c>
      <c r="D297" s="14"/>
      <c r="E297" s="8"/>
      <c r="F297" s="8"/>
      <c r="G297" s="8"/>
    </row>
    <row r="298" customFormat="false" ht="15" hidden="false" customHeight="false" outlineLevel="0" collapsed="false">
      <c r="A298" s="9"/>
      <c r="B298" s="8"/>
      <c r="C298" s="10" t="str">
        <f aca="false">IF(B298="","",IFERROR(VLOOKUP(B298,DonHang!$A$2:$C$500,3,FALSE()),"mã đơn chưa có"))</f>
        <v/>
      </c>
      <c r="D298" s="14"/>
      <c r="E298" s="8"/>
      <c r="F298" s="8"/>
      <c r="G298" s="8"/>
    </row>
    <row r="299" customFormat="false" ht="15" hidden="false" customHeight="false" outlineLevel="0" collapsed="false">
      <c r="A299" s="9"/>
      <c r="B299" s="8"/>
      <c r="C299" s="10" t="str">
        <f aca="false">IF(B299="","",IFERROR(VLOOKUP(B299,DonHang!$A$2:$C$500,3,FALSE()),"mã đơn chưa có"))</f>
        <v/>
      </c>
      <c r="D299" s="14"/>
      <c r="E299" s="8"/>
      <c r="F299" s="8"/>
      <c r="G299" s="8"/>
    </row>
    <row r="300" customFormat="false" ht="15" hidden="false" customHeight="false" outlineLevel="0" collapsed="false">
      <c r="A300" s="9"/>
      <c r="B300" s="8"/>
      <c r="C300" s="10" t="str">
        <f aca="false">IF(B300="","",IFERROR(VLOOKUP(B300,DonHang!$A$2:$C$500,3,FALSE()),"mã đơn chưa có"))</f>
        <v/>
      </c>
      <c r="D300" s="14"/>
      <c r="E300" s="8"/>
      <c r="F300" s="8"/>
      <c r="G300" s="8"/>
    </row>
    <row r="301" customFormat="false" ht="15" hidden="false" customHeight="false" outlineLevel="0" collapsed="false">
      <c r="A301" s="9"/>
      <c r="B301" s="8"/>
      <c r="C301" s="10" t="str">
        <f aca="false">IF(B301="","",IFERROR(VLOOKUP(B301,DonHang!$A$2:$C$500,3,FALSE()),"mã đơn chưa có"))</f>
        <v/>
      </c>
      <c r="D301" s="14"/>
      <c r="E301" s="8"/>
      <c r="F301" s="8"/>
      <c r="G301" s="8"/>
    </row>
    <row r="302" customFormat="false" ht="15" hidden="false" customHeight="false" outlineLevel="0" collapsed="false">
      <c r="A302" s="9"/>
      <c r="B302" s="8"/>
      <c r="C302" s="10" t="str">
        <f aca="false">IF(B302="","",IFERROR(VLOOKUP(B302,DonHang!$A$2:$C$500,3,FALSE()),"mã đơn chưa có"))</f>
        <v/>
      </c>
      <c r="D302" s="14"/>
      <c r="E302" s="8"/>
      <c r="F302" s="8"/>
      <c r="G302" s="8"/>
    </row>
    <row r="303" customFormat="false" ht="15" hidden="false" customHeight="false" outlineLevel="0" collapsed="false">
      <c r="A303" s="9"/>
      <c r="B303" s="8"/>
      <c r="C303" s="10" t="str">
        <f aca="false">IF(B303="","",IFERROR(VLOOKUP(B303,DonHang!$A$2:$C$500,3,FALSE()),"mã đơn chưa có"))</f>
        <v/>
      </c>
      <c r="D303" s="14"/>
      <c r="E303" s="8"/>
      <c r="F303" s="8"/>
      <c r="G303" s="8"/>
    </row>
    <row r="304" customFormat="false" ht="15" hidden="false" customHeight="false" outlineLevel="0" collapsed="false">
      <c r="A304" s="9"/>
      <c r="B304" s="8"/>
      <c r="C304" s="10" t="str">
        <f aca="false">IF(B304="","",IFERROR(VLOOKUP(B304,DonHang!$A$2:$C$500,3,FALSE()),"mã đơn chưa có"))</f>
        <v/>
      </c>
      <c r="D304" s="14"/>
      <c r="E304" s="8"/>
      <c r="F304" s="8"/>
      <c r="G304" s="8"/>
    </row>
    <row r="305" customFormat="false" ht="15" hidden="false" customHeight="false" outlineLevel="0" collapsed="false">
      <c r="A305" s="9"/>
      <c r="B305" s="8"/>
      <c r="C305" s="10" t="str">
        <f aca="false">IF(B305="","",IFERROR(VLOOKUP(B305,DonHang!$A$2:$C$500,3,FALSE()),"mã đơn chưa có"))</f>
        <v/>
      </c>
      <c r="D305" s="14"/>
      <c r="E305" s="8"/>
      <c r="F305" s="8"/>
      <c r="G305" s="8"/>
    </row>
    <row r="306" customFormat="false" ht="15" hidden="false" customHeight="false" outlineLevel="0" collapsed="false">
      <c r="A306" s="9"/>
      <c r="B306" s="8"/>
      <c r="C306" s="10" t="str">
        <f aca="false">IF(B306="","",IFERROR(VLOOKUP(B306,DonHang!$A$2:$C$500,3,FALSE()),"mã đơn chưa có"))</f>
        <v/>
      </c>
      <c r="D306" s="14"/>
      <c r="E306" s="8"/>
      <c r="F306" s="8"/>
      <c r="G306" s="8"/>
    </row>
    <row r="307" customFormat="false" ht="15" hidden="false" customHeight="false" outlineLevel="0" collapsed="false">
      <c r="A307" s="9"/>
      <c r="B307" s="8"/>
      <c r="C307" s="10" t="str">
        <f aca="false">IF(B307="","",IFERROR(VLOOKUP(B307,DonHang!$A$2:$C$500,3,FALSE()),"mã đơn chưa có"))</f>
        <v/>
      </c>
      <c r="D307" s="14"/>
      <c r="E307" s="8"/>
      <c r="F307" s="8"/>
      <c r="G307" s="8"/>
    </row>
    <row r="308" customFormat="false" ht="15" hidden="false" customHeight="false" outlineLevel="0" collapsed="false">
      <c r="A308" s="9"/>
      <c r="B308" s="8"/>
      <c r="C308" s="10" t="str">
        <f aca="false">IF(B308="","",IFERROR(VLOOKUP(B308,DonHang!$A$2:$C$500,3,FALSE()),"mã đơn chưa có"))</f>
        <v/>
      </c>
      <c r="D308" s="14"/>
      <c r="E308" s="8"/>
      <c r="F308" s="8"/>
      <c r="G308" s="8"/>
    </row>
    <row r="309" customFormat="false" ht="15" hidden="false" customHeight="false" outlineLevel="0" collapsed="false">
      <c r="A309" s="9"/>
      <c r="B309" s="8"/>
      <c r="C309" s="10" t="str">
        <f aca="false">IF(B309="","",IFERROR(VLOOKUP(B309,DonHang!$A$2:$C$500,3,FALSE()),"mã đơn chưa có"))</f>
        <v/>
      </c>
      <c r="D309" s="14"/>
      <c r="E309" s="8"/>
      <c r="F309" s="8"/>
      <c r="G309" s="8"/>
    </row>
    <row r="310" customFormat="false" ht="15" hidden="false" customHeight="false" outlineLevel="0" collapsed="false">
      <c r="A310" s="9"/>
      <c r="B310" s="8"/>
      <c r="C310" s="10" t="str">
        <f aca="false">IF(B310="","",IFERROR(VLOOKUP(B310,DonHang!$A$2:$C$500,3,FALSE()),"mã đơn chưa có"))</f>
        <v/>
      </c>
      <c r="D310" s="14"/>
      <c r="E310" s="8"/>
      <c r="F310" s="8"/>
      <c r="G310" s="8"/>
    </row>
    <row r="311" customFormat="false" ht="15" hidden="false" customHeight="false" outlineLevel="0" collapsed="false">
      <c r="A311" s="9"/>
      <c r="B311" s="8"/>
      <c r="C311" s="10" t="str">
        <f aca="false">IF(B311="","",IFERROR(VLOOKUP(B311,DonHang!$A$2:$C$500,3,FALSE()),"mã đơn chưa có"))</f>
        <v/>
      </c>
      <c r="D311" s="14"/>
      <c r="E311" s="8"/>
      <c r="F311" s="8"/>
      <c r="G311" s="8"/>
    </row>
    <row r="312" customFormat="false" ht="15" hidden="false" customHeight="false" outlineLevel="0" collapsed="false">
      <c r="A312" s="9"/>
      <c r="B312" s="8"/>
      <c r="C312" s="10" t="str">
        <f aca="false">IF(B312="","",IFERROR(VLOOKUP(B312,DonHang!$A$2:$C$500,3,FALSE()),"mã đơn chưa có"))</f>
        <v/>
      </c>
      <c r="D312" s="14"/>
      <c r="E312" s="8"/>
      <c r="F312" s="8"/>
      <c r="G312" s="8"/>
    </row>
    <row r="313" customFormat="false" ht="15" hidden="false" customHeight="false" outlineLevel="0" collapsed="false">
      <c r="A313" s="9"/>
      <c r="B313" s="8"/>
      <c r="C313" s="10" t="str">
        <f aca="false">IF(B313="","",IFERROR(VLOOKUP(B313,DonHang!$A$2:$C$500,3,FALSE()),"mã đơn chưa có"))</f>
        <v/>
      </c>
      <c r="D313" s="14"/>
      <c r="E313" s="8"/>
      <c r="F313" s="8"/>
      <c r="G313" s="8"/>
    </row>
    <row r="314" customFormat="false" ht="15" hidden="false" customHeight="false" outlineLevel="0" collapsed="false">
      <c r="A314" s="9"/>
      <c r="B314" s="8"/>
      <c r="C314" s="10" t="str">
        <f aca="false">IF(B314="","",IFERROR(VLOOKUP(B314,DonHang!$A$2:$C$500,3,FALSE()),"mã đơn chưa có"))</f>
        <v/>
      </c>
      <c r="D314" s="14"/>
      <c r="E314" s="8"/>
      <c r="F314" s="8"/>
      <c r="G314" s="8"/>
    </row>
    <row r="315" customFormat="false" ht="15" hidden="false" customHeight="false" outlineLevel="0" collapsed="false">
      <c r="A315" s="9"/>
      <c r="B315" s="8"/>
      <c r="C315" s="10" t="str">
        <f aca="false">IF(B315="","",IFERROR(VLOOKUP(B315,DonHang!$A$2:$C$500,3,FALSE()),"mã đơn chưa có"))</f>
        <v/>
      </c>
      <c r="D315" s="14"/>
      <c r="E315" s="8"/>
      <c r="F315" s="8"/>
      <c r="G315" s="8"/>
    </row>
    <row r="316" customFormat="false" ht="15" hidden="false" customHeight="false" outlineLevel="0" collapsed="false">
      <c r="A316" s="9"/>
      <c r="B316" s="8"/>
      <c r="C316" s="10" t="str">
        <f aca="false">IF(B316="","",IFERROR(VLOOKUP(B316,DonHang!$A$2:$C$500,3,FALSE()),"mã đơn chưa có"))</f>
        <v/>
      </c>
      <c r="D316" s="14"/>
      <c r="E316" s="8"/>
      <c r="F316" s="8"/>
      <c r="G316" s="8"/>
    </row>
    <row r="317" customFormat="false" ht="15" hidden="false" customHeight="false" outlineLevel="0" collapsed="false">
      <c r="A317" s="9"/>
      <c r="B317" s="8"/>
      <c r="C317" s="10" t="str">
        <f aca="false">IF(B317="","",IFERROR(VLOOKUP(B317,DonHang!$A$2:$C$500,3,FALSE()),"mã đơn chưa có"))</f>
        <v/>
      </c>
      <c r="D317" s="14"/>
      <c r="E317" s="8"/>
      <c r="F317" s="8"/>
      <c r="G317" s="8"/>
    </row>
    <row r="318" customFormat="false" ht="15" hidden="false" customHeight="false" outlineLevel="0" collapsed="false">
      <c r="A318" s="9"/>
      <c r="B318" s="8"/>
      <c r="C318" s="10" t="str">
        <f aca="false">IF(B318="","",IFERROR(VLOOKUP(B318,DonHang!$A$2:$C$500,3,FALSE()),"mã đơn chưa có"))</f>
        <v/>
      </c>
      <c r="D318" s="14"/>
      <c r="E318" s="8"/>
      <c r="F318" s="8"/>
      <c r="G318" s="8"/>
    </row>
    <row r="319" customFormat="false" ht="15" hidden="false" customHeight="false" outlineLevel="0" collapsed="false">
      <c r="A319" s="9"/>
      <c r="B319" s="8"/>
      <c r="C319" s="10" t="str">
        <f aca="false">IF(B319="","",IFERROR(VLOOKUP(B319,DonHang!$A$2:$C$500,3,FALSE()),"mã đơn chưa có"))</f>
        <v/>
      </c>
      <c r="D319" s="14"/>
      <c r="E319" s="8"/>
      <c r="F319" s="8"/>
      <c r="G319" s="8"/>
    </row>
    <row r="320" customFormat="false" ht="15" hidden="false" customHeight="false" outlineLevel="0" collapsed="false">
      <c r="A320" s="9"/>
      <c r="B320" s="8"/>
      <c r="C320" s="10" t="str">
        <f aca="false">IF(B320="","",IFERROR(VLOOKUP(B320,DonHang!$A$2:$C$500,3,FALSE()),"mã đơn chưa có"))</f>
        <v/>
      </c>
      <c r="D320" s="14"/>
      <c r="E320" s="8"/>
      <c r="F320" s="8"/>
      <c r="G320" s="8"/>
    </row>
    <row r="321" customFormat="false" ht="15" hidden="false" customHeight="false" outlineLevel="0" collapsed="false">
      <c r="A321" s="9"/>
      <c r="B321" s="8"/>
      <c r="C321" s="10" t="str">
        <f aca="false">IF(B321="","",IFERROR(VLOOKUP(B321,DonHang!$A$2:$C$500,3,FALSE()),"mã đơn chưa có"))</f>
        <v/>
      </c>
      <c r="D321" s="14"/>
      <c r="E321" s="8"/>
      <c r="F321" s="8"/>
      <c r="G321" s="8"/>
    </row>
    <row r="322" customFormat="false" ht="15" hidden="false" customHeight="false" outlineLevel="0" collapsed="false">
      <c r="A322" s="9"/>
      <c r="B322" s="8"/>
      <c r="C322" s="10" t="str">
        <f aca="false">IF(B322="","",IFERROR(VLOOKUP(B322,DonHang!$A$2:$C$500,3,FALSE()),"mã đơn chưa có"))</f>
        <v/>
      </c>
      <c r="D322" s="14"/>
      <c r="E322" s="8"/>
      <c r="F322" s="8"/>
      <c r="G322" s="8"/>
    </row>
    <row r="323" customFormat="false" ht="15" hidden="false" customHeight="false" outlineLevel="0" collapsed="false">
      <c r="A323" s="9"/>
      <c r="B323" s="8"/>
      <c r="C323" s="10" t="str">
        <f aca="false">IF(B323="","",IFERROR(VLOOKUP(B323,DonHang!$A$2:$C$500,3,FALSE()),"mã đơn chưa có"))</f>
        <v/>
      </c>
      <c r="D323" s="14"/>
      <c r="E323" s="8"/>
      <c r="F323" s="8"/>
      <c r="G323" s="8"/>
    </row>
    <row r="324" customFormat="false" ht="15" hidden="false" customHeight="false" outlineLevel="0" collapsed="false">
      <c r="A324" s="9"/>
      <c r="B324" s="8"/>
      <c r="C324" s="10" t="str">
        <f aca="false">IF(B324="","",IFERROR(VLOOKUP(B324,DonHang!$A$2:$C$500,3,FALSE()),"mã đơn chưa có"))</f>
        <v/>
      </c>
      <c r="D324" s="14"/>
      <c r="E324" s="8"/>
      <c r="F324" s="8"/>
      <c r="G324" s="8"/>
    </row>
    <row r="325" customFormat="false" ht="15" hidden="false" customHeight="false" outlineLevel="0" collapsed="false">
      <c r="A325" s="9"/>
      <c r="B325" s="8"/>
      <c r="C325" s="10" t="str">
        <f aca="false">IF(B325="","",IFERROR(VLOOKUP(B325,DonHang!$A$2:$C$500,3,FALSE()),"mã đơn chưa có"))</f>
        <v/>
      </c>
      <c r="D325" s="14"/>
      <c r="E325" s="8"/>
      <c r="F325" s="8"/>
      <c r="G325" s="8"/>
    </row>
    <row r="326" customFormat="false" ht="15" hidden="false" customHeight="false" outlineLevel="0" collapsed="false">
      <c r="A326" s="9"/>
      <c r="B326" s="8"/>
      <c r="C326" s="10" t="str">
        <f aca="false">IF(B326="","",IFERROR(VLOOKUP(B326,DonHang!$A$2:$C$500,3,FALSE()),"mã đơn chưa có"))</f>
        <v/>
      </c>
      <c r="D326" s="14"/>
      <c r="E326" s="8"/>
      <c r="F326" s="8"/>
      <c r="G326" s="8"/>
    </row>
    <row r="327" customFormat="false" ht="15" hidden="false" customHeight="false" outlineLevel="0" collapsed="false">
      <c r="A327" s="9"/>
      <c r="B327" s="8"/>
      <c r="C327" s="10" t="str">
        <f aca="false">IF(B327="","",IFERROR(VLOOKUP(B327,DonHang!$A$2:$C$500,3,FALSE()),"mã đơn chưa có"))</f>
        <v/>
      </c>
      <c r="D327" s="14"/>
      <c r="E327" s="8"/>
      <c r="F327" s="8"/>
      <c r="G327" s="8"/>
    </row>
    <row r="328" customFormat="false" ht="15" hidden="false" customHeight="false" outlineLevel="0" collapsed="false">
      <c r="A328" s="9"/>
      <c r="B328" s="8"/>
      <c r="C328" s="10" t="str">
        <f aca="false">IF(B328="","",IFERROR(VLOOKUP(B328,DonHang!$A$2:$C$500,3,FALSE()),"mã đơn chưa có"))</f>
        <v/>
      </c>
      <c r="D328" s="14"/>
      <c r="E328" s="8"/>
      <c r="F328" s="8"/>
      <c r="G328" s="8"/>
    </row>
    <row r="329" customFormat="false" ht="15" hidden="false" customHeight="false" outlineLevel="0" collapsed="false">
      <c r="A329" s="9"/>
      <c r="B329" s="8"/>
      <c r="C329" s="10" t="str">
        <f aca="false">IF(B329="","",IFERROR(VLOOKUP(B329,DonHang!$A$2:$C$500,3,FALSE()),"mã đơn chưa có"))</f>
        <v/>
      </c>
      <c r="D329" s="14"/>
      <c r="E329" s="8"/>
      <c r="F329" s="8"/>
      <c r="G329" s="8"/>
    </row>
    <row r="330" customFormat="false" ht="15" hidden="false" customHeight="false" outlineLevel="0" collapsed="false">
      <c r="A330" s="9"/>
      <c r="B330" s="8"/>
      <c r="C330" s="10" t="str">
        <f aca="false">IF(B330="","",IFERROR(VLOOKUP(B330,DonHang!$A$2:$C$500,3,FALSE()),"mã đơn chưa có"))</f>
        <v/>
      </c>
      <c r="D330" s="14"/>
      <c r="E330" s="8"/>
      <c r="F330" s="8"/>
      <c r="G330" s="8"/>
    </row>
    <row r="331" customFormat="false" ht="15" hidden="false" customHeight="false" outlineLevel="0" collapsed="false">
      <c r="A331" s="9"/>
      <c r="B331" s="8"/>
      <c r="C331" s="10" t="str">
        <f aca="false">IF(B331="","",IFERROR(VLOOKUP(B331,DonHang!$A$2:$C$500,3,FALSE()),"mã đơn chưa có"))</f>
        <v/>
      </c>
      <c r="D331" s="14"/>
      <c r="E331" s="8"/>
      <c r="F331" s="8"/>
      <c r="G331" s="8"/>
    </row>
    <row r="332" customFormat="false" ht="15" hidden="false" customHeight="false" outlineLevel="0" collapsed="false">
      <c r="A332" s="9"/>
      <c r="B332" s="8"/>
      <c r="C332" s="10" t="str">
        <f aca="false">IF(B332="","",IFERROR(VLOOKUP(B332,DonHang!$A$2:$C$500,3,FALSE()),"mã đơn chưa có"))</f>
        <v/>
      </c>
      <c r="D332" s="14"/>
      <c r="E332" s="8"/>
      <c r="F332" s="8"/>
      <c r="G332" s="8"/>
    </row>
    <row r="333" customFormat="false" ht="15" hidden="false" customHeight="false" outlineLevel="0" collapsed="false">
      <c r="A333" s="9"/>
      <c r="B333" s="8"/>
      <c r="C333" s="10" t="str">
        <f aca="false">IF(B333="","",IFERROR(VLOOKUP(B333,DonHang!$A$2:$C$500,3,FALSE()),"mã đơn chưa có"))</f>
        <v/>
      </c>
      <c r="D333" s="14"/>
      <c r="E333" s="8"/>
      <c r="F333" s="8"/>
      <c r="G333" s="8"/>
    </row>
    <row r="334" customFormat="false" ht="15" hidden="false" customHeight="false" outlineLevel="0" collapsed="false">
      <c r="A334" s="9"/>
      <c r="B334" s="8"/>
      <c r="C334" s="10" t="str">
        <f aca="false">IF(B334="","",IFERROR(VLOOKUP(B334,DonHang!$A$2:$C$500,3,FALSE()),"mã đơn chưa có"))</f>
        <v/>
      </c>
      <c r="D334" s="14"/>
      <c r="E334" s="8"/>
      <c r="F334" s="8"/>
      <c r="G334" s="8"/>
    </row>
    <row r="335" customFormat="false" ht="15" hidden="false" customHeight="false" outlineLevel="0" collapsed="false">
      <c r="A335" s="9"/>
      <c r="B335" s="8"/>
      <c r="C335" s="10" t="str">
        <f aca="false">IF(B335="","",IFERROR(VLOOKUP(B335,DonHang!$A$2:$C$500,3,FALSE()),"mã đơn chưa có"))</f>
        <v/>
      </c>
      <c r="D335" s="14"/>
      <c r="E335" s="8"/>
      <c r="F335" s="8"/>
      <c r="G335" s="8"/>
    </row>
    <row r="336" customFormat="false" ht="15" hidden="false" customHeight="false" outlineLevel="0" collapsed="false">
      <c r="A336" s="9"/>
      <c r="B336" s="8"/>
      <c r="C336" s="10" t="str">
        <f aca="false">IF(B336="","",IFERROR(VLOOKUP(B336,DonHang!$A$2:$C$500,3,FALSE()),"mã đơn chưa có"))</f>
        <v/>
      </c>
      <c r="D336" s="14"/>
      <c r="E336" s="8"/>
      <c r="F336" s="8"/>
      <c r="G336" s="8"/>
    </row>
    <row r="337" customFormat="false" ht="15" hidden="false" customHeight="false" outlineLevel="0" collapsed="false">
      <c r="A337" s="9"/>
      <c r="B337" s="8"/>
      <c r="C337" s="10" t="str">
        <f aca="false">IF(B337="","",IFERROR(VLOOKUP(B337,DonHang!$A$2:$C$500,3,FALSE()),"mã đơn chưa có"))</f>
        <v/>
      </c>
      <c r="D337" s="14"/>
      <c r="E337" s="8"/>
      <c r="F337" s="8"/>
      <c r="G337" s="8"/>
    </row>
    <row r="338" customFormat="false" ht="15" hidden="false" customHeight="false" outlineLevel="0" collapsed="false">
      <c r="A338" s="9"/>
      <c r="B338" s="8"/>
      <c r="C338" s="10" t="str">
        <f aca="false">IF(B338="","",IFERROR(VLOOKUP(B338,DonHang!$A$2:$C$500,3,FALSE()),"mã đơn chưa có"))</f>
        <v/>
      </c>
      <c r="D338" s="14"/>
      <c r="E338" s="8"/>
      <c r="F338" s="8"/>
      <c r="G338" s="8"/>
    </row>
    <row r="339" customFormat="false" ht="15" hidden="false" customHeight="false" outlineLevel="0" collapsed="false">
      <c r="A339" s="9"/>
      <c r="B339" s="8"/>
      <c r="C339" s="10" t="str">
        <f aca="false">IF(B339="","",IFERROR(VLOOKUP(B339,DonHang!$A$2:$C$500,3,FALSE()),"mã đơn chưa có"))</f>
        <v/>
      </c>
      <c r="D339" s="14"/>
      <c r="E339" s="8"/>
      <c r="F339" s="8"/>
      <c r="G339" s="8"/>
    </row>
    <row r="340" customFormat="false" ht="15" hidden="false" customHeight="false" outlineLevel="0" collapsed="false">
      <c r="A340" s="9"/>
      <c r="B340" s="8"/>
      <c r="C340" s="10" t="str">
        <f aca="false">IF(B340="","",IFERROR(VLOOKUP(B340,DonHang!$A$2:$C$500,3,FALSE()),"mã đơn chưa có"))</f>
        <v/>
      </c>
      <c r="D340" s="14"/>
      <c r="E340" s="8"/>
      <c r="F340" s="8"/>
      <c r="G340" s="8"/>
    </row>
    <row r="341" customFormat="false" ht="15" hidden="false" customHeight="false" outlineLevel="0" collapsed="false">
      <c r="A341" s="9"/>
      <c r="B341" s="8"/>
      <c r="C341" s="10" t="str">
        <f aca="false">IF(B341="","",IFERROR(VLOOKUP(B341,DonHang!$A$2:$C$500,3,FALSE()),"mã đơn chưa có"))</f>
        <v/>
      </c>
      <c r="D341" s="14"/>
      <c r="E341" s="8"/>
      <c r="F341" s="8"/>
      <c r="G341" s="8"/>
    </row>
    <row r="342" customFormat="false" ht="15" hidden="false" customHeight="false" outlineLevel="0" collapsed="false">
      <c r="A342" s="9"/>
      <c r="B342" s="8"/>
      <c r="C342" s="10" t="str">
        <f aca="false">IF(B342="","",IFERROR(VLOOKUP(B342,DonHang!$A$2:$C$500,3,FALSE()),"mã đơn chưa có"))</f>
        <v/>
      </c>
      <c r="D342" s="14"/>
      <c r="E342" s="8"/>
      <c r="F342" s="8"/>
      <c r="G342" s="8"/>
    </row>
    <row r="343" customFormat="false" ht="15" hidden="false" customHeight="false" outlineLevel="0" collapsed="false">
      <c r="A343" s="9"/>
      <c r="B343" s="8"/>
      <c r="C343" s="10" t="str">
        <f aca="false">IF(B343="","",IFERROR(VLOOKUP(B343,DonHang!$A$2:$C$500,3,FALSE()),"mã đơn chưa có"))</f>
        <v/>
      </c>
      <c r="D343" s="14"/>
      <c r="E343" s="8"/>
      <c r="F343" s="8"/>
      <c r="G343" s="8"/>
    </row>
    <row r="344" customFormat="false" ht="15" hidden="false" customHeight="false" outlineLevel="0" collapsed="false">
      <c r="A344" s="9"/>
      <c r="B344" s="8"/>
      <c r="C344" s="10" t="str">
        <f aca="false">IF(B344="","",IFERROR(VLOOKUP(B344,DonHang!$A$2:$C$500,3,FALSE()),"mã đơn chưa có"))</f>
        <v/>
      </c>
      <c r="D344" s="14"/>
      <c r="E344" s="8"/>
      <c r="F344" s="8"/>
      <c r="G344" s="8"/>
    </row>
    <row r="345" customFormat="false" ht="15" hidden="false" customHeight="false" outlineLevel="0" collapsed="false">
      <c r="A345" s="9"/>
      <c r="B345" s="8"/>
      <c r="C345" s="10" t="str">
        <f aca="false">IF(B345="","",IFERROR(VLOOKUP(B345,DonHang!$A$2:$C$500,3,FALSE()),"mã đơn chưa có"))</f>
        <v/>
      </c>
      <c r="D345" s="14"/>
      <c r="E345" s="8"/>
      <c r="F345" s="8"/>
      <c r="G345" s="8"/>
    </row>
    <row r="346" customFormat="false" ht="15" hidden="false" customHeight="false" outlineLevel="0" collapsed="false">
      <c r="A346" s="9"/>
      <c r="B346" s="8"/>
      <c r="C346" s="10" t="str">
        <f aca="false">IF(B346="","",IFERROR(VLOOKUP(B346,DonHang!$A$2:$C$500,3,FALSE()),"mã đơn chưa có"))</f>
        <v/>
      </c>
      <c r="D346" s="14"/>
      <c r="E346" s="8"/>
      <c r="F346" s="8"/>
      <c r="G346" s="8"/>
    </row>
    <row r="347" customFormat="false" ht="15" hidden="false" customHeight="false" outlineLevel="0" collapsed="false">
      <c r="A347" s="9"/>
      <c r="B347" s="8"/>
      <c r="C347" s="10" t="str">
        <f aca="false">IF(B347="","",IFERROR(VLOOKUP(B347,DonHang!$A$2:$C$500,3,FALSE()),"mã đơn chưa có"))</f>
        <v/>
      </c>
      <c r="D347" s="14"/>
      <c r="E347" s="8"/>
      <c r="F347" s="8"/>
      <c r="G347" s="8"/>
    </row>
    <row r="348" customFormat="false" ht="15" hidden="false" customHeight="false" outlineLevel="0" collapsed="false">
      <c r="A348" s="9"/>
      <c r="B348" s="8"/>
      <c r="C348" s="10" t="str">
        <f aca="false">IF(B348="","",IFERROR(VLOOKUP(B348,DonHang!$A$2:$C$500,3,FALSE()),"mã đơn chưa có"))</f>
        <v/>
      </c>
      <c r="D348" s="14"/>
      <c r="E348" s="8"/>
      <c r="F348" s="8"/>
      <c r="G348" s="8"/>
    </row>
    <row r="349" customFormat="false" ht="15" hidden="false" customHeight="false" outlineLevel="0" collapsed="false">
      <c r="A349" s="9"/>
      <c r="B349" s="8"/>
      <c r="C349" s="10" t="str">
        <f aca="false">IF(B349="","",IFERROR(VLOOKUP(B349,DonHang!$A$2:$C$500,3,FALSE()),"mã đơn chưa có"))</f>
        <v/>
      </c>
      <c r="D349" s="14"/>
      <c r="E349" s="8"/>
      <c r="F349" s="8"/>
      <c r="G349" s="8"/>
    </row>
    <row r="350" customFormat="false" ht="15" hidden="false" customHeight="false" outlineLevel="0" collapsed="false">
      <c r="A350" s="9"/>
      <c r="B350" s="8"/>
      <c r="C350" s="10" t="str">
        <f aca="false">IF(B350="","",IFERROR(VLOOKUP(B350,DonHang!$A$2:$C$500,3,FALSE()),"mã đơn chưa có"))</f>
        <v/>
      </c>
      <c r="D350" s="14"/>
      <c r="E350" s="8"/>
      <c r="F350" s="8"/>
      <c r="G350" s="8"/>
    </row>
    <row r="351" customFormat="false" ht="15" hidden="false" customHeight="false" outlineLevel="0" collapsed="false">
      <c r="A351" s="9"/>
      <c r="B351" s="8"/>
      <c r="C351" s="10" t="str">
        <f aca="false">IF(B351="","",IFERROR(VLOOKUP(B351,DonHang!$A$2:$C$500,3,FALSE()),"mã đơn chưa có"))</f>
        <v/>
      </c>
      <c r="D351" s="14"/>
      <c r="E351" s="8"/>
      <c r="F351" s="8"/>
      <c r="G351" s="8"/>
    </row>
    <row r="352" customFormat="false" ht="15" hidden="false" customHeight="false" outlineLevel="0" collapsed="false">
      <c r="A352" s="9"/>
      <c r="B352" s="8"/>
      <c r="C352" s="10" t="str">
        <f aca="false">IF(B352="","",IFERROR(VLOOKUP(B352,DonHang!$A$2:$C$500,3,FALSE()),"mã đơn chưa có"))</f>
        <v/>
      </c>
      <c r="D352" s="14"/>
      <c r="E352" s="8"/>
      <c r="F352" s="8"/>
      <c r="G352" s="8"/>
    </row>
    <row r="353" customFormat="false" ht="15" hidden="false" customHeight="false" outlineLevel="0" collapsed="false">
      <c r="A353" s="9"/>
      <c r="B353" s="8"/>
      <c r="C353" s="10" t="str">
        <f aca="false">IF(B353="","",IFERROR(VLOOKUP(B353,DonHang!$A$2:$C$500,3,FALSE()),"mã đơn chưa có"))</f>
        <v/>
      </c>
      <c r="D353" s="14"/>
      <c r="E353" s="8"/>
      <c r="F353" s="8"/>
      <c r="G353" s="8"/>
    </row>
    <row r="354" customFormat="false" ht="15" hidden="false" customHeight="false" outlineLevel="0" collapsed="false">
      <c r="A354" s="9"/>
      <c r="B354" s="8"/>
      <c r="C354" s="10" t="str">
        <f aca="false">IF(B354="","",IFERROR(VLOOKUP(B354,DonHang!$A$2:$C$500,3,FALSE()),"mã đơn chưa có"))</f>
        <v/>
      </c>
      <c r="D354" s="14"/>
      <c r="E354" s="8"/>
      <c r="F354" s="8"/>
      <c r="G354" s="8"/>
    </row>
    <row r="355" customFormat="false" ht="15" hidden="false" customHeight="false" outlineLevel="0" collapsed="false">
      <c r="A355" s="9"/>
      <c r="B355" s="8"/>
      <c r="C355" s="10" t="str">
        <f aca="false">IF(B355="","",IFERROR(VLOOKUP(B355,DonHang!$A$2:$C$500,3,FALSE()),"mã đơn chưa có"))</f>
        <v/>
      </c>
      <c r="D355" s="14"/>
      <c r="E355" s="8"/>
      <c r="F355" s="8"/>
      <c r="G355" s="8"/>
    </row>
    <row r="356" customFormat="false" ht="15" hidden="false" customHeight="false" outlineLevel="0" collapsed="false">
      <c r="A356" s="9"/>
      <c r="B356" s="8"/>
      <c r="C356" s="10" t="str">
        <f aca="false">IF(B356="","",IFERROR(VLOOKUP(B356,DonHang!$A$2:$C$500,3,FALSE()),"mã đơn chưa có"))</f>
        <v/>
      </c>
      <c r="D356" s="14"/>
      <c r="E356" s="8"/>
      <c r="F356" s="8"/>
      <c r="G356" s="8"/>
    </row>
    <row r="357" customFormat="false" ht="15" hidden="false" customHeight="false" outlineLevel="0" collapsed="false">
      <c r="A357" s="9"/>
      <c r="B357" s="8"/>
      <c r="C357" s="10" t="str">
        <f aca="false">IF(B357="","",IFERROR(VLOOKUP(B357,DonHang!$A$2:$C$500,3,FALSE()),"mã đơn chưa có"))</f>
        <v/>
      </c>
      <c r="D357" s="14"/>
      <c r="E357" s="8"/>
      <c r="F357" s="8"/>
      <c r="G357" s="8"/>
    </row>
    <row r="358" customFormat="false" ht="15" hidden="false" customHeight="false" outlineLevel="0" collapsed="false">
      <c r="A358" s="9"/>
      <c r="B358" s="8"/>
      <c r="C358" s="10" t="str">
        <f aca="false">IF(B358="","",IFERROR(VLOOKUP(B358,DonHang!$A$2:$C$500,3,FALSE()),"mã đơn chưa có"))</f>
        <v/>
      </c>
      <c r="D358" s="14"/>
      <c r="E358" s="8"/>
      <c r="F358" s="8"/>
      <c r="G358" s="8"/>
    </row>
    <row r="359" customFormat="false" ht="15" hidden="false" customHeight="false" outlineLevel="0" collapsed="false">
      <c r="A359" s="9"/>
      <c r="B359" s="8"/>
      <c r="C359" s="10" t="str">
        <f aca="false">IF(B359="","",IFERROR(VLOOKUP(B359,DonHang!$A$2:$C$500,3,FALSE()),"mã đơn chưa có"))</f>
        <v/>
      </c>
      <c r="D359" s="14"/>
      <c r="E359" s="8"/>
      <c r="F359" s="8"/>
      <c r="G359" s="8"/>
    </row>
    <row r="360" customFormat="false" ht="15" hidden="false" customHeight="false" outlineLevel="0" collapsed="false">
      <c r="A360" s="9"/>
      <c r="B360" s="8"/>
      <c r="C360" s="10" t="str">
        <f aca="false">IF(B360="","",IFERROR(VLOOKUP(B360,DonHang!$A$2:$C$500,3,FALSE()),"mã đơn chưa có"))</f>
        <v/>
      </c>
      <c r="D360" s="14"/>
      <c r="E360" s="8"/>
      <c r="F360" s="8"/>
      <c r="G360" s="8"/>
    </row>
    <row r="361" customFormat="false" ht="15" hidden="false" customHeight="false" outlineLevel="0" collapsed="false">
      <c r="A361" s="9"/>
      <c r="B361" s="8"/>
      <c r="C361" s="10" t="str">
        <f aca="false">IF(B361="","",IFERROR(VLOOKUP(B361,DonHang!$A$2:$C$500,3,FALSE()),"mã đơn chưa có"))</f>
        <v/>
      </c>
      <c r="D361" s="14"/>
      <c r="E361" s="8"/>
      <c r="F361" s="8"/>
      <c r="G361" s="8"/>
    </row>
    <row r="362" customFormat="false" ht="15" hidden="false" customHeight="false" outlineLevel="0" collapsed="false">
      <c r="A362" s="9"/>
      <c r="B362" s="8"/>
      <c r="C362" s="10" t="str">
        <f aca="false">IF(B362="","",IFERROR(VLOOKUP(B362,DonHang!$A$2:$C$500,3,FALSE()),"mã đơn chưa có"))</f>
        <v/>
      </c>
      <c r="D362" s="14"/>
      <c r="E362" s="8"/>
      <c r="F362" s="8"/>
      <c r="G362" s="8"/>
    </row>
    <row r="363" customFormat="false" ht="15" hidden="false" customHeight="false" outlineLevel="0" collapsed="false">
      <c r="A363" s="9"/>
      <c r="B363" s="8"/>
      <c r="C363" s="10" t="str">
        <f aca="false">IF(B363="","",IFERROR(VLOOKUP(B363,DonHang!$A$2:$C$500,3,FALSE()),"mã đơn chưa có"))</f>
        <v/>
      </c>
      <c r="D363" s="14"/>
      <c r="E363" s="8"/>
      <c r="F363" s="8"/>
      <c r="G363" s="8"/>
    </row>
    <row r="364" customFormat="false" ht="15" hidden="false" customHeight="false" outlineLevel="0" collapsed="false">
      <c r="A364" s="9"/>
      <c r="B364" s="8"/>
      <c r="C364" s="10" t="str">
        <f aca="false">IF(B364="","",IFERROR(VLOOKUP(B364,DonHang!$A$2:$C$500,3,FALSE()),"mã đơn chưa có"))</f>
        <v/>
      </c>
      <c r="D364" s="14"/>
      <c r="E364" s="8"/>
      <c r="F364" s="8"/>
      <c r="G364" s="8"/>
    </row>
    <row r="365" customFormat="false" ht="15" hidden="false" customHeight="false" outlineLevel="0" collapsed="false">
      <c r="A365" s="9"/>
      <c r="B365" s="8"/>
      <c r="C365" s="10" t="str">
        <f aca="false">IF(B365="","",IFERROR(VLOOKUP(B365,DonHang!$A$2:$C$500,3,FALSE()),"mã đơn chưa có"))</f>
        <v/>
      </c>
      <c r="D365" s="14"/>
      <c r="E365" s="8"/>
      <c r="F365" s="8"/>
      <c r="G365" s="8"/>
    </row>
    <row r="366" customFormat="false" ht="15" hidden="false" customHeight="false" outlineLevel="0" collapsed="false">
      <c r="A366" s="9"/>
      <c r="B366" s="8"/>
      <c r="C366" s="10" t="str">
        <f aca="false">IF(B366="","",IFERROR(VLOOKUP(B366,DonHang!$A$2:$C$500,3,FALSE()),"mã đơn chưa có"))</f>
        <v/>
      </c>
      <c r="D366" s="14"/>
      <c r="E366" s="8"/>
      <c r="F366" s="8"/>
      <c r="G366" s="8"/>
    </row>
    <row r="367" customFormat="false" ht="15" hidden="false" customHeight="false" outlineLevel="0" collapsed="false">
      <c r="A367" s="9"/>
      <c r="B367" s="8"/>
      <c r="C367" s="10" t="str">
        <f aca="false">IF(B367="","",IFERROR(VLOOKUP(B367,DonHang!$A$2:$C$500,3,FALSE()),"mã đơn chưa có"))</f>
        <v/>
      </c>
      <c r="D367" s="14"/>
      <c r="E367" s="8"/>
      <c r="F367" s="8"/>
      <c r="G367" s="8"/>
    </row>
    <row r="368" customFormat="false" ht="15" hidden="false" customHeight="false" outlineLevel="0" collapsed="false">
      <c r="A368" s="9"/>
      <c r="B368" s="8"/>
      <c r="C368" s="10" t="str">
        <f aca="false">IF(B368="","",IFERROR(VLOOKUP(B368,DonHang!$A$2:$C$500,3,FALSE()),"mã đơn chưa có"))</f>
        <v/>
      </c>
      <c r="D368" s="14"/>
      <c r="E368" s="8"/>
      <c r="F368" s="8"/>
      <c r="G368" s="8"/>
    </row>
    <row r="369" customFormat="false" ht="15" hidden="false" customHeight="false" outlineLevel="0" collapsed="false">
      <c r="A369" s="9"/>
      <c r="B369" s="8"/>
      <c r="C369" s="10" t="str">
        <f aca="false">IF(B369="","",IFERROR(VLOOKUP(B369,DonHang!$A$2:$C$500,3,FALSE()),"mã đơn chưa có"))</f>
        <v/>
      </c>
      <c r="D369" s="14"/>
      <c r="E369" s="8"/>
      <c r="F369" s="8"/>
      <c r="G369" s="8"/>
    </row>
    <row r="370" customFormat="false" ht="15" hidden="false" customHeight="false" outlineLevel="0" collapsed="false">
      <c r="A370" s="9"/>
      <c r="B370" s="8"/>
      <c r="C370" s="10" t="str">
        <f aca="false">IF(B370="","",IFERROR(VLOOKUP(B370,DonHang!$A$2:$C$500,3,FALSE()),"mã đơn chưa có"))</f>
        <v/>
      </c>
      <c r="D370" s="14"/>
      <c r="E370" s="8"/>
      <c r="F370" s="8"/>
      <c r="G370" s="8"/>
    </row>
    <row r="371" customFormat="false" ht="15" hidden="false" customHeight="false" outlineLevel="0" collapsed="false">
      <c r="A371" s="9"/>
      <c r="B371" s="8"/>
      <c r="C371" s="10" t="str">
        <f aca="false">IF(B371="","",IFERROR(VLOOKUP(B371,DonHang!$A$2:$C$500,3,FALSE()),"mã đơn chưa có"))</f>
        <v/>
      </c>
      <c r="D371" s="14"/>
      <c r="E371" s="8"/>
      <c r="F371" s="8"/>
      <c r="G371" s="8"/>
    </row>
    <row r="372" customFormat="false" ht="15" hidden="false" customHeight="false" outlineLevel="0" collapsed="false">
      <c r="A372" s="9"/>
      <c r="B372" s="8"/>
      <c r="C372" s="10" t="str">
        <f aca="false">IF(B372="","",IFERROR(VLOOKUP(B372,DonHang!$A$2:$C$500,3,FALSE()),"mã đơn chưa có"))</f>
        <v/>
      </c>
      <c r="D372" s="14"/>
      <c r="E372" s="8"/>
      <c r="F372" s="8"/>
      <c r="G372" s="8"/>
    </row>
    <row r="373" customFormat="false" ht="15" hidden="false" customHeight="false" outlineLevel="0" collapsed="false">
      <c r="A373" s="9"/>
      <c r="B373" s="8"/>
      <c r="C373" s="10" t="str">
        <f aca="false">IF(B373="","",IFERROR(VLOOKUP(B373,DonHang!$A$2:$C$500,3,FALSE()),"mã đơn chưa có"))</f>
        <v/>
      </c>
      <c r="D373" s="14"/>
      <c r="E373" s="8"/>
      <c r="F373" s="8"/>
      <c r="G373" s="8"/>
    </row>
    <row r="374" customFormat="false" ht="15" hidden="false" customHeight="false" outlineLevel="0" collapsed="false">
      <c r="A374" s="9"/>
      <c r="B374" s="8"/>
      <c r="C374" s="10" t="str">
        <f aca="false">IF(B374="","",IFERROR(VLOOKUP(B374,DonHang!$A$2:$C$500,3,FALSE()),"mã đơn chưa có"))</f>
        <v/>
      </c>
      <c r="D374" s="14"/>
      <c r="E374" s="8"/>
      <c r="F374" s="8"/>
      <c r="G374" s="8"/>
    </row>
    <row r="375" customFormat="false" ht="15" hidden="false" customHeight="false" outlineLevel="0" collapsed="false">
      <c r="A375" s="9"/>
      <c r="B375" s="8"/>
      <c r="C375" s="10" t="str">
        <f aca="false">IF(B375="","",IFERROR(VLOOKUP(B375,DonHang!$A$2:$C$500,3,FALSE()),"mã đơn chưa có"))</f>
        <v/>
      </c>
      <c r="D375" s="14"/>
      <c r="E375" s="8"/>
      <c r="F375" s="8"/>
      <c r="G375" s="8"/>
    </row>
    <row r="376" customFormat="false" ht="15" hidden="false" customHeight="false" outlineLevel="0" collapsed="false">
      <c r="A376" s="9"/>
      <c r="B376" s="8"/>
      <c r="C376" s="10" t="str">
        <f aca="false">IF(B376="","",IFERROR(VLOOKUP(B376,DonHang!$A$2:$C$500,3,FALSE()),"mã đơn chưa có"))</f>
        <v/>
      </c>
      <c r="D376" s="14"/>
      <c r="E376" s="8"/>
      <c r="F376" s="8"/>
      <c r="G376" s="8"/>
    </row>
    <row r="377" customFormat="false" ht="15" hidden="false" customHeight="false" outlineLevel="0" collapsed="false">
      <c r="A377" s="9"/>
      <c r="B377" s="8"/>
      <c r="C377" s="10" t="str">
        <f aca="false">IF(B377="","",IFERROR(VLOOKUP(B377,DonHang!$A$2:$C$500,3,FALSE()),"mã đơn chưa có"))</f>
        <v/>
      </c>
      <c r="D377" s="14"/>
      <c r="E377" s="8"/>
      <c r="F377" s="8"/>
      <c r="G377" s="8"/>
    </row>
    <row r="378" customFormat="false" ht="15" hidden="false" customHeight="false" outlineLevel="0" collapsed="false">
      <c r="A378" s="9"/>
      <c r="B378" s="8"/>
      <c r="C378" s="10" t="str">
        <f aca="false">IF(B378="","",IFERROR(VLOOKUP(B378,DonHang!$A$2:$C$500,3,FALSE()),"mã đơn chưa có"))</f>
        <v/>
      </c>
      <c r="D378" s="14"/>
      <c r="E378" s="8"/>
      <c r="F378" s="8"/>
      <c r="G378" s="8"/>
    </row>
    <row r="379" customFormat="false" ht="15" hidden="false" customHeight="false" outlineLevel="0" collapsed="false">
      <c r="A379" s="9"/>
      <c r="B379" s="8"/>
      <c r="C379" s="10" t="str">
        <f aca="false">IF(B379="","",IFERROR(VLOOKUP(B379,DonHang!$A$2:$C$500,3,FALSE()),"mã đơn chưa có"))</f>
        <v/>
      </c>
      <c r="D379" s="14"/>
      <c r="E379" s="8"/>
      <c r="F379" s="8"/>
      <c r="G379" s="8"/>
    </row>
    <row r="380" customFormat="false" ht="15" hidden="false" customHeight="false" outlineLevel="0" collapsed="false">
      <c r="A380" s="9"/>
      <c r="B380" s="8"/>
      <c r="C380" s="10" t="str">
        <f aca="false">IF(B380="","",IFERROR(VLOOKUP(B380,DonHang!$A$2:$C$500,3,FALSE()),"mã đơn chưa có"))</f>
        <v/>
      </c>
      <c r="D380" s="14"/>
      <c r="E380" s="8"/>
      <c r="F380" s="8"/>
      <c r="G380" s="8"/>
    </row>
    <row r="381" customFormat="false" ht="15" hidden="false" customHeight="false" outlineLevel="0" collapsed="false">
      <c r="A381" s="9"/>
      <c r="B381" s="8"/>
      <c r="C381" s="10" t="str">
        <f aca="false">IF(B381="","",IFERROR(VLOOKUP(B381,DonHang!$A$2:$C$500,3,FALSE()),"mã đơn chưa có"))</f>
        <v/>
      </c>
      <c r="D381" s="14"/>
      <c r="E381" s="8"/>
      <c r="F381" s="8"/>
      <c r="G381" s="8"/>
    </row>
    <row r="382" customFormat="false" ht="15" hidden="false" customHeight="false" outlineLevel="0" collapsed="false">
      <c r="A382" s="9"/>
      <c r="B382" s="8"/>
      <c r="C382" s="10" t="str">
        <f aca="false">IF(B382="","",IFERROR(VLOOKUP(B382,DonHang!$A$2:$C$500,3,FALSE()),"mã đơn chưa có"))</f>
        <v/>
      </c>
      <c r="D382" s="14"/>
      <c r="E382" s="8"/>
      <c r="F382" s="8"/>
      <c r="G382" s="8"/>
    </row>
    <row r="383" customFormat="false" ht="15" hidden="false" customHeight="false" outlineLevel="0" collapsed="false">
      <c r="A383" s="9"/>
      <c r="B383" s="8"/>
      <c r="C383" s="10" t="str">
        <f aca="false">IF(B383="","",IFERROR(VLOOKUP(B383,DonHang!$A$2:$C$500,3,FALSE()),"mã đơn chưa có"))</f>
        <v/>
      </c>
      <c r="D383" s="14"/>
      <c r="E383" s="8"/>
      <c r="F383" s="8"/>
      <c r="G383" s="8"/>
    </row>
    <row r="384" customFormat="false" ht="15" hidden="false" customHeight="false" outlineLevel="0" collapsed="false">
      <c r="A384" s="9"/>
      <c r="B384" s="8"/>
      <c r="C384" s="10" t="str">
        <f aca="false">IF(B384="","",IFERROR(VLOOKUP(B384,DonHang!$A$2:$C$500,3,FALSE()),"mã đơn chưa có"))</f>
        <v/>
      </c>
      <c r="D384" s="14"/>
      <c r="E384" s="8"/>
      <c r="F384" s="8"/>
      <c r="G384" s="8"/>
    </row>
    <row r="385" customFormat="false" ht="15" hidden="false" customHeight="false" outlineLevel="0" collapsed="false">
      <c r="A385" s="9"/>
      <c r="B385" s="8"/>
      <c r="C385" s="10" t="str">
        <f aca="false">IF(B385="","",IFERROR(VLOOKUP(B385,DonHang!$A$2:$C$500,3,FALSE()),"mã đơn chưa có"))</f>
        <v/>
      </c>
      <c r="D385" s="14"/>
      <c r="E385" s="8"/>
      <c r="F385" s="8"/>
      <c r="G385" s="8"/>
    </row>
    <row r="386" customFormat="false" ht="15" hidden="false" customHeight="false" outlineLevel="0" collapsed="false">
      <c r="A386" s="9"/>
      <c r="B386" s="8"/>
      <c r="C386" s="10" t="str">
        <f aca="false">IF(B386="","",IFERROR(VLOOKUP(B386,DonHang!$A$2:$C$500,3,FALSE()),"mã đơn chưa có"))</f>
        <v/>
      </c>
      <c r="D386" s="14"/>
      <c r="E386" s="8"/>
      <c r="F386" s="8"/>
      <c r="G386" s="8"/>
    </row>
    <row r="387" customFormat="false" ht="15" hidden="false" customHeight="false" outlineLevel="0" collapsed="false">
      <c r="A387" s="9"/>
      <c r="B387" s="8"/>
      <c r="C387" s="10" t="str">
        <f aca="false">IF(B387="","",IFERROR(VLOOKUP(B387,DonHang!$A$2:$C$500,3,FALSE()),"mã đơn chưa có"))</f>
        <v/>
      </c>
      <c r="D387" s="14"/>
      <c r="E387" s="8"/>
      <c r="F387" s="8"/>
      <c r="G387" s="8"/>
    </row>
    <row r="388" customFormat="false" ht="15" hidden="false" customHeight="false" outlineLevel="0" collapsed="false">
      <c r="A388" s="9"/>
      <c r="B388" s="8"/>
      <c r="C388" s="10" t="str">
        <f aca="false">IF(B388="","",IFERROR(VLOOKUP(B388,DonHang!$A$2:$C$500,3,FALSE()),"mã đơn chưa có"))</f>
        <v/>
      </c>
      <c r="D388" s="14"/>
      <c r="E388" s="8"/>
      <c r="F388" s="8"/>
      <c r="G388" s="8"/>
    </row>
    <row r="389" customFormat="false" ht="15" hidden="false" customHeight="false" outlineLevel="0" collapsed="false">
      <c r="A389" s="9"/>
      <c r="B389" s="8"/>
      <c r="C389" s="10" t="str">
        <f aca="false">IF(B389="","",IFERROR(VLOOKUP(B389,DonHang!$A$2:$C$500,3,FALSE()),"mã đơn chưa có"))</f>
        <v/>
      </c>
      <c r="D389" s="14"/>
      <c r="E389" s="8"/>
      <c r="F389" s="8"/>
      <c r="G389" s="8"/>
    </row>
    <row r="390" customFormat="false" ht="15" hidden="false" customHeight="false" outlineLevel="0" collapsed="false">
      <c r="A390" s="9"/>
      <c r="B390" s="8"/>
      <c r="C390" s="10" t="str">
        <f aca="false">IF(B390="","",IFERROR(VLOOKUP(B390,DonHang!$A$2:$C$500,3,FALSE()),"mã đơn chưa có"))</f>
        <v/>
      </c>
      <c r="D390" s="14"/>
      <c r="E390" s="8"/>
      <c r="F390" s="8"/>
      <c r="G390" s="8"/>
    </row>
    <row r="391" customFormat="false" ht="15" hidden="false" customHeight="false" outlineLevel="0" collapsed="false">
      <c r="A391" s="9"/>
      <c r="B391" s="8"/>
      <c r="C391" s="10" t="str">
        <f aca="false">IF(B391="","",IFERROR(VLOOKUP(B391,DonHang!$A$2:$C$500,3,FALSE()),"mã đơn chưa có"))</f>
        <v/>
      </c>
      <c r="D391" s="14"/>
      <c r="E391" s="8"/>
      <c r="F391" s="8"/>
      <c r="G391" s="8"/>
    </row>
    <row r="392" customFormat="false" ht="15" hidden="false" customHeight="false" outlineLevel="0" collapsed="false">
      <c r="A392" s="9"/>
      <c r="B392" s="8"/>
      <c r="C392" s="10" t="str">
        <f aca="false">IF(B392="","",IFERROR(VLOOKUP(B392,DonHang!$A$2:$C$500,3,FALSE()),"mã đơn chưa có"))</f>
        <v/>
      </c>
      <c r="D392" s="14"/>
      <c r="E392" s="8"/>
      <c r="F392" s="8"/>
      <c r="G392" s="8"/>
    </row>
    <row r="393" customFormat="false" ht="15" hidden="false" customHeight="false" outlineLevel="0" collapsed="false">
      <c r="A393" s="9"/>
      <c r="B393" s="8"/>
      <c r="C393" s="10" t="str">
        <f aca="false">IF(B393="","",IFERROR(VLOOKUP(B393,DonHang!$A$2:$C$500,3,FALSE()),"mã đơn chưa có"))</f>
        <v/>
      </c>
      <c r="D393" s="14"/>
      <c r="E393" s="8"/>
      <c r="F393" s="8"/>
      <c r="G393" s="8"/>
    </row>
    <row r="394" customFormat="false" ht="15" hidden="false" customHeight="false" outlineLevel="0" collapsed="false">
      <c r="A394" s="9"/>
      <c r="B394" s="8"/>
      <c r="C394" s="10" t="str">
        <f aca="false">IF(B394="","",IFERROR(VLOOKUP(B394,DonHang!$A$2:$C$500,3,FALSE()),"mã đơn chưa có"))</f>
        <v/>
      </c>
      <c r="D394" s="14"/>
      <c r="E394" s="8"/>
      <c r="F394" s="8"/>
      <c r="G394" s="8"/>
    </row>
    <row r="395" customFormat="false" ht="15" hidden="false" customHeight="false" outlineLevel="0" collapsed="false">
      <c r="A395" s="9"/>
      <c r="B395" s="8"/>
      <c r="C395" s="10" t="str">
        <f aca="false">IF(B395="","",IFERROR(VLOOKUP(B395,DonHang!$A$2:$C$500,3,FALSE()),"mã đơn chưa có"))</f>
        <v/>
      </c>
      <c r="D395" s="14"/>
      <c r="E395" s="8"/>
      <c r="F395" s="8"/>
      <c r="G395" s="8"/>
    </row>
    <row r="396" customFormat="false" ht="15" hidden="false" customHeight="false" outlineLevel="0" collapsed="false">
      <c r="A396" s="9"/>
      <c r="B396" s="8"/>
      <c r="C396" s="10" t="str">
        <f aca="false">IF(B396="","",IFERROR(VLOOKUP(B396,DonHang!$A$2:$C$500,3,FALSE()),"mã đơn chưa có"))</f>
        <v/>
      </c>
      <c r="D396" s="14"/>
      <c r="E396" s="8"/>
      <c r="F396" s="8"/>
      <c r="G396" s="8"/>
    </row>
    <row r="397" customFormat="false" ht="15" hidden="false" customHeight="false" outlineLevel="0" collapsed="false">
      <c r="A397" s="9"/>
      <c r="B397" s="8"/>
      <c r="C397" s="10" t="str">
        <f aca="false">IF(B397="","",IFERROR(VLOOKUP(B397,DonHang!$A$2:$C$500,3,FALSE()),"mã đơn chưa có"))</f>
        <v/>
      </c>
      <c r="D397" s="14"/>
      <c r="E397" s="8"/>
      <c r="F397" s="8"/>
      <c r="G397" s="8"/>
    </row>
    <row r="398" customFormat="false" ht="15" hidden="false" customHeight="false" outlineLevel="0" collapsed="false">
      <c r="A398" s="9"/>
      <c r="B398" s="8"/>
      <c r="C398" s="10" t="str">
        <f aca="false">IF(B398="","",IFERROR(VLOOKUP(B398,DonHang!$A$2:$C$500,3,FALSE()),"mã đơn chưa có"))</f>
        <v/>
      </c>
      <c r="D398" s="14"/>
      <c r="E398" s="8"/>
      <c r="F398" s="8"/>
      <c r="G398" s="8"/>
    </row>
    <row r="399" customFormat="false" ht="15" hidden="false" customHeight="false" outlineLevel="0" collapsed="false">
      <c r="A399" s="9"/>
      <c r="B399" s="8"/>
      <c r="C399" s="10" t="str">
        <f aca="false">IF(B399="","",IFERROR(VLOOKUP(B399,DonHang!$A$2:$C$500,3,FALSE()),"mã đơn chưa có"))</f>
        <v/>
      </c>
      <c r="D399" s="14"/>
      <c r="E399" s="8"/>
      <c r="F399" s="8"/>
      <c r="G399" s="8"/>
    </row>
    <row r="400" customFormat="false" ht="15" hidden="false" customHeight="false" outlineLevel="0" collapsed="false">
      <c r="A400" s="9"/>
      <c r="B400" s="8"/>
      <c r="C400" s="10" t="str">
        <f aca="false">IF(B400="","",IFERROR(VLOOKUP(B400,DonHang!$A$2:$C$500,3,FALSE()),"mã đơn chưa có"))</f>
        <v/>
      </c>
      <c r="D400" s="14"/>
      <c r="E400" s="8"/>
      <c r="F400" s="8"/>
      <c r="G400" s="8"/>
    </row>
    <row r="401" customFormat="false" ht="15" hidden="false" customHeight="false" outlineLevel="0" collapsed="false">
      <c r="A401" s="9"/>
      <c r="B401" s="8"/>
      <c r="C401" s="10" t="str">
        <f aca="false">IF(B401="","",IFERROR(VLOOKUP(B401,DonHang!$A$2:$C$500,3,FALSE()),"mã đơn chưa có"))</f>
        <v/>
      </c>
      <c r="D401" s="14"/>
      <c r="E401" s="8"/>
      <c r="F401" s="8"/>
      <c r="G401" s="8"/>
    </row>
    <row r="402" customFormat="false" ht="15" hidden="false" customHeight="false" outlineLevel="0" collapsed="false">
      <c r="A402" s="9"/>
      <c r="B402" s="8"/>
      <c r="C402" s="10" t="str">
        <f aca="false">IF(B402="","",IFERROR(VLOOKUP(B402,DonHang!$A$2:$C$500,3,FALSE()),"mã đơn chưa có"))</f>
        <v/>
      </c>
      <c r="D402" s="14"/>
      <c r="E402" s="8"/>
      <c r="F402" s="8"/>
      <c r="G402" s="8"/>
    </row>
    <row r="403" customFormat="false" ht="15" hidden="false" customHeight="false" outlineLevel="0" collapsed="false">
      <c r="A403" s="9"/>
      <c r="B403" s="8"/>
      <c r="C403" s="10" t="str">
        <f aca="false">IF(B403="","",IFERROR(VLOOKUP(B403,DonHang!$A$2:$C$500,3,FALSE()),"mã đơn chưa có"))</f>
        <v/>
      </c>
      <c r="D403" s="14"/>
      <c r="E403" s="8"/>
      <c r="F403" s="8"/>
      <c r="G403" s="8"/>
    </row>
    <row r="404" customFormat="false" ht="15" hidden="false" customHeight="false" outlineLevel="0" collapsed="false">
      <c r="A404" s="9"/>
      <c r="B404" s="8"/>
      <c r="C404" s="10" t="str">
        <f aca="false">IF(B404="","",IFERROR(VLOOKUP(B404,DonHang!$A$2:$C$500,3,FALSE()),"mã đơn chưa có"))</f>
        <v/>
      </c>
      <c r="D404" s="14"/>
      <c r="E404" s="8"/>
      <c r="F404" s="8"/>
      <c r="G404" s="8"/>
    </row>
    <row r="405" customFormat="false" ht="15" hidden="false" customHeight="false" outlineLevel="0" collapsed="false">
      <c r="A405" s="9"/>
      <c r="B405" s="8"/>
      <c r="C405" s="10" t="str">
        <f aca="false">IF(B405="","",IFERROR(VLOOKUP(B405,DonHang!$A$2:$C$500,3,FALSE()),"mã đơn chưa có"))</f>
        <v/>
      </c>
      <c r="D405" s="14"/>
      <c r="E405" s="8"/>
      <c r="F405" s="8"/>
      <c r="G405" s="8"/>
    </row>
    <row r="406" customFormat="false" ht="15" hidden="false" customHeight="false" outlineLevel="0" collapsed="false">
      <c r="A406" s="9"/>
      <c r="B406" s="8"/>
      <c r="C406" s="10" t="str">
        <f aca="false">IF(B406="","",IFERROR(VLOOKUP(B406,DonHang!$A$2:$C$500,3,FALSE()),"mã đơn chưa có"))</f>
        <v/>
      </c>
      <c r="D406" s="14"/>
      <c r="E406" s="8"/>
      <c r="F406" s="8"/>
      <c r="G406" s="8"/>
    </row>
    <row r="407" customFormat="false" ht="15" hidden="false" customHeight="false" outlineLevel="0" collapsed="false">
      <c r="A407" s="9"/>
      <c r="B407" s="8"/>
      <c r="C407" s="10" t="str">
        <f aca="false">IF(B407="","",IFERROR(VLOOKUP(B407,DonHang!$A$2:$C$500,3,FALSE()),"mã đơn chưa có"))</f>
        <v/>
      </c>
      <c r="D407" s="14"/>
      <c r="E407" s="8"/>
      <c r="F407" s="8"/>
      <c r="G407" s="8"/>
    </row>
    <row r="408" customFormat="false" ht="15" hidden="false" customHeight="false" outlineLevel="0" collapsed="false">
      <c r="A408" s="9"/>
      <c r="B408" s="8"/>
      <c r="C408" s="10" t="str">
        <f aca="false">IF(B408="","",IFERROR(VLOOKUP(B408,DonHang!$A$2:$C$500,3,FALSE()),"mã đơn chưa có"))</f>
        <v/>
      </c>
      <c r="D408" s="14"/>
      <c r="E408" s="8"/>
      <c r="F408" s="8"/>
      <c r="G408" s="8"/>
    </row>
    <row r="409" customFormat="false" ht="15" hidden="false" customHeight="false" outlineLevel="0" collapsed="false">
      <c r="A409" s="9"/>
      <c r="B409" s="8"/>
      <c r="C409" s="10" t="str">
        <f aca="false">IF(B409="","",IFERROR(VLOOKUP(B409,DonHang!$A$2:$C$500,3,FALSE()),"mã đơn chưa có"))</f>
        <v/>
      </c>
      <c r="D409" s="14"/>
      <c r="E409" s="8"/>
      <c r="F409" s="8"/>
      <c r="G409" s="8"/>
    </row>
    <row r="410" customFormat="false" ht="15" hidden="false" customHeight="false" outlineLevel="0" collapsed="false">
      <c r="A410" s="9"/>
      <c r="B410" s="8"/>
      <c r="C410" s="10" t="str">
        <f aca="false">IF(B410="","",IFERROR(VLOOKUP(B410,DonHang!$A$2:$C$500,3,FALSE()),"mã đơn chưa có"))</f>
        <v/>
      </c>
      <c r="D410" s="14"/>
      <c r="E410" s="8"/>
      <c r="F410" s="8"/>
      <c r="G410" s="8"/>
    </row>
    <row r="411" customFormat="false" ht="15" hidden="false" customHeight="false" outlineLevel="0" collapsed="false">
      <c r="A411" s="9"/>
      <c r="B411" s="8"/>
      <c r="C411" s="10" t="str">
        <f aca="false">IF(B411="","",IFERROR(VLOOKUP(B411,DonHang!$A$2:$C$500,3,FALSE()),"mã đơn chưa có"))</f>
        <v/>
      </c>
      <c r="D411" s="14"/>
      <c r="E411" s="8"/>
      <c r="F411" s="8"/>
      <c r="G411" s="8"/>
    </row>
    <row r="412" customFormat="false" ht="15" hidden="false" customHeight="false" outlineLevel="0" collapsed="false">
      <c r="A412" s="9"/>
      <c r="B412" s="8"/>
      <c r="C412" s="10" t="str">
        <f aca="false">IF(B412="","",IFERROR(VLOOKUP(B412,DonHang!$A$2:$C$500,3,FALSE()),"mã đơn chưa có"))</f>
        <v/>
      </c>
      <c r="D412" s="14"/>
      <c r="E412" s="8"/>
      <c r="F412" s="8"/>
      <c r="G412" s="8"/>
    </row>
    <row r="413" customFormat="false" ht="15" hidden="false" customHeight="false" outlineLevel="0" collapsed="false">
      <c r="A413" s="9"/>
      <c r="B413" s="8"/>
      <c r="C413" s="10" t="str">
        <f aca="false">IF(B413="","",IFERROR(VLOOKUP(B413,DonHang!$A$2:$C$500,3,FALSE()),"mã đơn chưa có"))</f>
        <v/>
      </c>
      <c r="D413" s="14"/>
      <c r="E413" s="8"/>
      <c r="F413" s="8"/>
      <c r="G413" s="8"/>
    </row>
    <row r="414" customFormat="false" ht="15" hidden="false" customHeight="false" outlineLevel="0" collapsed="false">
      <c r="A414" s="9"/>
      <c r="B414" s="8"/>
      <c r="C414" s="10" t="str">
        <f aca="false">IF(B414="","",IFERROR(VLOOKUP(B414,DonHang!$A$2:$C$500,3,FALSE()),"mã đơn chưa có"))</f>
        <v/>
      </c>
      <c r="D414" s="14"/>
      <c r="E414" s="8"/>
      <c r="F414" s="8"/>
      <c r="G414" s="8"/>
    </row>
    <row r="415" customFormat="false" ht="15" hidden="false" customHeight="false" outlineLevel="0" collapsed="false">
      <c r="A415" s="9"/>
      <c r="B415" s="8"/>
      <c r="C415" s="10" t="str">
        <f aca="false">IF(B415="","",IFERROR(VLOOKUP(B415,DonHang!$A$2:$C$500,3,FALSE()),"mã đơn chưa có"))</f>
        <v/>
      </c>
      <c r="D415" s="14"/>
      <c r="E415" s="8"/>
      <c r="F415" s="8"/>
      <c r="G415" s="8"/>
    </row>
    <row r="416" customFormat="false" ht="15" hidden="false" customHeight="false" outlineLevel="0" collapsed="false">
      <c r="A416" s="9"/>
      <c r="B416" s="8"/>
      <c r="C416" s="10" t="str">
        <f aca="false">IF(B416="","",IFERROR(VLOOKUP(B416,DonHang!$A$2:$C$500,3,FALSE()),"mã đơn chưa có"))</f>
        <v/>
      </c>
      <c r="D416" s="14"/>
      <c r="E416" s="8"/>
      <c r="F416" s="8"/>
      <c r="G416" s="8"/>
    </row>
    <row r="417" customFormat="false" ht="15" hidden="false" customHeight="false" outlineLevel="0" collapsed="false">
      <c r="A417" s="9"/>
      <c r="B417" s="8"/>
      <c r="C417" s="10" t="str">
        <f aca="false">IF(B417="","",IFERROR(VLOOKUP(B417,DonHang!$A$2:$C$500,3,FALSE()),"mã đơn chưa có"))</f>
        <v/>
      </c>
      <c r="D417" s="14"/>
      <c r="E417" s="8"/>
      <c r="F417" s="8"/>
      <c r="G417" s="8"/>
    </row>
    <row r="418" customFormat="false" ht="15" hidden="false" customHeight="false" outlineLevel="0" collapsed="false">
      <c r="A418" s="9"/>
      <c r="B418" s="8"/>
      <c r="C418" s="10" t="str">
        <f aca="false">IF(B418="","",IFERROR(VLOOKUP(B418,DonHang!$A$2:$C$500,3,FALSE()),"mã đơn chưa có"))</f>
        <v/>
      </c>
      <c r="D418" s="14"/>
      <c r="E418" s="8"/>
      <c r="F418" s="8"/>
      <c r="G418" s="8"/>
    </row>
    <row r="419" customFormat="false" ht="15" hidden="false" customHeight="false" outlineLevel="0" collapsed="false">
      <c r="A419" s="9"/>
      <c r="B419" s="8"/>
      <c r="C419" s="10" t="str">
        <f aca="false">IF(B419="","",IFERROR(VLOOKUP(B419,DonHang!$A$2:$C$500,3,FALSE()),"mã đơn chưa có"))</f>
        <v/>
      </c>
      <c r="D419" s="14"/>
      <c r="E419" s="8"/>
      <c r="F419" s="8"/>
      <c r="G419" s="8"/>
    </row>
    <row r="420" customFormat="false" ht="15" hidden="false" customHeight="false" outlineLevel="0" collapsed="false">
      <c r="A420" s="9"/>
      <c r="B420" s="8"/>
      <c r="C420" s="10" t="str">
        <f aca="false">IF(B420="","",IFERROR(VLOOKUP(B420,DonHang!$A$2:$C$500,3,FALSE()),"mã đơn chưa có"))</f>
        <v/>
      </c>
      <c r="D420" s="14"/>
      <c r="E420" s="8"/>
      <c r="F420" s="8"/>
      <c r="G420" s="8"/>
    </row>
    <row r="421" customFormat="false" ht="15" hidden="false" customHeight="false" outlineLevel="0" collapsed="false">
      <c r="A421" s="9"/>
      <c r="B421" s="8"/>
      <c r="C421" s="10" t="str">
        <f aca="false">IF(B421="","",IFERROR(VLOOKUP(B421,DonHang!$A$2:$C$500,3,FALSE()),"mã đơn chưa có"))</f>
        <v/>
      </c>
      <c r="D421" s="14"/>
      <c r="E421" s="8"/>
      <c r="F421" s="8"/>
      <c r="G421" s="8"/>
    </row>
    <row r="422" customFormat="false" ht="15" hidden="false" customHeight="false" outlineLevel="0" collapsed="false">
      <c r="A422" s="9"/>
      <c r="B422" s="8"/>
      <c r="C422" s="10" t="str">
        <f aca="false">IF(B422="","",IFERROR(VLOOKUP(B422,DonHang!$A$2:$C$500,3,FALSE()),"mã đơn chưa có"))</f>
        <v/>
      </c>
      <c r="D422" s="14"/>
      <c r="E422" s="8"/>
      <c r="F422" s="8"/>
      <c r="G422" s="8"/>
    </row>
    <row r="423" customFormat="false" ht="15" hidden="false" customHeight="false" outlineLevel="0" collapsed="false">
      <c r="A423" s="9"/>
      <c r="B423" s="8"/>
      <c r="C423" s="10" t="str">
        <f aca="false">IF(B423="","",IFERROR(VLOOKUP(B423,DonHang!$A$2:$C$500,3,FALSE()),"mã đơn chưa có"))</f>
        <v/>
      </c>
      <c r="D423" s="14"/>
      <c r="E423" s="8"/>
      <c r="F423" s="8"/>
      <c r="G423" s="8"/>
    </row>
    <row r="424" customFormat="false" ht="15" hidden="false" customHeight="false" outlineLevel="0" collapsed="false">
      <c r="A424" s="9"/>
      <c r="B424" s="8"/>
      <c r="C424" s="10" t="str">
        <f aca="false">IF(B424="","",IFERROR(VLOOKUP(B424,DonHang!$A$2:$C$500,3,FALSE()),"mã đơn chưa có"))</f>
        <v/>
      </c>
      <c r="D424" s="14"/>
      <c r="E424" s="8"/>
      <c r="F424" s="8"/>
      <c r="G424" s="8"/>
    </row>
    <row r="425" customFormat="false" ht="15" hidden="false" customHeight="false" outlineLevel="0" collapsed="false">
      <c r="A425" s="9"/>
      <c r="B425" s="8"/>
      <c r="C425" s="10" t="str">
        <f aca="false">IF(B425="","",IFERROR(VLOOKUP(B425,DonHang!$A$2:$C$500,3,FALSE()),"mã đơn chưa có"))</f>
        <v/>
      </c>
      <c r="D425" s="14"/>
      <c r="E425" s="8"/>
      <c r="F425" s="8"/>
      <c r="G425" s="8"/>
    </row>
    <row r="426" customFormat="false" ht="15" hidden="false" customHeight="false" outlineLevel="0" collapsed="false">
      <c r="A426" s="9"/>
      <c r="B426" s="8"/>
      <c r="C426" s="10" t="str">
        <f aca="false">IF(B426="","",IFERROR(VLOOKUP(B426,DonHang!$A$2:$C$500,3,FALSE()),"mã đơn chưa có"))</f>
        <v/>
      </c>
      <c r="D426" s="14"/>
      <c r="E426" s="8"/>
      <c r="F426" s="8"/>
      <c r="G426" s="8"/>
    </row>
    <row r="427" customFormat="false" ht="15" hidden="false" customHeight="false" outlineLevel="0" collapsed="false">
      <c r="A427" s="9"/>
      <c r="B427" s="8"/>
      <c r="C427" s="10" t="str">
        <f aca="false">IF(B427="","",IFERROR(VLOOKUP(B427,DonHang!$A$2:$C$500,3,FALSE()),"mã đơn chưa có"))</f>
        <v/>
      </c>
      <c r="D427" s="14"/>
      <c r="E427" s="8"/>
      <c r="F427" s="8"/>
      <c r="G427" s="8"/>
    </row>
    <row r="428" customFormat="false" ht="15" hidden="false" customHeight="false" outlineLevel="0" collapsed="false">
      <c r="A428" s="9"/>
      <c r="B428" s="8"/>
      <c r="C428" s="10" t="str">
        <f aca="false">IF(B428="","",IFERROR(VLOOKUP(B428,DonHang!$A$2:$C$500,3,FALSE()),"mã đơn chưa có"))</f>
        <v/>
      </c>
      <c r="D428" s="14"/>
      <c r="E428" s="8"/>
      <c r="F428" s="8"/>
      <c r="G428" s="8"/>
    </row>
    <row r="429" customFormat="false" ht="15" hidden="false" customHeight="false" outlineLevel="0" collapsed="false">
      <c r="A429" s="9"/>
      <c r="B429" s="8"/>
      <c r="C429" s="10" t="str">
        <f aca="false">IF(B429="","",IFERROR(VLOOKUP(B429,DonHang!$A$2:$C$500,3,FALSE()),"mã đơn chưa có"))</f>
        <v/>
      </c>
      <c r="D429" s="14"/>
      <c r="E429" s="8"/>
      <c r="F429" s="8"/>
      <c r="G429" s="8"/>
    </row>
    <row r="430" customFormat="false" ht="15" hidden="false" customHeight="false" outlineLevel="0" collapsed="false">
      <c r="A430" s="9"/>
      <c r="B430" s="8"/>
      <c r="C430" s="10" t="str">
        <f aca="false">IF(B430="","",IFERROR(VLOOKUP(B430,DonHang!$A$2:$C$500,3,FALSE()),"mã đơn chưa có"))</f>
        <v/>
      </c>
      <c r="D430" s="14"/>
      <c r="E430" s="8"/>
      <c r="F430" s="8"/>
      <c r="G430" s="8"/>
    </row>
    <row r="431" customFormat="false" ht="15" hidden="false" customHeight="false" outlineLevel="0" collapsed="false">
      <c r="A431" s="9"/>
      <c r="B431" s="8"/>
      <c r="C431" s="10" t="str">
        <f aca="false">IF(B431="","",IFERROR(VLOOKUP(B431,DonHang!$A$2:$C$500,3,FALSE()),"mã đơn chưa có"))</f>
        <v/>
      </c>
      <c r="D431" s="14"/>
      <c r="E431" s="8"/>
      <c r="F431" s="8"/>
      <c r="G431" s="8"/>
    </row>
    <row r="432" customFormat="false" ht="15" hidden="false" customHeight="false" outlineLevel="0" collapsed="false">
      <c r="A432" s="9"/>
      <c r="B432" s="8"/>
      <c r="C432" s="10" t="str">
        <f aca="false">IF(B432="","",IFERROR(VLOOKUP(B432,DonHang!$A$2:$C$500,3,FALSE()),"mã đơn chưa có"))</f>
        <v/>
      </c>
      <c r="D432" s="14"/>
      <c r="E432" s="8"/>
      <c r="F432" s="8"/>
      <c r="G432" s="8"/>
    </row>
    <row r="433" customFormat="false" ht="15" hidden="false" customHeight="false" outlineLevel="0" collapsed="false">
      <c r="A433" s="9"/>
      <c r="B433" s="8"/>
      <c r="C433" s="10" t="str">
        <f aca="false">IF(B433="","",IFERROR(VLOOKUP(B433,DonHang!$A$2:$C$500,3,FALSE()),"mã đơn chưa có"))</f>
        <v/>
      </c>
      <c r="D433" s="14"/>
      <c r="E433" s="8"/>
      <c r="F433" s="8"/>
      <c r="G433" s="8"/>
    </row>
    <row r="434" customFormat="false" ht="15" hidden="false" customHeight="false" outlineLevel="0" collapsed="false">
      <c r="A434" s="9"/>
      <c r="B434" s="8"/>
      <c r="C434" s="10" t="str">
        <f aca="false">IF(B434="","",IFERROR(VLOOKUP(B434,DonHang!$A$2:$C$500,3,FALSE()),"mã đơn chưa có"))</f>
        <v/>
      </c>
      <c r="D434" s="14"/>
      <c r="E434" s="8"/>
      <c r="F434" s="8"/>
      <c r="G434" s="8"/>
    </row>
    <row r="435" customFormat="false" ht="15" hidden="false" customHeight="false" outlineLevel="0" collapsed="false">
      <c r="A435" s="9"/>
      <c r="B435" s="8"/>
      <c r="C435" s="10" t="str">
        <f aca="false">IF(B435="","",IFERROR(VLOOKUP(B435,DonHang!$A$2:$C$500,3,FALSE()),"mã đơn chưa có"))</f>
        <v/>
      </c>
      <c r="D435" s="14"/>
      <c r="E435" s="8"/>
      <c r="F435" s="8"/>
      <c r="G435" s="8"/>
    </row>
    <row r="436" customFormat="false" ht="15" hidden="false" customHeight="false" outlineLevel="0" collapsed="false">
      <c r="A436" s="9"/>
      <c r="B436" s="8"/>
      <c r="C436" s="10" t="str">
        <f aca="false">IF(B436="","",IFERROR(VLOOKUP(B436,DonHang!$A$2:$C$500,3,FALSE()),"mã đơn chưa có"))</f>
        <v/>
      </c>
      <c r="D436" s="14"/>
      <c r="E436" s="8"/>
      <c r="F436" s="8"/>
      <c r="G436" s="8"/>
    </row>
    <row r="437" customFormat="false" ht="15" hidden="false" customHeight="false" outlineLevel="0" collapsed="false">
      <c r="A437" s="9"/>
      <c r="B437" s="8"/>
      <c r="C437" s="10" t="str">
        <f aca="false">IF(B437="","",IFERROR(VLOOKUP(B437,DonHang!$A$2:$C$500,3,FALSE()),"mã đơn chưa có"))</f>
        <v/>
      </c>
      <c r="D437" s="14"/>
      <c r="E437" s="8"/>
      <c r="F437" s="8"/>
      <c r="G437" s="8"/>
    </row>
    <row r="438" customFormat="false" ht="15" hidden="false" customHeight="false" outlineLevel="0" collapsed="false">
      <c r="A438" s="9"/>
      <c r="B438" s="8"/>
      <c r="C438" s="10" t="str">
        <f aca="false">IF(B438="","",IFERROR(VLOOKUP(B438,DonHang!$A$2:$C$500,3,FALSE()),"mã đơn chưa có"))</f>
        <v/>
      </c>
      <c r="D438" s="14"/>
      <c r="E438" s="8"/>
      <c r="F438" s="8"/>
      <c r="G438" s="8"/>
    </row>
    <row r="439" customFormat="false" ht="15" hidden="false" customHeight="false" outlineLevel="0" collapsed="false">
      <c r="A439" s="9"/>
      <c r="B439" s="8"/>
      <c r="C439" s="10" t="str">
        <f aca="false">IF(B439="","",IFERROR(VLOOKUP(B439,DonHang!$A$2:$C$500,3,FALSE()),"mã đơn chưa có"))</f>
        <v/>
      </c>
      <c r="D439" s="14"/>
      <c r="E439" s="8"/>
      <c r="F439" s="8"/>
      <c r="G439" s="8"/>
    </row>
    <row r="440" customFormat="false" ht="15" hidden="false" customHeight="false" outlineLevel="0" collapsed="false">
      <c r="A440" s="9"/>
      <c r="B440" s="8"/>
      <c r="C440" s="10" t="str">
        <f aca="false">IF(B440="","",IFERROR(VLOOKUP(B440,DonHang!$A$2:$C$500,3,FALSE()),"mã đơn chưa có"))</f>
        <v/>
      </c>
      <c r="D440" s="14"/>
      <c r="E440" s="8"/>
      <c r="F440" s="8"/>
      <c r="G440" s="8"/>
    </row>
    <row r="441" customFormat="false" ht="15" hidden="false" customHeight="false" outlineLevel="0" collapsed="false">
      <c r="A441" s="9"/>
      <c r="B441" s="8"/>
      <c r="C441" s="10" t="str">
        <f aca="false">IF(B441="","",IFERROR(VLOOKUP(B441,DonHang!$A$2:$C$500,3,FALSE()),"mã đơn chưa có"))</f>
        <v/>
      </c>
      <c r="D441" s="14"/>
      <c r="E441" s="8"/>
      <c r="F441" s="8"/>
      <c r="G441" s="8"/>
    </row>
    <row r="442" customFormat="false" ht="15" hidden="false" customHeight="false" outlineLevel="0" collapsed="false">
      <c r="A442" s="9"/>
      <c r="B442" s="8"/>
      <c r="C442" s="10" t="str">
        <f aca="false">IF(B442="","",IFERROR(VLOOKUP(B442,DonHang!$A$2:$C$500,3,FALSE()),"mã đơn chưa có"))</f>
        <v/>
      </c>
      <c r="D442" s="14"/>
      <c r="E442" s="8"/>
      <c r="F442" s="8"/>
      <c r="G442" s="8"/>
    </row>
    <row r="443" customFormat="false" ht="15" hidden="false" customHeight="false" outlineLevel="0" collapsed="false">
      <c r="A443" s="9"/>
      <c r="B443" s="8"/>
      <c r="C443" s="10" t="str">
        <f aca="false">IF(B443="","",IFERROR(VLOOKUP(B443,DonHang!$A$2:$C$500,3,FALSE()),"mã đơn chưa có"))</f>
        <v/>
      </c>
      <c r="D443" s="14"/>
      <c r="E443" s="8"/>
      <c r="F443" s="8"/>
      <c r="G443" s="8"/>
    </row>
    <row r="444" customFormat="false" ht="15" hidden="false" customHeight="false" outlineLevel="0" collapsed="false">
      <c r="A444" s="9"/>
      <c r="B444" s="8"/>
      <c r="C444" s="10" t="str">
        <f aca="false">IF(B444="","",IFERROR(VLOOKUP(B444,DonHang!$A$2:$C$500,3,FALSE()),"mã đơn chưa có"))</f>
        <v/>
      </c>
      <c r="D444" s="14"/>
      <c r="E444" s="8"/>
      <c r="F444" s="8"/>
      <c r="G444" s="8"/>
    </row>
    <row r="445" customFormat="false" ht="15" hidden="false" customHeight="false" outlineLevel="0" collapsed="false">
      <c r="A445" s="9"/>
      <c r="B445" s="8"/>
      <c r="C445" s="10" t="str">
        <f aca="false">IF(B445="","",IFERROR(VLOOKUP(B445,DonHang!$A$2:$C$500,3,FALSE()),"mã đơn chưa có"))</f>
        <v/>
      </c>
      <c r="D445" s="14"/>
      <c r="E445" s="8"/>
      <c r="F445" s="8"/>
      <c r="G445" s="8"/>
    </row>
    <row r="446" customFormat="false" ht="15" hidden="false" customHeight="false" outlineLevel="0" collapsed="false">
      <c r="A446" s="9"/>
      <c r="B446" s="8"/>
      <c r="C446" s="10" t="str">
        <f aca="false">IF(B446="","",IFERROR(VLOOKUP(B446,DonHang!$A$2:$C$500,3,FALSE()),"mã đơn chưa có"))</f>
        <v/>
      </c>
      <c r="D446" s="14"/>
      <c r="E446" s="8"/>
      <c r="F446" s="8"/>
      <c r="G446" s="8"/>
    </row>
    <row r="447" customFormat="false" ht="15" hidden="false" customHeight="false" outlineLevel="0" collapsed="false">
      <c r="A447" s="9"/>
      <c r="B447" s="8"/>
      <c r="C447" s="10" t="str">
        <f aca="false">IF(B447="","",IFERROR(VLOOKUP(B447,DonHang!$A$2:$C$500,3,FALSE()),"mã đơn chưa có"))</f>
        <v/>
      </c>
      <c r="D447" s="14"/>
      <c r="E447" s="8"/>
      <c r="F447" s="8"/>
      <c r="G447" s="8"/>
    </row>
    <row r="448" customFormat="false" ht="15" hidden="false" customHeight="false" outlineLevel="0" collapsed="false">
      <c r="A448" s="9"/>
      <c r="B448" s="8"/>
      <c r="C448" s="10" t="str">
        <f aca="false">IF(B448="","",IFERROR(VLOOKUP(B448,DonHang!$A$2:$C$500,3,FALSE()),"mã đơn chưa có"))</f>
        <v/>
      </c>
      <c r="D448" s="14"/>
      <c r="E448" s="8"/>
      <c r="F448" s="8"/>
      <c r="G448" s="8"/>
    </row>
    <row r="449" customFormat="false" ht="15" hidden="false" customHeight="false" outlineLevel="0" collapsed="false">
      <c r="A449" s="9"/>
      <c r="B449" s="8"/>
      <c r="C449" s="10" t="str">
        <f aca="false">IF(B449="","",IFERROR(VLOOKUP(B449,DonHang!$A$2:$C$500,3,FALSE()),"mã đơn chưa có"))</f>
        <v/>
      </c>
      <c r="D449" s="14"/>
      <c r="E449" s="8"/>
      <c r="F449" s="8"/>
      <c r="G449" s="8"/>
    </row>
    <row r="450" customFormat="false" ht="15" hidden="false" customHeight="false" outlineLevel="0" collapsed="false">
      <c r="A450" s="9"/>
      <c r="B450" s="8"/>
      <c r="C450" s="10" t="str">
        <f aca="false">IF(B450="","",IFERROR(VLOOKUP(B450,DonHang!$A$2:$C$500,3,FALSE()),"mã đơn chưa có"))</f>
        <v/>
      </c>
      <c r="D450" s="14"/>
      <c r="E450" s="8"/>
      <c r="F450" s="8"/>
      <c r="G450" s="8"/>
    </row>
    <row r="451" customFormat="false" ht="15" hidden="false" customHeight="false" outlineLevel="0" collapsed="false">
      <c r="A451" s="9"/>
      <c r="B451" s="8"/>
      <c r="C451" s="10" t="str">
        <f aca="false">IF(B451="","",IFERROR(VLOOKUP(B451,DonHang!$A$2:$C$500,3,FALSE()),"mã đơn chưa có"))</f>
        <v/>
      </c>
      <c r="D451" s="14"/>
      <c r="E451" s="8"/>
      <c r="F451" s="8"/>
      <c r="G451" s="8"/>
    </row>
    <row r="452" customFormat="false" ht="15" hidden="false" customHeight="false" outlineLevel="0" collapsed="false">
      <c r="A452" s="9"/>
      <c r="B452" s="8"/>
      <c r="C452" s="10" t="str">
        <f aca="false">IF(B452="","",IFERROR(VLOOKUP(B452,DonHang!$A$2:$C$500,3,FALSE()),"mã đơn chưa có"))</f>
        <v/>
      </c>
      <c r="D452" s="14"/>
      <c r="E452" s="8"/>
      <c r="F452" s="8"/>
      <c r="G452" s="8"/>
    </row>
    <row r="453" customFormat="false" ht="15" hidden="false" customHeight="false" outlineLevel="0" collapsed="false">
      <c r="A453" s="9"/>
      <c r="B453" s="8"/>
      <c r="C453" s="10" t="str">
        <f aca="false">IF(B453="","",IFERROR(VLOOKUP(B453,DonHang!$A$2:$C$500,3,FALSE()),"mã đơn chưa có"))</f>
        <v/>
      </c>
      <c r="D453" s="14"/>
      <c r="E453" s="8"/>
      <c r="F453" s="8"/>
      <c r="G453" s="8"/>
    </row>
    <row r="454" customFormat="false" ht="15" hidden="false" customHeight="false" outlineLevel="0" collapsed="false">
      <c r="A454" s="9"/>
      <c r="B454" s="8"/>
      <c r="C454" s="10" t="str">
        <f aca="false">IF(B454="","",IFERROR(VLOOKUP(B454,DonHang!$A$2:$C$500,3,FALSE()),"mã đơn chưa có"))</f>
        <v/>
      </c>
      <c r="D454" s="14"/>
      <c r="E454" s="8"/>
      <c r="F454" s="8"/>
      <c r="G454" s="8"/>
    </row>
    <row r="455" customFormat="false" ht="15" hidden="false" customHeight="false" outlineLevel="0" collapsed="false">
      <c r="A455" s="9"/>
      <c r="B455" s="8"/>
      <c r="C455" s="10" t="str">
        <f aca="false">IF(B455="","",IFERROR(VLOOKUP(B455,DonHang!$A$2:$C$500,3,FALSE()),"mã đơn chưa có"))</f>
        <v/>
      </c>
      <c r="D455" s="14"/>
      <c r="E455" s="8"/>
      <c r="F455" s="8"/>
      <c r="G455" s="8"/>
    </row>
    <row r="456" customFormat="false" ht="15" hidden="false" customHeight="false" outlineLevel="0" collapsed="false">
      <c r="A456" s="9"/>
      <c r="B456" s="8"/>
      <c r="C456" s="10" t="str">
        <f aca="false">IF(B456="","",IFERROR(VLOOKUP(B456,DonHang!$A$2:$C$500,3,FALSE()),"mã đơn chưa có"))</f>
        <v/>
      </c>
      <c r="D456" s="14"/>
      <c r="E456" s="8"/>
      <c r="F456" s="8"/>
      <c r="G456" s="8"/>
    </row>
    <row r="457" customFormat="false" ht="15" hidden="false" customHeight="false" outlineLevel="0" collapsed="false">
      <c r="A457" s="9"/>
      <c r="B457" s="8"/>
      <c r="C457" s="10" t="str">
        <f aca="false">IF(B457="","",IFERROR(VLOOKUP(B457,DonHang!$A$2:$C$500,3,FALSE()),"mã đơn chưa có"))</f>
        <v/>
      </c>
      <c r="D457" s="14"/>
      <c r="E457" s="8"/>
      <c r="F457" s="8"/>
      <c r="G457" s="8"/>
    </row>
    <row r="458" customFormat="false" ht="15" hidden="false" customHeight="false" outlineLevel="0" collapsed="false">
      <c r="A458" s="9"/>
      <c r="B458" s="8"/>
      <c r="C458" s="10" t="str">
        <f aca="false">IF(B458="","",IFERROR(VLOOKUP(B458,DonHang!$A$2:$C$500,3,FALSE()),"mã đơn chưa có"))</f>
        <v/>
      </c>
      <c r="D458" s="14"/>
      <c r="E458" s="8"/>
      <c r="F458" s="8"/>
      <c r="G458" s="8"/>
    </row>
    <row r="459" customFormat="false" ht="15" hidden="false" customHeight="false" outlineLevel="0" collapsed="false">
      <c r="A459" s="9"/>
      <c r="B459" s="8"/>
      <c r="C459" s="10" t="str">
        <f aca="false">IF(B459="","",IFERROR(VLOOKUP(B459,DonHang!$A$2:$C$500,3,FALSE()),"mã đơn chưa có"))</f>
        <v/>
      </c>
      <c r="D459" s="14"/>
      <c r="E459" s="8"/>
      <c r="F459" s="8"/>
      <c r="G459" s="8"/>
    </row>
    <row r="460" customFormat="false" ht="15" hidden="false" customHeight="false" outlineLevel="0" collapsed="false">
      <c r="A460" s="9"/>
      <c r="B460" s="8"/>
      <c r="C460" s="10" t="str">
        <f aca="false">IF(B460="","",IFERROR(VLOOKUP(B460,DonHang!$A$2:$C$500,3,FALSE()),"mã đơn chưa có"))</f>
        <v/>
      </c>
      <c r="D460" s="14"/>
      <c r="E460" s="8"/>
      <c r="F460" s="8"/>
      <c r="G460" s="8"/>
    </row>
    <row r="461" customFormat="false" ht="15" hidden="false" customHeight="false" outlineLevel="0" collapsed="false">
      <c r="A461" s="9"/>
      <c r="B461" s="8"/>
      <c r="C461" s="10" t="str">
        <f aca="false">IF(B461="","",IFERROR(VLOOKUP(B461,DonHang!$A$2:$C$500,3,FALSE()),"mã đơn chưa có"))</f>
        <v/>
      </c>
      <c r="D461" s="14"/>
      <c r="E461" s="8"/>
      <c r="F461" s="8"/>
      <c r="G461" s="8"/>
    </row>
    <row r="462" customFormat="false" ht="15" hidden="false" customHeight="false" outlineLevel="0" collapsed="false">
      <c r="A462" s="9"/>
      <c r="B462" s="8"/>
      <c r="C462" s="10" t="str">
        <f aca="false">IF(B462="","",IFERROR(VLOOKUP(B462,DonHang!$A$2:$C$500,3,FALSE()),"mã đơn chưa có"))</f>
        <v/>
      </c>
      <c r="D462" s="14"/>
      <c r="E462" s="8"/>
      <c r="F462" s="8"/>
      <c r="G462" s="8"/>
    </row>
    <row r="463" customFormat="false" ht="15" hidden="false" customHeight="false" outlineLevel="0" collapsed="false">
      <c r="A463" s="9"/>
      <c r="B463" s="8"/>
      <c r="C463" s="10" t="str">
        <f aca="false">IF(B463="","",IFERROR(VLOOKUP(B463,DonHang!$A$2:$C$500,3,FALSE()),"mã đơn chưa có"))</f>
        <v/>
      </c>
      <c r="D463" s="14"/>
      <c r="E463" s="8"/>
      <c r="F463" s="8"/>
      <c r="G463" s="8"/>
    </row>
    <row r="464" customFormat="false" ht="15" hidden="false" customHeight="false" outlineLevel="0" collapsed="false">
      <c r="A464" s="9"/>
      <c r="B464" s="8"/>
      <c r="C464" s="10" t="str">
        <f aca="false">IF(B464="","",IFERROR(VLOOKUP(B464,DonHang!$A$2:$C$500,3,FALSE()),"mã đơn chưa có"))</f>
        <v/>
      </c>
      <c r="D464" s="14"/>
      <c r="E464" s="8"/>
      <c r="F464" s="8"/>
      <c r="G464" s="8"/>
    </row>
    <row r="465" customFormat="false" ht="15" hidden="false" customHeight="false" outlineLevel="0" collapsed="false">
      <c r="A465" s="9"/>
      <c r="B465" s="8"/>
      <c r="C465" s="10" t="str">
        <f aca="false">IF(B465="","",IFERROR(VLOOKUP(B465,DonHang!$A$2:$C$500,3,FALSE()),"mã đơn chưa có"))</f>
        <v/>
      </c>
      <c r="D465" s="14"/>
      <c r="E465" s="8"/>
      <c r="F465" s="8"/>
      <c r="G465" s="8"/>
    </row>
    <row r="466" customFormat="false" ht="15" hidden="false" customHeight="false" outlineLevel="0" collapsed="false">
      <c r="A466" s="9"/>
      <c r="B466" s="8"/>
      <c r="C466" s="10" t="str">
        <f aca="false">IF(B466="","",IFERROR(VLOOKUP(B466,DonHang!$A$2:$C$500,3,FALSE()),"mã đơn chưa có"))</f>
        <v/>
      </c>
      <c r="D466" s="14"/>
      <c r="E466" s="8"/>
      <c r="F466" s="8"/>
      <c r="G466" s="8"/>
    </row>
    <row r="467" customFormat="false" ht="15" hidden="false" customHeight="false" outlineLevel="0" collapsed="false">
      <c r="A467" s="9"/>
      <c r="B467" s="8"/>
      <c r="C467" s="10" t="str">
        <f aca="false">IF(B467="","",IFERROR(VLOOKUP(B467,DonHang!$A$2:$C$500,3,FALSE()),"mã đơn chưa có"))</f>
        <v/>
      </c>
      <c r="D467" s="14"/>
      <c r="E467" s="8"/>
      <c r="F467" s="8"/>
      <c r="G467" s="8"/>
    </row>
    <row r="468" customFormat="false" ht="15" hidden="false" customHeight="false" outlineLevel="0" collapsed="false">
      <c r="A468" s="9"/>
      <c r="B468" s="8"/>
      <c r="C468" s="10" t="str">
        <f aca="false">IF(B468="","",IFERROR(VLOOKUP(B468,DonHang!$A$2:$C$500,3,FALSE()),"mã đơn chưa có"))</f>
        <v/>
      </c>
      <c r="D468" s="14"/>
      <c r="E468" s="8"/>
      <c r="F468" s="8"/>
      <c r="G468" s="8"/>
    </row>
    <row r="469" customFormat="false" ht="15" hidden="false" customHeight="false" outlineLevel="0" collapsed="false">
      <c r="A469" s="9"/>
      <c r="B469" s="8"/>
      <c r="C469" s="10" t="str">
        <f aca="false">IF(B469="","",IFERROR(VLOOKUP(B469,DonHang!$A$2:$C$500,3,FALSE()),"mã đơn chưa có"))</f>
        <v/>
      </c>
      <c r="D469" s="14"/>
      <c r="E469" s="8"/>
      <c r="F469" s="8"/>
      <c r="G469" s="8"/>
    </row>
    <row r="470" customFormat="false" ht="15" hidden="false" customHeight="false" outlineLevel="0" collapsed="false">
      <c r="A470" s="9"/>
      <c r="B470" s="8"/>
      <c r="C470" s="10" t="str">
        <f aca="false">IF(B470="","",IFERROR(VLOOKUP(B470,DonHang!$A$2:$C$500,3,FALSE()),"mã đơn chưa có"))</f>
        <v/>
      </c>
      <c r="D470" s="14"/>
      <c r="E470" s="8"/>
      <c r="F470" s="8"/>
      <c r="G470" s="8"/>
    </row>
    <row r="471" customFormat="false" ht="15" hidden="false" customHeight="false" outlineLevel="0" collapsed="false">
      <c r="A471" s="9"/>
      <c r="B471" s="8"/>
      <c r="C471" s="10" t="str">
        <f aca="false">IF(B471="","",IFERROR(VLOOKUP(B471,DonHang!$A$2:$C$500,3,FALSE()),"mã đơn chưa có"))</f>
        <v/>
      </c>
      <c r="D471" s="14"/>
      <c r="E471" s="8"/>
      <c r="F471" s="8"/>
      <c r="G471" s="8"/>
    </row>
    <row r="472" customFormat="false" ht="15" hidden="false" customHeight="false" outlineLevel="0" collapsed="false">
      <c r="A472" s="9"/>
      <c r="B472" s="8"/>
      <c r="C472" s="10" t="str">
        <f aca="false">IF(B472="","",IFERROR(VLOOKUP(B472,DonHang!$A$2:$C$500,3,FALSE()),"mã đơn chưa có"))</f>
        <v/>
      </c>
      <c r="D472" s="14"/>
      <c r="E472" s="8"/>
      <c r="F472" s="8"/>
      <c r="G472" s="8"/>
    </row>
    <row r="473" customFormat="false" ht="15" hidden="false" customHeight="false" outlineLevel="0" collapsed="false">
      <c r="A473" s="9"/>
      <c r="B473" s="8"/>
      <c r="C473" s="10" t="str">
        <f aca="false">IF(B473="","",IFERROR(VLOOKUP(B473,DonHang!$A$2:$C$500,3,FALSE()),"mã đơn chưa có"))</f>
        <v/>
      </c>
      <c r="D473" s="14"/>
      <c r="E473" s="8"/>
      <c r="F473" s="8"/>
      <c r="G473" s="8"/>
    </row>
    <row r="474" customFormat="false" ht="15" hidden="false" customHeight="false" outlineLevel="0" collapsed="false">
      <c r="A474" s="9"/>
      <c r="B474" s="8"/>
      <c r="C474" s="10" t="str">
        <f aca="false">IF(B474="","",IFERROR(VLOOKUP(B474,DonHang!$A$2:$C$500,3,FALSE()),"mã đơn chưa có"))</f>
        <v/>
      </c>
      <c r="D474" s="14"/>
      <c r="E474" s="8"/>
      <c r="F474" s="8"/>
      <c r="G474" s="8"/>
    </row>
    <row r="475" customFormat="false" ht="15" hidden="false" customHeight="false" outlineLevel="0" collapsed="false">
      <c r="A475" s="9"/>
      <c r="B475" s="8"/>
      <c r="C475" s="10" t="str">
        <f aca="false">IF(B475="","",IFERROR(VLOOKUP(B475,DonHang!$A$2:$C$500,3,FALSE()),"mã đơn chưa có"))</f>
        <v/>
      </c>
      <c r="D475" s="14"/>
      <c r="E475" s="8"/>
      <c r="F475" s="8"/>
      <c r="G475" s="8"/>
    </row>
    <row r="476" customFormat="false" ht="15" hidden="false" customHeight="false" outlineLevel="0" collapsed="false">
      <c r="A476" s="9"/>
      <c r="B476" s="8"/>
      <c r="C476" s="10" t="str">
        <f aca="false">IF(B476="","",IFERROR(VLOOKUP(B476,DonHang!$A$2:$C$500,3,FALSE()),"mã đơn chưa có"))</f>
        <v/>
      </c>
      <c r="D476" s="14"/>
      <c r="E476" s="8"/>
      <c r="F476" s="8"/>
      <c r="G476" s="8"/>
    </row>
    <row r="477" customFormat="false" ht="15" hidden="false" customHeight="false" outlineLevel="0" collapsed="false">
      <c r="A477" s="9"/>
      <c r="B477" s="8"/>
      <c r="C477" s="10" t="str">
        <f aca="false">IF(B477="","",IFERROR(VLOOKUP(B477,DonHang!$A$2:$C$500,3,FALSE()),"mã đơn chưa có"))</f>
        <v/>
      </c>
      <c r="D477" s="14"/>
      <c r="E477" s="8"/>
      <c r="F477" s="8"/>
      <c r="G477" s="8"/>
    </row>
    <row r="478" customFormat="false" ht="15" hidden="false" customHeight="false" outlineLevel="0" collapsed="false">
      <c r="A478" s="9"/>
      <c r="B478" s="8"/>
      <c r="C478" s="10" t="str">
        <f aca="false">IF(B478="","",IFERROR(VLOOKUP(B478,DonHang!$A$2:$C$500,3,FALSE()),"mã đơn chưa có"))</f>
        <v/>
      </c>
      <c r="D478" s="14"/>
      <c r="E478" s="8"/>
      <c r="F478" s="8"/>
      <c r="G478" s="8"/>
    </row>
    <row r="479" customFormat="false" ht="15" hidden="false" customHeight="false" outlineLevel="0" collapsed="false">
      <c r="A479" s="9"/>
      <c r="B479" s="8"/>
      <c r="C479" s="10" t="str">
        <f aca="false">IF(B479="","",IFERROR(VLOOKUP(B479,DonHang!$A$2:$C$500,3,FALSE()),"mã đơn chưa có"))</f>
        <v/>
      </c>
      <c r="D479" s="14"/>
      <c r="E479" s="8"/>
      <c r="F479" s="8"/>
      <c r="G479" s="8"/>
    </row>
    <row r="480" customFormat="false" ht="15" hidden="false" customHeight="false" outlineLevel="0" collapsed="false">
      <c r="A480" s="9"/>
      <c r="B480" s="8"/>
      <c r="C480" s="10" t="str">
        <f aca="false">IF(B480="","",IFERROR(VLOOKUP(B480,DonHang!$A$2:$C$500,3,FALSE()),"mã đơn chưa có"))</f>
        <v/>
      </c>
      <c r="D480" s="14"/>
      <c r="E480" s="8"/>
      <c r="F480" s="8"/>
      <c r="G480" s="8"/>
    </row>
    <row r="481" customFormat="false" ht="15" hidden="false" customHeight="false" outlineLevel="0" collapsed="false">
      <c r="A481" s="9"/>
      <c r="B481" s="8"/>
      <c r="C481" s="10" t="str">
        <f aca="false">IF(B481="","",IFERROR(VLOOKUP(B481,DonHang!$A$2:$C$500,3,FALSE()),"mã đơn chưa có"))</f>
        <v/>
      </c>
      <c r="D481" s="14"/>
      <c r="E481" s="8"/>
      <c r="F481" s="8"/>
      <c r="G481" s="8"/>
    </row>
    <row r="482" customFormat="false" ht="15" hidden="false" customHeight="false" outlineLevel="0" collapsed="false">
      <c r="A482" s="9"/>
      <c r="B482" s="8"/>
      <c r="C482" s="10" t="str">
        <f aca="false">IF(B482="","",IFERROR(VLOOKUP(B482,DonHang!$A$2:$C$500,3,FALSE()),"mã đơn chưa có"))</f>
        <v/>
      </c>
      <c r="D482" s="14"/>
      <c r="E482" s="8"/>
      <c r="F482" s="8"/>
      <c r="G482" s="8"/>
    </row>
    <row r="483" customFormat="false" ht="15" hidden="false" customHeight="false" outlineLevel="0" collapsed="false">
      <c r="A483" s="9"/>
      <c r="B483" s="8"/>
      <c r="C483" s="10" t="str">
        <f aca="false">IF(B483="","",IFERROR(VLOOKUP(B483,DonHang!$A$2:$C$500,3,FALSE()),"mã đơn chưa có"))</f>
        <v/>
      </c>
      <c r="D483" s="14"/>
      <c r="E483" s="8"/>
      <c r="F483" s="8"/>
      <c r="G483" s="8"/>
    </row>
    <row r="484" customFormat="false" ht="15" hidden="false" customHeight="false" outlineLevel="0" collapsed="false">
      <c r="A484" s="9"/>
      <c r="B484" s="8"/>
      <c r="C484" s="10" t="str">
        <f aca="false">IF(B484="","",IFERROR(VLOOKUP(B484,DonHang!$A$2:$C$500,3,FALSE()),"mã đơn chưa có"))</f>
        <v/>
      </c>
      <c r="D484" s="14"/>
      <c r="E484" s="8"/>
      <c r="F484" s="8"/>
      <c r="G484" s="8"/>
    </row>
    <row r="485" customFormat="false" ht="15" hidden="false" customHeight="false" outlineLevel="0" collapsed="false">
      <c r="A485" s="9"/>
      <c r="B485" s="8"/>
      <c r="C485" s="10" t="str">
        <f aca="false">IF(B485="","",IFERROR(VLOOKUP(B485,DonHang!$A$2:$C$500,3,FALSE()),"mã đơn chưa có"))</f>
        <v/>
      </c>
      <c r="D485" s="14"/>
      <c r="E485" s="8"/>
      <c r="F485" s="8"/>
      <c r="G485" s="8"/>
    </row>
    <row r="486" customFormat="false" ht="15" hidden="false" customHeight="false" outlineLevel="0" collapsed="false">
      <c r="A486" s="9"/>
      <c r="B486" s="8"/>
      <c r="C486" s="10" t="str">
        <f aca="false">IF(B486="","",IFERROR(VLOOKUP(B486,DonHang!$A$2:$C$500,3,FALSE()),"mã đơn chưa có"))</f>
        <v/>
      </c>
      <c r="D486" s="14"/>
      <c r="E486" s="8"/>
      <c r="F486" s="8"/>
      <c r="G486" s="8"/>
    </row>
    <row r="487" customFormat="false" ht="15" hidden="false" customHeight="false" outlineLevel="0" collapsed="false">
      <c r="A487" s="9"/>
      <c r="B487" s="8"/>
      <c r="C487" s="10" t="str">
        <f aca="false">IF(B487="","",IFERROR(VLOOKUP(B487,DonHang!$A$2:$C$500,3,FALSE()),"mã đơn chưa có"))</f>
        <v/>
      </c>
      <c r="D487" s="14"/>
      <c r="E487" s="8"/>
      <c r="F487" s="8"/>
      <c r="G487" s="8"/>
    </row>
    <row r="488" customFormat="false" ht="15" hidden="false" customHeight="false" outlineLevel="0" collapsed="false">
      <c r="A488" s="9"/>
      <c r="B488" s="8"/>
      <c r="C488" s="10" t="str">
        <f aca="false">IF(B488="","",IFERROR(VLOOKUP(B488,DonHang!$A$2:$C$500,3,FALSE()),"mã đơn chưa có"))</f>
        <v/>
      </c>
      <c r="D488" s="14"/>
      <c r="E488" s="8"/>
      <c r="F488" s="8"/>
      <c r="G488" s="8"/>
    </row>
    <row r="489" customFormat="false" ht="15" hidden="false" customHeight="false" outlineLevel="0" collapsed="false">
      <c r="A489" s="9"/>
      <c r="B489" s="8"/>
      <c r="C489" s="10" t="str">
        <f aca="false">IF(B489="","",IFERROR(VLOOKUP(B489,DonHang!$A$2:$C$500,3,FALSE()),"mã đơn chưa có"))</f>
        <v/>
      </c>
      <c r="D489" s="14"/>
      <c r="E489" s="8"/>
      <c r="F489" s="8"/>
      <c r="G489" s="8"/>
    </row>
    <row r="490" customFormat="false" ht="15" hidden="false" customHeight="false" outlineLevel="0" collapsed="false">
      <c r="A490" s="9"/>
      <c r="B490" s="8"/>
      <c r="C490" s="10" t="str">
        <f aca="false">IF(B490="","",IFERROR(VLOOKUP(B490,DonHang!$A$2:$C$500,3,FALSE()),"mã đơn chưa có"))</f>
        <v/>
      </c>
      <c r="D490" s="14"/>
      <c r="E490" s="8"/>
      <c r="F490" s="8"/>
      <c r="G490" s="8"/>
    </row>
    <row r="491" customFormat="false" ht="15" hidden="false" customHeight="false" outlineLevel="0" collapsed="false">
      <c r="A491" s="9"/>
      <c r="B491" s="8"/>
      <c r="C491" s="10" t="str">
        <f aca="false">IF(B491="","",IFERROR(VLOOKUP(B491,DonHang!$A$2:$C$500,3,FALSE()),"mã đơn chưa có"))</f>
        <v/>
      </c>
      <c r="D491" s="14"/>
      <c r="E491" s="8"/>
      <c r="F491" s="8"/>
      <c r="G491" s="8"/>
    </row>
    <row r="492" customFormat="false" ht="15" hidden="false" customHeight="false" outlineLevel="0" collapsed="false">
      <c r="A492" s="9"/>
      <c r="B492" s="8"/>
      <c r="C492" s="10" t="str">
        <f aca="false">IF(B492="","",IFERROR(VLOOKUP(B492,DonHang!$A$2:$C$500,3,FALSE()),"mã đơn chưa có"))</f>
        <v/>
      </c>
      <c r="D492" s="14"/>
      <c r="E492" s="8"/>
      <c r="F492" s="8"/>
      <c r="G492" s="8"/>
    </row>
    <row r="493" customFormat="false" ht="15" hidden="false" customHeight="false" outlineLevel="0" collapsed="false">
      <c r="A493" s="9"/>
      <c r="B493" s="8"/>
      <c r="C493" s="10" t="str">
        <f aca="false">IF(B493="","",IFERROR(VLOOKUP(B493,DonHang!$A$2:$C$500,3,FALSE()),"mã đơn chưa có"))</f>
        <v/>
      </c>
      <c r="D493" s="14"/>
      <c r="E493" s="8"/>
      <c r="F493" s="8"/>
      <c r="G493" s="8"/>
    </row>
    <row r="494" customFormat="false" ht="15" hidden="false" customHeight="false" outlineLevel="0" collapsed="false">
      <c r="A494" s="9"/>
      <c r="B494" s="8"/>
      <c r="C494" s="10" t="str">
        <f aca="false">IF(B494="","",IFERROR(VLOOKUP(B494,DonHang!$A$2:$C$500,3,FALSE()),"mã đơn chưa có"))</f>
        <v/>
      </c>
      <c r="D494" s="14"/>
      <c r="E494" s="8"/>
      <c r="F494" s="8"/>
      <c r="G494" s="8"/>
    </row>
    <row r="495" customFormat="false" ht="15" hidden="false" customHeight="false" outlineLevel="0" collapsed="false">
      <c r="A495" s="9"/>
      <c r="B495" s="8"/>
      <c r="C495" s="10" t="str">
        <f aca="false">IF(B495="","",IFERROR(VLOOKUP(B495,DonHang!$A$2:$C$500,3,FALSE()),"mã đơn chưa có"))</f>
        <v/>
      </c>
      <c r="D495" s="14"/>
      <c r="E495" s="8"/>
      <c r="F495" s="8"/>
      <c r="G495" s="8"/>
    </row>
    <row r="496" customFormat="false" ht="15" hidden="false" customHeight="false" outlineLevel="0" collapsed="false">
      <c r="A496" s="9"/>
      <c r="B496" s="8"/>
      <c r="C496" s="10" t="str">
        <f aca="false">IF(B496="","",IFERROR(VLOOKUP(B496,DonHang!$A$2:$C$500,3,FALSE()),"mã đơn chưa có"))</f>
        <v/>
      </c>
      <c r="D496" s="14"/>
      <c r="E496" s="8"/>
      <c r="F496" s="8"/>
      <c r="G496" s="8"/>
    </row>
    <row r="497" customFormat="false" ht="15" hidden="false" customHeight="false" outlineLevel="0" collapsed="false">
      <c r="A497" s="9"/>
      <c r="B497" s="8"/>
      <c r="C497" s="10" t="str">
        <f aca="false">IF(B497="","",IFERROR(VLOOKUP(B497,DonHang!$A$2:$C$500,3,FALSE()),"mã đơn chưa có"))</f>
        <v/>
      </c>
      <c r="D497" s="14"/>
      <c r="E497" s="8"/>
      <c r="F497" s="8"/>
      <c r="G497" s="8"/>
    </row>
    <row r="498" customFormat="false" ht="15" hidden="false" customHeight="false" outlineLevel="0" collapsed="false">
      <c r="A498" s="9"/>
      <c r="B498" s="8"/>
      <c r="C498" s="10" t="str">
        <f aca="false">IF(B498="","",IFERROR(VLOOKUP(B498,DonHang!$A$2:$C$500,3,FALSE()),"mã đơn chưa có"))</f>
        <v/>
      </c>
      <c r="D498" s="14"/>
      <c r="E498" s="8"/>
      <c r="F498" s="8"/>
      <c r="G498" s="8"/>
    </row>
    <row r="499" customFormat="false" ht="15" hidden="false" customHeight="false" outlineLevel="0" collapsed="false">
      <c r="A499" s="9"/>
      <c r="B499" s="8"/>
      <c r="C499" s="10" t="str">
        <f aca="false">IF(B499="","",IFERROR(VLOOKUP(B499,DonHang!$A$2:$C$500,3,FALSE()),"mã đơn chưa có"))</f>
        <v/>
      </c>
      <c r="D499" s="14"/>
      <c r="E499" s="8"/>
      <c r="F499" s="8"/>
      <c r="G499" s="8"/>
    </row>
    <row r="500" customFormat="false" ht="15" hidden="false" customHeight="false" outlineLevel="0" collapsed="false">
      <c r="A500" s="9"/>
      <c r="B500" s="8"/>
      <c r="C500" s="10" t="str">
        <f aca="false">IF(B500="","",IFERROR(VLOOKUP(B500,DonHang!$A$2:$C$500,3,FALSE()),"mã đơn chưa có"))</f>
        <v/>
      </c>
      <c r="D500" s="14"/>
      <c r="E500" s="8"/>
      <c r="F500" s="8"/>
      <c r="G500" s="8"/>
    </row>
    <row r="501" customFormat="false" ht="15" hidden="false" customHeight="false" outlineLevel="0" collapsed="false">
      <c r="A501" s="9"/>
      <c r="B501" s="8"/>
      <c r="C501" s="10" t="str">
        <f aca="false">IF(B501="","",IFERROR(VLOOKUP(B501,DonHang!$A$2:$C$500,3,FALSE()),"mã đơn chưa có"))</f>
        <v/>
      </c>
      <c r="D501" s="14"/>
      <c r="E501" s="8"/>
      <c r="F501" s="8"/>
      <c r="G501" s="8"/>
    </row>
    <row r="502" customFormat="false" ht="15" hidden="false" customHeight="false" outlineLevel="0" collapsed="false">
      <c r="A502" s="9"/>
      <c r="B502" s="8"/>
      <c r="C502" s="10" t="str">
        <f aca="false">IF(B502="","",IFERROR(VLOOKUP(B502,DonHang!$A$2:$C$500,3,FALSE()),"mã đơn chưa có"))</f>
        <v/>
      </c>
      <c r="D502" s="14"/>
      <c r="E502" s="8"/>
      <c r="F502" s="8"/>
      <c r="G502" s="8"/>
    </row>
    <row r="503" customFormat="false" ht="15" hidden="false" customHeight="false" outlineLevel="0" collapsed="false">
      <c r="A503" s="9"/>
      <c r="B503" s="8"/>
      <c r="C503" s="10" t="str">
        <f aca="false">IF(B503="","",IFERROR(VLOOKUP(B503,DonHang!$A$2:$C$500,3,FALSE()),"mã đơn chưa có"))</f>
        <v/>
      </c>
      <c r="D503" s="14"/>
      <c r="E503" s="8"/>
      <c r="F503" s="8"/>
      <c r="G503" s="8"/>
    </row>
    <row r="504" customFormat="false" ht="15" hidden="false" customHeight="false" outlineLevel="0" collapsed="false">
      <c r="A504" s="9"/>
      <c r="B504" s="8"/>
      <c r="C504" s="10" t="str">
        <f aca="false">IF(B504="","",IFERROR(VLOOKUP(B504,DonHang!$A$2:$C$500,3,FALSE()),"mã đơn chưa có"))</f>
        <v/>
      </c>
      <c r="D504" s="14"/>
      <c r="E504" s="8"/>
      <c r="F504" s="8"/>
      <c r="G504" s="8"/>
    </row>
    <row r="505" customFormat="false" ht="15" hidden="false" customHeight="false" outlineLevel="0" collapsed="false">
      <c r="A505" s="9"/>
      <c r="B505" s="8"/>
      <c r="C505" s="10" t="str">
        <f aca="false">IF(B505="","",IFERROR(VLOOKUP(B505,DonHang!$A$2:$C$500,3,FALSE()),"mã đơn chưa có"))</f>
        <v/>
      </c>
      <c r="D505" s="14"/>
      <c r="E505" s="8"/>
      <c r="F505" s="8"/>
      <c r="G505" s="8"/>
    </row>
    <row r="506" customFormat="false" ht="15" hidden="false" customHeight="false" outlineLevel="0" collapsed="false">
      <c r="A506" s="9"/>
      <c r="B506" s="8"/>
      <c r="C506" s="10" t="str">
        <f aca="false">IF(B506="","",IFERROR(VLOOKUP(B506,DonHang!$A$2:$C$500,3,FALSE()),"mã đơn chưa có"))</f>
        <v/>
      </c>
      <c r="D506" s="14"/>
      <c r="E506" s="8"/>
      <c r="F506" s="8"/>
      <c r="G506" s="8"/>
    </row>
    <row r="507" customFormat="false" ht="15" hidden="false" customHeight="false" outlineLevel="0" collapsed="false">
      <c r="A507" s="9"/>
      <c r="B507" s="8"/>
      <c r="C507" s="10" t="str">
        <f aca="false">IF(B507="","",IFERROR(VLOOKUP(B507,DonHang!$A$2:$C$500,3,FALSE()),"mã đơn chưa có"))</f>
        <v/>
      </c>
      <c r="D507" s="14"/>
      <c r="E507" s="8"/>
      <c r="F507" s="8"/>
      <c r="G507" s="8"/>
    </row>
    <row r="508" customFormat="false" ht="15" hidden="false" customHeight="false" outlineLevel="0" collapsed="false">
      <c r="A508" s="9"/>
      <c r="B508" s="8"/>
      <c r="C508" s="10" t="str">
        <f aca="false">IF(B508="","",IFERROR(VLOOKUP(B508,DonHang!$A$2:$C$500,3,FALSE()),"mã đơn chưa có"))</f>
        <v/>
      </c>
      <c r="D508" s="14"/>
      <c r="E508" s="8"/>
      <c r="F508" s="8"/>
      <c r="G508" s="8"/>
    </row>
    <row r="509" customFormat="false" ht="15" hidden="false" customHeight="false" outlineLevel="0" collapsed="false">
      <c r="A509" s="9"/>
      <c r="B509" s="8"/>
      <c r="C509" s="10" t="str">
        <f aca="false">IF(B509="","",IFERROR(VLOOKUP(B509,DonHang!$A$2:$C$500,3,FALSE()),"mã đơn chưa có"))</f>
        <v/>
      </c>
      <c r="D509" s="14"/>
      <c r="E509" s="8"/>
      <c r="F509" s="8"/>
      <c r="G509" s="8"/>
    </row>
    <row r="510" customFormat="false" ht="15" hidden="false" customHeight="false" outlineLevel="0" collapsed="false">
      <c r="A510" s="9"/>
      <c r="B510" s="8"/>
      <c r="C510" s="10" t="str">
        <f aca="false">IF(B510="","",IFERROR(VLOOKUP(B510,DonHang!$A$2:$C$500,3,FALSE()),"mã đơn chưa có"))</f>
        <v/>
      </c>
      <c r="D510" s="14"/>
      <c r="E510" s="8"/>
      <c r="F510" s="8"/>
      <c r="G510" s="8"/>
    </row>
    <row r="511" customFormat="false" ht="15" hidden="false" customHeight="false" outlineLevel="0" collapsed="false">
      <c r="A511" s="9"/>
      <c r="B511" s="8"/>
      <c r="C511" s="10" t="str">
        <f aca="false">IF(B511="","",IFERROR(VLOOKUP(B511,DonHang!$A$2:$C$500,3,FALSE()),"mã đơn chưa có"))</f>
        <v/>
      </c>
      <c r="D511" s="14"/>
      <c r="E511" s="8"/>
      <c r="F511" s="8"/>
      <c r="G511" s="8"/>
    </row>
    <row r="512" customFormat="false" ht="15" hidden="false" customHeight="false" outlineLevel="0" collapsed="false">
      <c r="A512" s="9"/>
      <c r="B512" s="8"/>
      <c r="C512" s="10" t="str">
        <f aca="false">IF(B512="","",IFERROR(VLOOKUP(B512,DonHang!$A$2:$C$500,3,FALSE()),"mã đơn chưa có"))</f>
        <v/>
      </c>
      <c r="D512" s="14"/>
      <c r="E512" s="8"/>
      <c r="F512" s="8"/>
      <c r="G512" s="8"/>
    </row>
    <row r="513" customFormat="false" ht="15" hidden="false" customHeight="false" outlineLevel="0" collapsed="false">
      <c r="A513" s="9"/>
      <c r="B513" s="8"/>
      <c r="C513" s="10" t="str">
        <f aca="false">IF(B513="","",IFERROR(VLOOKUP(B513,DonHang!$A$2:$C$500,3,FALSE()),"mã đơn chưa có"))</f>
        <v/>
      </c>
      <c r="D513" s="14"/>
      <c r="E513" s="8"/>
      <c r="F513" s="8"/>
      <c r="G513" s="8"/>
    </row>
    <row r="514" customFormat="false" ht="15" hidden="false" customHeight="false" outlineLevel="0" collapsed="false">
      <c r="A514" s="9"/>
      <c r="B514" s="8"/>
      <c r="C514" s="10" t="str">
        <f aca="false">IF(B514="","",IFERROR(VLOOKUP(B514,DonHang!$A$2:$C$500,3,FALSE()),"mã đơn chưa có"))</f>
        <v/>
      </c>
      <c r="D514" s="14"/>
      <c r="E514" s="8"/>
      <c r="F514" s="8"/>
      <c r="G514" s="8"/>
    </row>
    <row r="515" customFormat="false" ht="15" hidden="false" customHeight="false" outlineLevel="0" collapsed="false">
      <c r="A515" s="9"/>
      <c r="B515" s="8"/>
      <c r="C515" s="10" t="str">
        <f aca="false">IF(B515="","",IFERROR(VLOOKUP(B515,DonHang!$A$2:$C$500,3,FALSE()),"mã đơn chưa có"))</f>
        <v/>
      </c>
      <c r="D515" s="14"/>
      <c r="E515" s="8"/>
      <c r="F515" s="8"/>
      <c r="G515" s="8"/>
    </row>
    <row r="516" customFormat="false" ht="15" hidden="false" customHeight="false" outlineLevel="0" collapsed="false">
      <c r="A516" s="9"/>
      <c r="B516" s="8"/>
      <c r="C516" s="10" t="str">
        <f aca="false">IF(B516="","",IFERROR(VLOOKUP(B516,DonHang!$A$2:$C$500,3,FALSE()),"mã đơn chưa có"))</f>
        <v/>
      </c>
      <c r="D516" s="14"/>
      <c r="E516" s="8"/>
      <c r="F516" s="8"/>
      <c r="G516" s="8"/>
    </row>
    <row r="517" customFormat="false" ht="15" hidden="false" customHeight="false" outlineLevel="0" collapsed="false">
      <c r="A517" s="9"/>
      <c r="B517" s="8"/>
      <c r="C517" s="10" t="str">
        <f aca="false">IF(B517="","",IFERROR(VLOOKUP(B517,DonHang!$A$2:$C$500,3,FALSE()),"mã đơn chưa có"))</f>
        <v/>
      </c>
      <c r="D517" s="14"/>
      <c r="E517" s="8"/>
      <c r="F517" s="8"/>
      <c r="G517" s="8"/>
    </row>
    <row r="518" customFormat="false" ht="15" hidden="false" customHeight="false" outlineLevel="0" collapsed="false">
      <c r="A518" s="9"/>
      <c r="B518" s="8"/>
      <c r="C518" s="10" t="str">
        <f aca="false">IF(B518="","",IFERROR(VLOOKUP(B518,DonHang!$A$2:$C$500,3,FALSE()),"mã đơn chưa có"))</f>
        <v/>
      </c>
      <c r="D518" s="14"/>
      <c r="E518" s="8"/>
      <c r="F518" s="8"/>
      <c r="G518" s="8"/>
    </row>
    <row r="519" customFormat="false" ht="15" hidden="false" customHeight="false" outlineLevel="0" collapsed="false">
      <c r="A519" s="9"/>
      <c r="B519" s="8"/>
      <c r="C519" s="10" t="str">
        <f aca="false">IF(B519="","",IFERROR(VLOOKUP(B519,DonHang!$A$2:$C$500,3,FALSE()),"mã đơn chưa có"))</f>
        <v/>
      </c>
      <c r="D519" s="14"/>
      <c r="E519" s="8"/>
      <c r="F519" s="8"/>
      <c r="G519" s="8"/>
    </row>
    <row r="520" customFormat="false" ht="15" hidden="false" customHeight="false" outlineLevel="0" collapsed="false">
      <c r="A520" s="9"/>
      <c r="B520" s="8"/>
      <c r="C520" s="10" t="str">
        <f aca="false">IF(B520="","",IFERROR(VLOOKUP(B520,DonHang!$A$2:$C$500,3,FALSE()),"mã đơn chưa có"))</f>
        <v/>
      </c>
      <c r="D520" s="14"/>
      <c r="E520" s="8"/>
      <c r="F520" s="8"/>
      <c r="G520" s="8"/>
    </row>
    <row r="521" customFormat="false" ht="15" hidden="false" customHeight="false" outlineLevel="0" collapsed="false">
      <c r="A521" s="9"/>
      <c r="B521" s="8"/>
      <c r="C521" s="10" t="str">
        <f aca="false">IF(B521="","",IFERROR(VLOOKUP(B521,DonHang!$A$2:$C$500,3,FALSE()),"mã đơn chưa có"))</f>
        <v/>
      </c>
      <c r="D521" s="14"/>
      <c r="E521" s="8"/>
      <c r="F521" s="8"/>
      <c r="G521" s="8"/>
    </row>
    <row r="522" customFormat="false" ht="15" hidden="false" customHeight="false" outlineLevel="0" collapsed="false">
      <c r="A522" s="9"/>
      <c r="B522" s="8"/>
      <c r="C522" s="10" t="str">
        <f aca="false">IF(B522="","",IFERROR(VLOOKUP(B522,DonHang!$A$2:$C$500,3,FALSE()),"mã đơn chưa có"))</f>
        <v/>
      </c>
      <c r="D522" s="14"/>
      <c r="E522" s="8"/>
      <c r="F522" s="8"/>
      <c r="G522" s="8"/>
    </row>
    <row r="523" customFormat="false" ht="15" hidden="false" customHeight="false" outlineLevel="0" collapsed="false">
      <c r="A523" s="9"/>
      <c r="B523" s="8"/>
      <c r="C523" s="10" t="str">
        <f aca="false">IF(B523="","",IFERROR(VLOOKUP(B523,DonHang!$A$2:$C$500,3,FALSE()),"mã đơn chưa có"))</f>
        <v/>
      </c>
      <c r="D523" s="14"/>
      <c r="E523" s="8"/>
      <c r="F523" s="8"/>
      <c r="G523" s="8"/>
    </row>
    <row r="524" customFormat="false" ht="15" hidden="false" customHeight="false" outlineLevel="0" collapsed="false">
      <c r="A524" s="9"/>
      <c r="B524" s="8"/>
      <c r="C524" s="10" t="str">
        <f aca="false">IF(B524="","",IFERROR(VLOOKUP(B524,DonHang!$A$2:$C$500,3,FALSE()),"mã đơn chưa có"))</f>
        <v/>
      </c>
      <c r="D524" s="14"/>
      <c r="E524" s="8"/>
      <c r="F524" s="8"/>
      <c r="G524" s="8"/>
    </row>
    <row r="525" customFormat="false" ht="15" hidden="false" customHeight="false" outlineLevel="0" collapsed="false">
      <c r="A525" s="9"/>
      <c r="B525" s="8"/>
      <c r="C525" s="10" t="str">
        <f aca="false">IF(B525="","",IFERROR(VLOOKUP(B525,DonHang!$A$2:$C$500,3,FALSE()),"mã đơn chưa có"))</f>
        <v/>
      </c>
      <c r="D525" s="14"/>
      <c r="E525" s="8"/>
      <c r="F525" s="8"/>
      <c r="G525" s="8"/>
    </row>
    <row r="526" customFormat="false" ht="15" hidden="false" customHeight="false" outlineLevel="0" collapsed="false">
      <c r="A526" s="9"/>
      <c r="B526" s="8"/>
      <c r="C526" s="10" t="str">
        <f aca="false">IF(B526="","",IFERROR(VLOOKUP(B526,DonHang!$A$2:$C$500,3,FALSE()),"mã đơn chưa có"))</f>
        <v/>
      </c>
      <c r="D526" s="14"/>
      <c r="E526" s="8"/>
      <c r="F526" s="8"/>
      <c r="G526" s="8"/>
    </row>
    <row r="527" customFormat="false" ht="15" hidden="false" customHeight="false" outlineLevel="0" collapsed="false">
      <c r="A527" s="9"/>
      <c r="B527" s="8"/>
      <c r="C527" s="10" t="str">
        <f aca="false">IF(B527="","",IFERROR(VLOOKUP(B527,DonHang!$A$2:$C$500,3,FALSE()),"mã đơn chưa có"))</f>
        <v/>
      </c>
      <c r="D527" s="14"/>
      <c r="E527" s="8"/>
      <c r="F527" s="8"/>
      <c r="G527" s="8"/>
    </row>
    <row r="528" customFormat="false" ht="15" hidden="false" customHeight="false" outlineLevel="0" collapsed="false">
      <c r="A528" s="9"/>
      <c r="B528" s="8"/>
      <c r="C528" s="10" t="str">
        <f aca="false">IF(B528="","",IFERROR(VLOOKUP(B528,DonHang!$A$2:$C$500,3,FALSE()),"mã đơn chưa có"))</f>
        <v/>
      </c>
      <c r="D528" s="14"/>
      <c r="E528" s="8"/>
      <c r="F528" s="8"/>
      <c r="G528" s="8"/>
    </row>
    <row r="529" customFormat="false" ht="15" hidden="false" customHeight="false" outlineLevel="0" collapsed="false">
      <c r="A529" s="9"/>
      <c r="B529" s="8"/>
      <c r="C529" s="10" t="str">
        <f aca="false">IF(B529="","",IFERROR(VLOOKUP(B529,DonHang!$A$2:$C$500,3,FALSE()),"mã đơn chưa có"))</f>
        <v/>
      </c>
      <c r="D529" s="14"/>
      <c r="E529" s="8"/>
      <c r="F529" s="8"/>
      <c r="G529" s="8"/>
    </row>
    <row r="530" customFormat="false" ht="15" hidden="false" customHeight="false" outlineLevel="0" collapsed="false">
      <c r="A530" s="9"/>
      <c r="B530" s="8"/>
      <c r="C530" s="10" t="str">
        <f aca="false">IF(B530="","",IFERROR(VLOOKUP(B530,DonHang!$A$2:$C$500,3,FALSE()),"mã đơn chưa có"))</f>
        <v/>
      </c>
      <c r="D530" s="14"/>
      <c r="E530" s="8"/>
      <c r="F530" s="8"/>
      <c r="G530" s="8"/>
    </row>
    <row r="531" customFormat="false" ht="15" hidden="false" customHeight="false" outlineLevel="0" collapsed="false">
      <c r="A531" s="9"/>
      <c r="B531" s="8"/>
      <c r="C531" s="10" t="str">
        <f aca="false">IF(B531="","",IFERROR(VLOOKUP(B531,DonHang!$A$2:$C$500,3,FALSE()),"mã đơn chưa có"))</f>
        <v/>
      </c>
      <c r="D531" s="14"/>
      <c r="E531" s="8"/>
      <c r="F531" s="8"/>
      <c r="G531" s="8"/>
    </row>
    <row r="532" customFormat="false" ht="15" hidden="false" customHeight="false" outlineLevel="0" collapsed="false">
      <c r="A532" s="9"/>
      <c r="B532" s="8"/>
      <c r="C532" s="10" t="str">
        <f aca="false">IF(B532="","",IFERROR(VLOOKUP(B532,DonHang!$A$2:$C$500,3,FALSE()),"mã đơn chưa có"))</f>
        <v/>
      </c>
      <c r="D532" s="14"/>
      <c r="E532" s="8"/>
      <c r="F532" s="8"/>
      <c r="G532" s="8"/>
    </row>
    <row r="533" customFormat="false" ht="15" hidden="false" customHeight="false" outlineLevel="0" collapsed="false">
      <c r="A533" s="9"/>
      <c r="B533" s="8"/>
      <c r="C533" s="10" t="str">
        <f aca="false">IF(B533="","",IFERROR(VLOOKUP(B533,DonHang!$A$2:$C$500,3,FALSE()),"mã đơn chưa có"))</f>
        <v/>
      </c>
      <c r="D533" s="14"/>
      <c r="E533" s="8"/>
      <c r="F533" s="8"/>
      <c r="G533" s="8"/>
    </row>
    <row r="534" customFormat="false" ht="15" hidden="false" customHeight="false" outlineLevel="0" collapsed="false">
      <c r="A534" s="9"/>
      <c r="B534" s="8"/>
      <c r="C534" s="10" t="str">
        <f aca="false">IF(B534="","",IFERROR(VLOOKUP(B534,DonHang!$A$2:$C$500,3,FALSE()),"mã đơn chưa có"))</f>
        <v/>
      </c>
      <c r="D534" s="14"/>
      <c r="E534" s="8"/>
      <c r="F534" s="8"/>
      <c r="G534" s="8"/>
    </row>
    <row r="535" customFormat="false" ht="15" hidden="false" customHeight="false" outlineLevel="0" collapsed="false">
      <c r="A535" s="9"/>
      <c r="B535" s="8"/>
      <c r="C535" s="10" t="str">
        <f aca="false">IF(B535="","",IFERROR(VLOOKUP(B535,DonHang!$A$2:$C$500,3,FALSE()),"mã đơn chưa có"))</f>
        <v/>
      </c>
      <c r="D535" s="14"/>
      <c r="E535" s="8"/>
      <c r="F535" s="8"/>
      <c r="G535" s="8"/>
    </row>
    <row r="536" customFormat="false" ht="15" hidden="false" customHeight="false" outlineLevel="0" collapsed="false">
      <c r="A536" s="9"/>
      <c r="B536" s="8"/>
      <c r="C536" s="10" t="str">
        <f aca="false">IF(B536="","",IFERROR(VLOOKUP(B536,DonHang!$A$2:$C$500,3,FALSE()),"mã đơn chưa có"))</f>
        <v/>
      </c>
      <c r="D536" s="14"/>
      <c r="E536" s="8"/>
      <c r="F536" s="8"/>
      <c r="G536" s="8"/>
    </row>
    <row r="537" customFormat="false" ht="15" hidden="false" customHeight="false" outlineLevel="0" collapsed="false">
      <c r="A537" s="9"/>
      <c r="B537" s="8"/>
      <c r="C537" s="10" t="str">
        <f aca="false">IF(B537="","",IFERROR(VLOOKUP(B537,DonHang!$A$2:$C$500,3,FALSE()),"mã đơn chưa có"))</f>
        <v/>
      </c>
      <c r="D537" s="14"/>
      <c r="E537" s="8"/>
      <c r="F537" s="8"/>
      <c r="G537" s="8"/>
    </row>
    <row r="538" customFormat="false" ht="15" hidden="false" customHeight="false" outlineLevel="0" collapsed="false">
      <c r="A538" s="9"/>
      <c r="B538" s="8"/>
      <c r="C538" s="10" t="str">
        <f aca="false">IF(B538="","",IFERROR(VLOOKUP(B538,DonHang!$A$2:$C$500,3,FALSE()),"mã đơn chưa có"))</f>
        <v/>
      </c>
      <c r="D538" s="14"/>
      <c r="E538" s="8"/>
      <c r="F538" s="8"/>
      <c r="G538" s="8"/>
    </row>
    <row r="539" customFormat="false" ht="15" hidden="false" customHeight="false" outlineLevel="0" collapsed="false">
      <c r="A539" s="9"/>
      <c r="B539" s="8"/>
      <c r="C539" s="10" t="str">
        <f aca="false">IF(B539="","",IFERROR(VLOOKUP(B539,DonHang!$A$2:$C$500,3,FALSE()),"mã đơn chưa có"))</f>
        <v/>
      </c>
      <c r="D539" s="14"/>
      <c r="E539" s="8"/>
      <c r="F539" s="8"/>
      <c r="G539" s="8"/>
    </row>
    <row r="540" customFormat="false" ht="15" hidden="false" customHeight="false" outlineLevel="0" collapsed="false">
      <c r="A540" s="9"/>
      <c r="B540" s="8"/>
      <c r="C540" s="10" t="str">
        <f aca="false">IF(B540="","",IFERROR(VLOOKUP(B540,DonHang!$A$2:$C$500,3,FALSE()),"mã đơn chưa có"))</f>
        <v/>
      </c>
      <c r="D540" s="14"/>
      <c r="E540" s="8"/>
      <c r="F540" s="8"/>
      <c r="G540" s="8"/>
    </row>
    <row r="541" customFormat="false" ht="15" hidden="false" customHeight="false" outlineLevel="0" collapsed="false">
      <c r="A541" s="9"/>
      <c r="B541" s="8"/>
      <c r="C541" s="10" t="str">
        <f aca="false">IF(B541="","",IFERROR(VLOOKUP(B541,DonHang!$A$2:$C$500,3,FALSE()),"mã đơn chưa có"))</f>
        <v/>
      </c>
      <c r="D541" s="14"/>
      <c r="E541" s="8"/>
      <c r="F541" s="8"/>
      <c r="G541" s="8"/>
    </row>
    <row r="542" customFormat="false" ht="15" hidden="false" customHeight="false" outlineLevel="0" collapsed="false">
      <c r="A542" s="9"/>
      <c r="B542" s="8"/>
      <c r="C542" s="10" t="str">
        <f aca="false">IF(B542="","",IFERROR(VLOOKUP(B542,DonHang!$A$2:$C$500,3,FALSE()),"mã đơn chưa có"))</f>
        <v/>
      </c>
      <c r="D542" s="14"/>
      <c r="E542" s="8"/>
      <c r="F542" s="8"/>
      <c r="G542" s="8"/>
    </row>
    <row r="543" customFormat="false" ht="15" hidden="false" customHeight="false" outlineLevel="0" collapsed="false">
      <c r="A543" s="9"/>
      <c r="B543" s="8"/>
      <c r="C543" s="10" t="str">
        <f aca="false">IF(B543="","",IFERROR(VLOOKUP(B543,DonHang!$A$2:$C$500,3,FALSE()),"mã đơn chưa có"))</f>
        <v/>
      </c>
      <c r="D543" s="14"/>
      <c r="E543" s="8"/>
      <c r="F543" s="8"/>
      <c r="G543" s="8"/>
    </row>
    <row r="544" customFormat="false" ht="15" hidden="false" customHeight="false" outlineLevel="0" collapsed="false">
      <c r="A544" s="9"/>
      <c r="B544" s="8"/>
      <c r="C544" s="10" t="str">
        <f aca="false">IF(B544="","",IFERROR(VLOOKUP(B544,DonHang!$A$2:$C$500,3,FALSE()),"mã đơn chưa có"))</f>
        <v/>
      </c>
      <c r="D544" s="14"/>
      <c r="E544" s="8"/>
      <c r="F544" s="8"/>
      <c r="G544" s="8"/>
    </row>
    <row r="545" customFormat="false" ht="15" hidden="false" customHeight="false" outlineLevel="0" collapsed="false">
      <c r="A545" s="9"/>
      <c r="B545" s="8"/>
      <c r="C545" s="10" t="str">
        <f aca="false">IF(B545="","",IFERROR(VLOOKUP(B545,DonHang!$A$2:$C$500,3,FALSE()),"mã đơn chưa có"))</f>
        <v/>
      </c>
      <c r="D545" s="14"/>
      <c r="E545" s="8"/>
      <c r="F545" s="8"/>
      <c r="G545" s="8"/>
    </row>
    <row r="546" customFormat="false" ht="15" hidden="false" customHeight="false" outlineLevel="0" collapsed="false">
      <c r="A546" s="9"/>
      <c r="B546" s="8"/>
      <c r="C546" s="10" t="str">
        <f aca="false">IF(B546="","",IFERROR(VLOOKUP(B546,DonHang!$A$2:$C$500,3,FALSE()),"mã đơn chưa có"))</f>
        <v/>
      </c>
      <c r="D546" s="14"/>
      <c r="E546" s="8"/>
      <c r="F546" s="8"/>
      <c r="G546" s="8"/>
    </row>
    <row r="547" customFormat="false" ht="15" hidden="false" customHeight="false" outlineLevel="0" collapsed="false">
      <c r="A547" s="9"/>
      <c r="B547" s="8"/>
      <c r="C547" s="10" t="str">
        <f aca="false">IF(B547="","",IFERROR(VLOOKUP(B547,DonHang!$A$2:$C$500,3,FALSE()),"mã đơn chưa có"))</f>
        <v/>
      </c>
      <c r="D547" s="14"/>
      <c r="E547" s="8"/>
      <c r="F547" s="8"/>
      <c r="G547" s="8"/>
    </row>
    <row r="548" customFormat="false" ht="15" hidden="false" customHeight="false" outlineLevel="0" collapsed="false">
      <c r="A548" s="9"/>
      <c r="B548" s="8"/>
      <c r="C548" s="10" t="str">
        <f aca="false">IF(B548="","",IFERROR(VLOOKUP(B548,DonHang!$A$2:$C$500,3,FALSE()),"mã đơn chưa có"))</f>
        <v/>
      </c>
      <c r="D548" s="14"/>
      <c r="E548" s="8"/>
      <c r="F548" s="8"/>
      <c r="G548" s="8"/>
    </row>
    <row r="549" customFormat="false" ht="15" hidden="false" customHeight="false" outlineLevel="0" collapsed="false">
      <c r="A549" s="9"/>
      <c r="B549" s="8"/>
      <c r="C549" s="10" t="str">
        <f aca="false">IF(B549="","",IFERROR(VLOOKUP(B549,DonHang!$A$2:$C$500,3,FALSE()),"mã đơn chưa có"))</f>
        <v/>
      </c>
      <c r="D549" s="14"/>
      <c r="E549" s="8"/>
      <c r="F549" s="8"/>
      <c r="G549" s="8"/>
    </row>
    <row r="550" customFormat="false" ht="15" hidden="false" customHeight="false" outlineLevel="0" collapsed="false">
      <c r="A550" s="9"/>
      <c r="B550" s="8"/>
      <c r="C550" s="10" t="str">
        <f aca="false">IF(B550="","",IFERROR(VLOOKUP(B550,DonHang!$A$2:$C$500,3,FALSE()),"mã đơn chưa có"))</f>
        <v/>
      </c>
      <c r="D550" s="14"/>
      <c r="E550" s="8"/>
      <c r="F550" s="8"/>
      <c r="G550" s="8"/>
    </row>
    <row r="551" customFormat="false" ht="15" hidden="false" customHeight="false" outlineLevel="0" collapsed="false">
      <c r="A551" s="9"/>
      <c r="B551" s="8"/>
      <c r="C551" s="10" t="str">
        <f aca="false">IF(B551="","",IFERROR(VLOOKUP(B551,DonHang!$A$2:$C$500,3,FALSE()),"mã đơn chưa có"))</f>
        <v/>
      </c>
      <c r="D551" s="14"/>
      <c r="E551" s="8"/>
      <c r="F551" s="8"/>
      <c r="G551" s="8"/>
    </row>
    <row r="552" customFormat="false" ht="15" hidden="false" customHeight="false" outlineLevel="0" collapsed="false">
      <c r="A552" s="9"/>
      <c r="B552" s="8"/>
      <c r="C552" s="10" t="str">
        <f aca="false">IF(B552="","",IFERROR(VLOOKUP(B552,DonHang!$A$2:$C$500,3,FALSE()),"mã đơn chưa có"))</f>
        <v/>
      </c>
      <c r="D552" s="14"/>
      <c r="E552" s="8"/>
      <c r="F552" s="8"/>
      <c r="G552" s="8"/>
    </row>
    <row r="553" customFormat="false" ht="15" hidden="false" customHeight="false" outlineLevel="0" collapsed="false">
      <c r="A553" s="9"/>
      <c r="B553" s="8"/>
      <c r="C553" s="10" t="str">
        <f aca="false">IF(B553="","",IFERROR(VLOOKUP(B553,DonHang!$A$2:$C$500,3,FALSE()),"mã đơn chưa có"))</f>
        <v/>
      </c>
      <c r="D553" s="14"/>
      <c r="E553" s="8"/>
      <c r="F553" s="8"/>
      <c r="G553" s="8"/>
    </row>
    <row r="554" customFormat="false" ht="15" hidden="false" customHeight="false" outlineLevel="0" collapsed="false">
      <c r="A554" s="9"/>
      <c r="B554" s="8"/>
      <c r="C554" s="10" t="str">
        <f aca="false">IF(B554="","",IFERROR(VLOOKUP(B554,DonHang!$A$2:$C$500,3,FALSE()),"mã đơn chưa có"))</f>
        <v/>
      </c>
      <c r="D554" s="14"/>
      <c r="E554" s="8"/>
      <c r="F554" s="8"/>
      <c r="G554" s="8"/>
    </row>
    <row r="555" customFormat="false" ht="15" hidden="false" customHeight="false" outlineLevel="0" collapsed="false">
      <c r="A555" s="9"/>
      <c r="B555" s="8"/>
      <c r="C555" s="10" t="str">
        <f aca="false">IF(B555="","",IFERROR(VLOOKUP(B555,DonHang!$A$2:$C$500,3,FALSE()),"mã đơn chưa có"))</f>
        <v/>
      </c>
      <c r="D555" s="14"/>
      <c r="E555" s="8"/>
      <c r="F555" s="8"/>
      <c r="G555" s="8"/>
    </row>
    <row r="556" customFormat="false" ht="15" hidden="false" customHeight="false" outlineLevel="0" collapsed="false">
      <c r="A556" s="9"/>
      <c r="B556" s="8"/>
      <c r="C556" s="10" t="str">
        <f aca="false">IF(B556="","",IFERROR(VLOOKUP(B556,DonHang!$A$2:$C$500,3,FALSE()),"mã đơn chưa có"))</f>
        <v/>
      </c>
      <c r="D556" s="14"/>
      <c r="E556" s="8"/>
      <c r="F556" s="8"/>
      <c r="G556" s="8"/>
    </row>
    <row r="557" customFormat="false" ht="15" hidden="false" customHeight="false" outlineLevel="0" collapsed="false">
      <c r="A557" s="9"/>
      <c r="B557" s="8"/>
      <c r="C557" s="10" t="str">
        <f aca="false">IF(B557="","",IFERROR(VLOOKUP(B557,DonHang!$A$2:$C$500,3,FALSE()),"mã đơn chưa có"))</f>
        <v/>
      </c>
      <c r="D557" s="14"/>
      <c r="E557" s="8"/>
      <c r="F557" s="8"/>
      <c r="G557" s="8"/>
    </row>
    <row r="558" customFormat="false" ht="15" hidden="false" customHeight="false" outlineLevel="0" collapsed="false">
      <c r="A558" s="9"/>
      <c r="B558" s="8"/>
      <c r="C558" s="10" t="str">
        <f aca="false">IF(B558="","",IFERROR(VLOOKUP(B558,DonHang!$A$2:$C$500,3,FALSE()),"mã đơn chưa có"))</f>
        <v/>
      </c>
      <c r="D558" s="14"/>
      <c r="E558" s="8"/>
      <c r="F558" s="8"/>
      <c r="G558" s="8"/>
    </row>
    <row r="559" customFormat="false" ht="15" hidden="false" customHeight="false" outlineLevel="0" collapsed="false">
      <c r="A559" s="9"/>
      <c r="B559" s="8"/>
      <c r="C559" s="10" t="str">
        <f aca="false">IF(B559="","",IFERROR(VLOOKUP(B559,DonHang!$A$2:$C$500,3,FALSE()),"mã đơn chưa có"))</f>
        <v/>
      </c>
      <c r="D559" s="14"/>
      <c r="E559" s="8"/>
      <c r="F559" s="8"/>
      <c r="G559" s="8"/>
    </row>
    <row r="560" customFormat="false" ht="15" hidden="false" customHeight="false" outlineLevel="0" collapsed="false">
      <c r="A560" s="9"/>
      <c r="B560" s="8"/>
      <c r="C560" s="10" t="str">
        <f aca="false">IF(B560="","",IFERROR(VLOOKUP(B560,DonHang!$A$2:$C$500,3,FALSE()),"mã đơn chưa có"))</f>
        <v/>
      </c>
      <c r="D560" s="14"/>
      <c r="E560" s="8"/>
      <c r="F560" s="8"/>
      <c r="G560" s="8"/>
    </row>
    <row r="561" customFormat="false" ht="15" hidden="false" customHeight="false" outlineLevel="0" collapsed="false">
      <c r="A561" s="9"/>
      <c r="B561" s="8"/>
      <c r="C561" s="10" t="str">
        <f aca="false">IF(B561="","",IFERROR(VLOOKUP(B561,DonHang!$A$2:$C$500,3,FALSE()),"mã đơn chưa có"))</f>
        <v/>
      </c>
      <c r="D561" s="14"/>
      <c r="E561" s="8"/>
      <c r="F561" s="8"/>
      <c r="G561" s="8"/>
    </row>
    <row r="562" customFormat="false" ht="15" hidden="false" customHeight="false" outlineLevel="0" collapsed="false">
      <c r="A562" s="9"/>
      <c r="B562" s="8"/>
      <c r="C562" s="10" t="str">
        <f aca="false">IF(B562="","",IFERROR(VLOOKUP(B562,DonHang!$A$2:$C$500,3,FALSE()),"mã đơn chưa có"))</f>
        <v/>
      </c>
      <c r="D562" s="14"/>
      <c r="E562" s="8"/>
      <c r="F562" s="8"/>
      <c r="G562" s="8"/>
    </row>
    <row r="563" customFormat="false" ht="15" hidden="false" customHeight="false" outlineLevel="0" collapsed="false">
      <c r="A563" s="9"/>
      <c r="B563" s="8"/>
      <c r="C563" s="10" t="str">
        <f aca="false">IF(B563="","",IFERROR(VLOOKUP(B563,DonHang!$A$2:$C$500,3,FALSE()),"mã đơn chưa có"))</f>
        <v/>
      </c>
      <c r="D563" s="14"/>
      <c r="E563" s="8"/>
      <c r="F563" s="8"/>
      <c r="G563" s="8"/>
    </row>
    <row r="564" customFormat="false" ht="15" hidden="false" customHeight="false" outlineLevel="0" collapsed="false">
      <c r="A564" s="9"/>
      <c r="B564" s="8"/>
      <c r="C564" s="10" t="str">
        <f aca="false">IF(B564="","",IFERROR(VLOOKUP(B564,DonHang!$A$2:$C$500,3,FALSE()),"mã đơn chưa có"))</f>
        <v/>
      </c>
      <c r="D564" s="14"/>
      <c r="E564" s="8"/>
      <c r="F564" s="8"/>
      <c r="G564" s="8"/>
    </row>
    <row r="565" customFormat="false" ht="15" hidden="false" customHeight="false" outlineLevel="0" collapsed="false">
      <c r="A565" s="9"/>
      <c r="B565" s="8"/>
      <c r="C565" s="10" t="str">
        <f aca="false">IF(B565="","",IFERROR(VLOOKUP(B565,DonHang!$A$2:$C$500,3,FALSE()),"mã đơn chưa có"))</f>
        <v/>
      </c>
      <c r="D565" s="14"/>
      <c r="E565" s="8"/>
      <c r="F565" s="8"/>
      <c r="G565" s="8"/>
    </row>
    <row r="566" customFormat="false" ht="15" hidden="false" customHeight="false" outlineLevel="0" collapsed="false">
      <c r="A566" s="9"/>
      <c r="B566" s="8"/>
      <c r="C566" s="10" t="str">
        <f aca="false">IF(B566="","",IFERROR(VLOOKUP(B566,DonHang!$A$2:$C$500,3,FALSE()),"mã đơn chưa có"))</f>
        <v/>
      </c>
      <c r="D566" s="14"/>
      <c r="E566" s="8"/>
      <c r="F566" s="8"/>
      <c r="G566" s="8"/>
    </row>
    <row r="567" customFormat="false" ht="15" hidden="false" customHeight="false" outlineLevel="0" collapsed="false">
      <c r="A567" s="9"/>
      <c r="B567" s="8"/>
      <c r="C567" s="10" t="str">
        <f aca="false">IF(B567="","",IFERROR(VLOOKUP(B567,DonHang!$A$2:$C$500,3,FALSE()),"mã đơn chưa có"))</f>
        <v/>
      </c>
      <c r="D567" s="14"/>
      <c r="E567" s="8"/>
      <c r="F567" s="8"/>
      <c r="G567" s="8"/>
    </row>
    <row r="568" customFormat="false" ht="15" hidden="false" customHeight="false" outlineLevel="0" collapsed="false">
      <c r="A568" s="9"/>
      <c r="B568" s="8"/>
      <c r="C568" s="10" t="str">
        <f aca="false">IF(B568="","",IFERROR(VLOOKUP(B568,DonHang!$A$2:$C$500,3,FALSE()),"mã đơn chưa có"))</f>
        <v/>
      </c>
      <c r="D568" s="14"/>
      <c r="E568" s="8"/>
      <c r="F568" s="8"/>
      <c r="G568" s="8"/>
    </row>
    <row r="569" customFormat="false" ht="15" hidden="false" customHeight="false" outlineLevel="0" collapsed="false">
      <c r="A569" s="9"/>
      <c r="B569" s="8"/>
      <c r="C569" s="10" t="str">
        <f aca="false">IF(B569="","",IFERROR(VLOOKUP(B569,DonHang!$A$2:$C$500,3,FALSE()),"mã đơn chưa có"))</f>
        <v/>
      </c>
      <c r="D569" s="14"/>
      <c r="E569" s="8"/>
      <c r="F569" s="8"/>
      <c r="G569" s="8"/>
    </row>
    <row r="570" customFormat="false" ht="15" hidden="false" customHeight="false" outlineLevel="0" collapsed="false">
      <c r="A570" s="9"/>
      <c r="B570" s="8"/>
      <c r="C570" s="10" t="str">
        <f aca="false">IF(B570="","",IFERROR(VLOOKUP(B570,DonHang!$A$2:$C$500,3,FALSE()),"mã đơn chưa có"))</f>
        <v/>
      </c>
      <c r="D570" s="14"/>
      <c r="E570" s="8"/>
      <c r="F570" s="8"/>
      <c r="G570" s="8"/>
    </row>
    <row r="571" customFormat="false" ht="15" hidden="false" customHeight="false" outlineLevel="0" collapsed="false">
      <c r="A571" s="9"/>
      <c r="B571" s="8"/>
      <c r="C571" s="10" t="str">
        <f aca="false">IF(B571="","",IFERROR(VLOOKUP(B571,DonHang!$A$2:$C$500,3,FALSE()),"mã đơn chưa có"))</f>
        <v/>
      </c>
      <c r="D571" s="14"/>
      <c r="E571" s="8"/>
      <c r="F571" s="8"/>
      <c r="G571" s="8"/>
    </row>
    <row r="572" customFormat="false" ht="15" hidden="false" customHeight="false" outlineLevel="0" collapsed="false">
      <c r="A572" s="9"/>
      <c r="B572" s="8"/>
      <c r="C572" s="10" t="str">
        <f aca="false">IF(B572="","",IFERROR(VLOOKUP(B572,DonHang!$A$2:$C$500,3,FALSE()),"mã đơn chưa có"))</f>
        <v/>
      </c>
      <c r="D572" s="14"/>
      <c r="E572" s="8"/>
      <c r="F572" s="8"/>
      <c r="G572" s="8"/>
    </row>
    <row r="573" customFormat="false" ht="15" hidden="false" customHeight="false" outlineLevel="0" collapsed="false">
      <c r="A573" s="9"/>
      <c r="B573" s="8"/>
      <c r="C573" s="10" t="str">
        <f aca="false">IF(B573="","",IFERROR(VLOOKUP(B573,DonHang!$A$2:$C$500,3,FALSE()),"mã đơn chưa có"))</f>
        <v/>
      </c>
      <c r="D573" s="14"/>
      <c r="E573" s="8"/>
      <c r="F573" s="8"/>
      <c r="G573" s="8"/>
    </row>
    <row r="574" customFormat="false" ht="15" hidden="false" customHeight="false" outlineLevel="0" collapsed="false">
      <c r="A574" s="9"/>
      <c r="B574" s="8"/>
      <c r="C574" s="10" t="str">
        <f aca="false">IF(B574="","",IFERROR(VLOOKUP(B574,DonHang!$A$2:$C$500,3,FALSE()),"mã đơn chưa có"))</f>
        <v/>
      </c>
      <c r="D574" s="14"/>
      <c r="E574" s="8"/>
      <c r="F574" s="8"/>
      <c r="G574" s="8"/>
    </row>
    <row r="575" customFormat="false" ht="15" hidden="false" customHeight="false" outlineLevel="0" collapsed="false">
      <c r="A575" s="9"/>
      <c r="B575" s="8"/>
      <c r="C575" s="10" t="str">
        <f aca="false">IF(B575="","",IFERROR(VLOOKUP(B575,DonHang!$A$2:$C$500,3,FALSE()),"mã đơn chưa có"))</f>
        <v/>
      </c>
      <c r="D575" s="14"/>
      <c r="E575" s="8"/>
      <c r="F575" s="8"/>
      <c r="G575" s="8"/>
    </row>
    <row r="576" customFormat="false" ht="15" hidden="false" customHeight="false" outlineLevel="0" collapsed="false">
      <c r="A576" s="9"/>
      <c r="B576" s="8"/>
      <c r="C576" s="10" t="str">
        <f aca="false">IF(B576="","",IFERROR(VLOOKUP(B576,DonHang!$A$2:$C$500,3,FALSE()),"mã đơn chưa có"))</f>
        <v/>
      </c>
      <c r="D576" s="14"/>
      <c r="E576" s="8"/>
      <c r="F576" s="8"/>
      <c r="G576" s="8"/>
    </row>
    <row r="577" customFormat="false" ht="15" hidden="false" customHeight="false" outlineLevel="0" collapsed="false">
      <c r="A577" s="9"/>
      <c r="B577" s="8"/>
      <c r="C577" s="10" t="str">
        <f aca="false">IF(B577="","",IFERROR(VLOOKUP(B577,DonHang!$A$2:$C$500,3,FALSE()),"mã đơn chưa có"))</f>
        <v/>
      </c>
      <c r="D577" s="14"/>
      <c r="E577" s="8"/>
      <c r="F577" s="8"/>
      <c r="G577" s="8"/>
    </row>
    <row r="578" customFormat="false" ht="15" hidden="false" customHeight="false" outlineLevel="0" collapsed="false">
      <c r="A578" s="9"/>
      <c r="B578" s="8"/>
      <c r="C578" s="10" t="str">
        <f aca="false">IF(B578="","",IFERROR(VLOOKUP(B578,DonHang!$A$2:$C$500,3,FALSE()),"mã đơn chưa có"))</f>
        <v/>
      </c>
      <c r="D578" s="14"/>
      <c r="E578" s="8"/>
      <c r="F578" s="8"/>
      <c r="G578" s="8"/>
    </row>
    <row r="579" customFormat="false" ht="15" hidden="false" customHeight="false" outlineLevel="0" collapsed="false">
      <c r="A579" s="9"/>
      <c r="B579" s="8"/>
      <c r="C579" s="10" t="str">
        <f aca="false">IF(B579="","",IFERROR(VLOOKUP(B579,DonHang!$A$2:$C$500,3,FALSE()),"mã đơn chưa có"))</f>
        <v/>
      </c>
      <c r="D579" s="14"/>
      <c r="E579" s="8"/>
      <c r="F579" s="8"/>
      <c r="G579" s="8"/>
    </row>
    <row r="580" customFormat="false" ht="15" hidden="false" customHeight="false" outlineLevel="0" collapsed="false">
      <c r="A580" s="9"/>
      <c r="B580" s="8"/>
      <c r="C580" s="10" t="str">
        <f aca="false">IF(B580="","",IFERROR(VLOOKUP(B580,DonHang!$A$2:$C$500,3,FALSE()),"mã đơn chưa có"))</f>
        <v/>
      </c>
      <c r="D580" s="14"/>
      <c r="E580" s="8"/>
      <c r="F580" s="8"/>
      <c r="G580" s="8"/>
    </row>
    <row r="581" customFormat="false" ht="15" hidden="false" customHeight="false" outlineLevel="0" collapsed="false">
      <c r="A581" s="9"/>
      <c r="B581" s="8"/>
      <c r="C581" s="10" t="str">
        <f aca="false">IF(B581="","",IFERROR(VLOOKUP(B581,DonHang!$A$2:$C$500,3,FALSE()),"mã đơn chưa có"))</f>
        <v/>
      </c>
      <c r="D581" s="14"/>
      <c r="E581" s="8"/>
      <c r="F581" s="8"/>
      <c r="G581" s="8"/>
    </row>
    <row r="582" customFormat="false" ht="15" hidden="false" customHeight="false" outlineLevel="0" collapsed="false">
      <c r="A582" s="9"/>
      <c r="B582" s="8"/>
      <c r="C582" s="10" t="str">
        <f aca="false">IF(B582="","",IFERROR(VLOOKUP(B582,DonHang!$A$2:$C$500,3,FALSE()),"mã đơn chưa có"))</f>
        <v/>
      </c>
      <c r="D582" s="14"/>
      <c r="E582" s="8"/>
      <c r="F582" s="8"/>
      <c r="G582" s="8"/>
    </row>
    <row r="583" customFormat="false" ht="15" hidden="false" customHeight="false" outlineLevel="0" collapsed="false">
      <c r="A583" s="9"/>
      <c r="B583" s="8"/>
      <c r="C583" s="10" t="str">
        <f aca="false">IF(B583="","",IFERROR(VLOOKUP(B583,DonHang!$A$2:$C$500,3,FALSE()),"mã đơn chưa có"))</f>
        <v/>
      </c>
      <c r="D583" s="14"/>
      <c r="E583" s="8"/>
      <c r="F583" s="8"/>
      <c r="G583" s="8"/>
    </row>
    <row r="584" customFormat="false" ht="15" hidden="false" customHeight="false" outlineLevel="0" collapsed="false">
      <c r="A584" s="9"/>
      <c r="B584" s="8"/>
      <c r="C584" s="10" t="str">
        <f aca="false">IF(B584="","",IFERROR(VLOOKUP(B584,DonHang!$A$2:$C$500,3,FALSE()),"mã đơn chưa có"))</f>
        <v/>
      </c>
      <c r="D584" s="14"/>
      <c r="E584" s="8"/>
      <c r="F584" s="8"/>
      <c r="G584" s="8"/>
    </row>
    <row r="585" customFormat="false" ht="15" hidden="false" customHeight="false" outlineLevel="0" collapsed="false">
      <c r="A585" s="9"/>
      <c r="B585" s="8"/>
      <c r="C585" s="10" t="str">
        <f aca="false">IF(B585="","",IFERROR(VLOOKUP(B585,DonHang!$A$2:$C$500,3,FALSE()),"mã đơn chưa có"))</f>
        <v/>
      </c>
      <c r="D585" s="14"/>
      <c r="E585" s="8"/>
      <c r="F585" s="8"/>
      <c r="G585" s="8"/>
    </row>
    <row r="586" customFormat="false" ht="15" hidden="false" customHeight="false" outlineLevel="0" collapsed="false">
      <c r="A586" s="9"/>
      <c r="B586" s="8"/>
      <c r="C586" s="10" t="str">
        <f aca="false">IF(B586="","",IFERROR(VLOOKUP(B586,DonHang!$A$2:$C$500,3,FALSE()),"mã đơn chưa có"))</f>
        <v/>
      </c>
      <c r="D586" s="14"/>
      <c r="E586" s="8"/>
      <c r="F586" s="8"/>
      <c r="G586" s="8"/>
    </row>
    <row r="587" customFormat="false" ht="15" hidden="false" customHeight="false" outlineLevel="0" collapsed="false">
      <c r="A587" s="9"/>
      <c r="B587" s="8"/>
      <c r="C587" s="10" t="str">
        <f aca="false">IF(B587="","",IFERROR(VLOOKUP(B587,DonHang!$A$2:$C$500,3,FALSE()),"mã đơn chưa có"))</f>
        <v/>
      </c>
      <c r="D587" s="14"/>
      <c r="E587" s="8"/>
      <c r="F587" s="8"/>
      <c r="G587" s="8"/>
    </row>
    <row r="588" customFormat="false" ht="15" hidden="false" customHeight="false" outlineLevel="0" collapsed="false">
      <c r="A588" s="9"/>
      <c r="B588" s="8"/>
      <c r="C588" s="10" t="str">
        <f aca="false">IF(B588="","",IFERROR(VLOOKUP(B588,DonHang!$A$2:$C$500,3,FALSE()),"mã đơn chưa có"))</f>
        <v/>
      </c>
      <c r="D588" s="14"/>
      <c r="E588" s="8"/>
      <c r="F588" s="8"/>
      <c r="G588" s="8"/>
    </row>
    <row r="589" customFormat="false" ht="15" hidden="false" customHeight="false" outlineLevel="0" collapsed="false">
      <c r="A589" s="9"/>
      <c r="B589" s="8"/>
      <c r="C589" s="10" t="str">
        <f aca="false">IF(B589="","",IFERROR(VLOOKUP(B589,DonHang!$A$2:$C$500,3,FALSE()),"mã đơn chưa có"))</f>
        <v/>
      </c>
      <c r="D589" s="14"/>
      <c r="E589" s="8"/>
      <c r="F589" s="8"/>
      <c r="G589" s="8"/>
    </row>
    <row r="590" customFormat="false" ht="15" hidden="false" customHeight="false" outlineLevel="0" collapsed="false">
      <c r="A590" s="9"/>
      <c r="B590" s="8"/>
      <c r="C590" s="10" t="str">
        <f aca="false">IF(B590="","",IFERROR(VLOOKUP(B590,DonHang!$A$2:$C$500,3,FALSE()),"mã đơn chưa có"))</f>
        <v/>
      </c>
      <c r="D590" s="14"/>
      <c r="E590" s="8"/>
      <c r="F590" s="8"/>
      <c r="G590" s="8"/>
    </row>
    <row r="591" customFormat="false" ht="15" hidden="false" customHeight="false" outlineLevel="0" collapsed="false">
      <c r="A591" s="9"/>
      <c r="B591" s="8"/>
      <c r="C591" s="10" t="str">
        <f aca="false">IF(B591="","",IFERROR(VLOOKUP(B591,DonHang!$A$2:$C$500,3,FALSE()),"mã đơn chưa có"))</f>
        <v/>
      </c>
      <c r="D591" s="14"/>
      <c r="E591" s="8"/>
      <c r="F591" s="8"/>
      <c r="G591" s="8"/>
    </row>
    <row r="592" customFormat="false" ht="15" hidden="false" customHeight="false" outlineLevel="0" collapsed="false">
      <c r="A592" s="9"/>
      <c r="B592" s="8"/>
      <c r="C592" s="10" t="str">
        <f aca="false">IF(B592="","",IFERROR(VLOOKUP(B592,DonHang!$A$2:$C$500,3,FALSE()),"mã đơn chưa có"))</f>
        <v/>
      </c>
      <c r="D592" s="14"/>
      <c r="E592" s="8"/>
      <c r="F592" s="8"/>
      <c r="G592" s="8"/>
    </row>
    <row r="593" customFormat="false" ht="15" hidden="false" customHeight="false" outlineLevel="0" collapsed="false">
      <c r="A593" s="9"/>
      <c r="B593" s="8"/>
      <c r="C593" s="10" t="str">
        <f aca="false">IF(B593="","",IFERROR(VLOOKUP(B593,DonHang!$A$2:$C$500,3,FALSE()),"mã đơn chưa có"))</f>
        <v/>
      </c>
      <c r="D593" s="14"/>
      <c r="E593" s="8"/>
      <c r="F593" s="8"/>
      <c r="G593" s="8"/>
    </row>
    <row r="594" customFormat="false" ht="15" hidden="false" customHeight="false" outlineLevel="0" collapsed="false">
      <c r="A594" s="9"/>
      <c r="B594" s="8"/>
      <c r="C594" s="10" t="str">
        <f aca="false">IF(B594="","",IFERROR(VLOOKUP(B594,DonHang!$A$2:$C$500,3,FALSE()),"mã đơn chưa có"))</f>
        <v/>
      </c>
      <c r="D594" s="14"/>
      <c r="E594" s="8"/>
      <c r="F594" s="8"/>
      <c r="G594" s="8"/>
    </row>
    <row r="595" customFormat="false" ht="15" hidden="false" customHeight="false" outlineLevel="0" collapsed="false">
      <c r="A595" s="9"/>
      <c r="B595" s="8"/>
      <c r="C595" s="10" t="str">
        <f aca="false">IF(B595="","",IFERROR(VLOOKUP(B595,DonHang!$A$2:$C$500,3,FALSE()),"mã đơn chưa có"))</f>
        <v/>
      </c>
      <c r="D595" s="14"/>
      <c r="E595" s="8"/>
      <c r="F595" s="8"/>
      <c r="G595" s="8"/>
    </row>
    <row r="596" customFormat="false" ht="15" hidden="false" customHeight="false" outlineLevel="0" collapsed="false">
      <c r="A596" s="9"/>
      <c r="B596" s="8"/>
      <c r="C596" s="10" t="str">
        <f aca="false">IF(B596="","",IFERROR(VLOOKUP(B596,DonHang!$A$2:$C$500,3,FALSE()),"mã đơn chưa có"))</f>
        <v/>
      </c>
      <c r="D596" s="14"/>
      <c r="E596" s="8"/>
      <c r="F596" s="8"/>
      <c r="G596" s="8"/>
    </row>
    <row r="597" customFormat="false" ht="15" hidden="false" customHeight="false" outlineLevel="0" collapsed="false">
      <c r="A597" s="9"/>
      <c r="B597" s="8"/>
      <c r="C597" s="10" t="str">
        <f aca="false">IF(B597="","",IFERROR(VLOOKUP(B597,DonHang!$A$2:$C$500,3,FALSE()),"mã đơn chưa có"))</f>
        <v/>
      </c>
      <c r="D597" s="14"/>
      <c r="E597" s="8"/>
      <c r="F597" s="8"/>
      <c r="G597" s="8"/>
    </row>
    <row r="598" customFormat="false" ht="15" hidden="false" customHeight="false" outlineLevel="0" collapsed="false">
      <c r="A598" s="9"/>
      <c r="B598" s="8"/>
      <c r="C598" s="10" t="str">
        <f aca="false">IF(B598="","",IFERROR(VLOOKUP(B598,DonHang!$A$2:$C$500,3,FALSE()),"mã đơn chưa có"))</f>
        <v/>
      </c>
      <c r="D598" s="14"/>
      <c r="E598" s="8"/>
      <c r="F598" s="8"/>
      <c r="G598" s="8"/>
    </row>
    <row r="599" customFormat="false" ht="15" hidden="false" customHeight="false" outlineLevel="0" collapsed="false">
      <c r="A599" s="9"/>
      <c r="B599" s="8"/>
      <c r="C599" s="10" t="str">
        <f aca="false">IF(B599="","",IFERROR(VLOOKUP(B599,DonHang!$A$2:$C$500,3,FALSE()),"mã đơn chưa có"))</f>
        <v/>
      </c>
      <c r="D599" s="14"/>
      <c r="E599" s="8"/>
      <c r="F599" s="8"/>
      <c r="G599" s="8"/>
    </row>
    <row r="600" customFormat="false" ht="15" hidden="false" customHeight="false" outlineLevel="0" collapsed="false">
      <c r="A600" s="9"/>
      <c r="B600" s="8"/>
      <c r="C600" s="10" t="str">
        <f aca="false">IF(B600="","",IFERROR(VLOOKUP(B600,DonHang!$A$2:$C$500,3,FALSE()),"mã đơn chưa có"))</f>
        <v/>
      </c>
      <c r="D600" s="14"/>
      <c r="E600" s="8"/>
      <c r="F600" s="8"/>
      <c r="G600" s="8"/>
    </row>
    <row r="601" customFormat="false" ht="15" hidden="false" customHeight="false" outlineLevel="0" collapsed="false">
      <c r="A601" s="9"/>
      <c r="B601" s="8"/>
      <c r="C601" s="10" t="str">
        <f aca="false">IF(B601="","",IFERROR(VLOOKUP(B601,DonHang!$A$2:$C$500,3,FALSE()),"mã đơn chưa có"))</f>
        <v/>
      </c>
      <c r="D601" s="14"/>
      <c r="E601" s="8"/>
      <c r="F601" s="8"/>
      <c r="G601" s="8"/>
    </row>
    <row r="602" customFormat="false" ht="15" hidden="false" customHeight="false" outlineLevel="0" collapsed="false">
      <c r="A602" s="9"/>
      <c r="B602" s="8"/>
      <c r="C602" s="10" t="str">
        <f aca="false">IF(B602="","",IFERROR(VLOOKUP(B602,DonHang!$A$2:$C$500,3,FALSE()),"mã đơn chưa có"))</f>
        <v/>
      </c>
      <c r="D602" s="14"/>
      <c r="E602" s="8"/>
      <c r="F602" s="8"/>
      <c r="G602" s="8"/>
    </row>
    <row r="603" customFormat="false" ht="15" hidden="false" customHeight="false" outlineLevel="0" collapsed="false">
      <c r="A603" s="9"/>
      <c r="B603" s="8"/>
      <c r="C603" s="10" t="str">
        <f aca="false">IF(B603="","",IFERROR(VLOOKUP(B603,DonHang!$A$2:$C$500,3,FALSE()),"mã đơn chưa có"))</f>
        <v/>
      </c>
      <c r="D603" s="14"/>
      <c r="E603" s="8"/>
      <c r="F603" s="8"/>
      <c r="G603" s="8"/>
    </row>
    <row r="604" customFormat="false" ht="15" hidden="false" customHeight="false" outlineLevel="0" collapsed="false">
      <c r="A604" s="9"/>
      <c r="B604" s="8"/>
      <c r="C604" s="10" t="str">
        <f aca="false">IF(B604="","",IFERROR(VLOOKUP(B604,DonHang!$A$2:$C$500,3,FALSE()),"mã đơn chưa có"))</f>
        <v/>
      </c>
      <c r="D604" s="14"/>
      <c r="E604" s="8"/>
      <c r="F604" s="8"/>
      <c r="G604" s="8"/>
    </row>
    <row r="605" customFormat="false" ht="15" hidden="false" customHeight="false" outlineLevel="0" collapsed="false">
      <c r="A605" s="9"/>
      <c r="B605" s="8"/>
      <c r="C605" s="10" t="str">
        <f aca="false">IF(B605="","",IFERROR(VLOOKUP(B605,DonHang!$A$2:$C$500,3,FALSE()),"mã đơn chưa có"))</f>
        <v/>
      </c>
      <c r="D605" s="14"/>
      <c r="E605" s="8"/>
      <c r="F605" s="8"/>
      <c r="G605" s="8"/>
    </row>
    <row r="606" customFormat="false" ht="15" hidden="false" customHeight="false" outlineLevel="0" collapsed="false">
      <c r="A606" s="9"/>
      <c r="B606" s="8"/>
      <c r="C606" s="10" t="str">
        <f aca="false">IF(B606="","",IFERROR(VLOOKUP(B606,DonHang!$A$2:$C$500,3,FALSE()),"mã đơn chưa có"))</f>
        <v/>
      </c>
      <c r="D606" s="14"/>
      <c r="E606" s="8"/>
      <c r="F606" s="8"/>
      <c r="G606" s="8"/>
    </row>
    <row r="607" customFormat="false" ht="15" hidden="false" customHeight="false" outlineLevel="0" collapsed="false">
      <c r="A607" s="9"/>
      <c r="B607" s="8"/>
      <c r="C607" s="10" t="str">
        <f aca="false">IF(B607="","",IFERROR(VLOOKUP(B607,DonHang!$A$2:$C$500,3,FALSE()),"mã đơn chưa có"))</f>
        <v/>
      </c>
      <c r="D607" s="14"/>
      <c r="E607" s="8"/>
      <c r="F607" s="8"/>
      <c r="G607" s="8"/>
    </row>
    <row r="608" customFormat="false" ht="15" hidden="false" customHeight="false" outlineLevel="0" collapsed="false">
      <c r="A608" s="9"/>
      <c r="B608" s="8"/>
      <c r="C608" s="10" t="str">
        <f aca="false">IF(B608="","",IFERROR(VLOOKUP(B608,DonHang!$A$2:$C$500,3,FALSE()),"mã đơn chưa có"))</f>
        <v/>
      </c>
      <c r="D608" s="14"/>
      <c r="E608" s="8"/>
      <c r="F608" s="8"/>
      <c r="G608" s="8"/>
    </row>
    <row r="609" customFormat="false" ht="15" hidden="false" customHeight="false" outlineLevel="0" collapsed="false">
      <c r="A609" s="9"/>
      <c r="B609" s="8"/>
      <c r="C609" s="10" t="str">
        <f aca="false">IF(B609="","",IFERROR(VLOOKUP(B609,DonHang!$A$2:$C$500,3,FALSE()),"mã đơn chưa có"))</f>
        <v/>
      </c>
      <c r="D609" s="14"/>
      <c r="E609" s="8"/>
      <c r="F609" s="8"/>
      <c r="G609" s="8"/>
    </row>
    <row r="610" customFormat="false" ht="15" hidden="false" customHeight="false" outlineLevel="0" collapsed="false">
      <c r="A610" s="9"/>
      <c r="B610" s="8"/>
      <c r="C610" s="10" t="str">
        <f aca="false">IF(B610="","",IFERROR(VLOOKUP(B610,DonHang!$A$2:$C$500,3,FALSE()),"mã đơn chưa có"))</f>
        <v/>
      </c>
      <c r="D610" s="14"/>
      <c r="E610" s="8"/>
      <c r="F610" s="8"/>
      <c r="G610" s="8"/>
    </row>
    <row r="611" customFormat="false" ht="15" hidden="false" customHeight="false" outlineLevel="0" collapsed="false">
      <c r="A611" s="9"/>
      <c r="B611" s="8"/>
      <c r="C611" s="10" t="str">
        <f aca="false">IF(B611="","",IFERROR(VLOOKUP(B611,DonHang!$A$2:$C$500,3,FALSE()),"mã đơn chưa có"))</f>
        <v/>
      </c>
      <c r="D611" s="14"/>
      <c r="E611" s="8"/>
      <c r="F611" s="8"/>
      <c r="G611" s="8"/>
    </row>
    <row r="612" customFormat="false" ht="15" hidden="false" customHeight="false" outlineLevel="0" collapsed="false">
      <c r="A612" s="9"/>
      <c r="B612" s="8"/>
      <c r="C612" s="10" t="str">
        <f aca="false">IF(B612="","",IFERROR(VLOOKUP(B612,DonHang!$A$2:$C$500,3,FALSE()),"mã đơn chưa có"))</f>
        <v/>
      </c>
      <c r="D612" s="14"/>
      <c r="E612" s="8"/>
      <c r="F612" s="8"/>
      <c r="G612" s="8"/>
    </row>
    <row r="613" customFormat="false" ht="15" hidden="false" customHeight="false" outlineLevel="0" collapsed="false">
      <c r="A613" s="9"/>
      <c r="B613" s="8"/>
      <c r="C613" s="10" t="str">
        <f aca="false">IF(B613="","",IFERROR(VLOOKUP(B613,DonHang!$A$2:$C$500,3,FALSE()),"mã đơn chưa có"))</f>
        <v/>
      </c>
      <c r="D613" s="14"/>
      <c r="E613" s="8"/>
      <c r="F613" s="8"/>
      <c r="G613" s="8"/>
    </row>
    <row r="614" customFormat="false" ht="15" hidden="false" customHeight="false" outlineLevel="0" collapsed="false">
      <c r="A614" s="9"/>
      <c r="B614" s="8"/>
      <c r="C614" s="10" t="str">
        <f aca="false">IF(B614="","",IFERROR(VLOOKUP(B614,DonHang!$A$2:$C$500,3,FALSE()),"mã đơn chưa có"))</f>
        <v/>
      </c>
      <c r="D614" s="14"/>
      <c r="E614" s="8"/>
      <c r="F614" s="8"/>
      <c r="G614" s="8"/>
    </row>
    <row r="615" customFormat="false" ht="15" hidden="false" customHeight="false" outlineLevel="0" collapsed="false">
      <c r="A615" s="9"/>
      <c r="B615" s="8"/>
      <c r="C615" s="10" t="str">
        <f aca="false">IF(B615="","",IFERROR(VLOOKUP(B615,DonHang!$A$2:$C$500,3,FALSE()),"mã đơn chưa có"))</f>
        <v/>
      </c>
      <c r="D615" s="14"/>
      <c r="E615" s="8"/>
      <c r="F615" s="8"/>
      <c r="G615" s="8"/>
    </row>
    <row r="616" customFormat="false" ht="15" hidden="false" customHeight="false" outlineLevel="0" collapsed="false">
      <c r="A616" s="9"/>
      <c r="B616" s="8"/>
      <c r="C616" s="10" t="str">
        <f aca="false">IF(B616="","",IFERROR(VLOOKUP(B616,DonHang!$A$2:$C$500,3,FALSE()),"mã đơn chưa có"))</f>
        <v/>
      </c>
      <c r="D616" s="14"/>
      <c r="E616" s="8"/>
      <c r="F616" s="8"/>
      <c r="G616" s="8"/>
    </row>
    <row r="617" customFormat="false" ht="15" hidden="false" customHeight="false" outlineLevel="0" collapsed="false">
      <c r="A617" s="9"/>
      <c r="B617" s="8"/>
      <c r="C617" s="10" t="str">
        <f aca="false">IF(B617="","",IFERROR(VLOOKUP(B617,DonHang!$A$2:$C$500,3,FALSE()),"mã đơn chưa có"))</f>
        <v/>
      </c>
      <c r="D617" s="14"/>
      <c r="E617" s="8"/>
      <c r="F617" s="8"/>
      <c r="G617" s="8"/>
    </row>
    <row r="618" customFormat="false" ht="15" hidden="false" customHeight="false" outlineLevel="0" collapsed="false">
      <c r="A618" s="9"/>
      <c r="B618" s="8"/>
      <c r="C618" s="10" t="str">
        <f aca="false">IF(B618="","",IFERROR(VLOOKUP(B618,DonHang!$A$2:$C$500,3,FALSE()),"mã đơn chưa có"))</f>
        <v/>
      </c>
      <c r="D618" s="14"/>
      <c r="E618" s="8"/>
      <c r="F618" s="8"/>
      <c r="G618" s="8"/>
    </row>
    <row r="619" customFormat="false" ht="15" hidden="false" customHeight="false" outlineLevel="0" collapsed="false">
      <c r="A619" s="9"/>
      <c r="B619" s="8"/>
      <c r="C619" s="10" t="str">
        <f aca="false">IF(B619="","",IFERROR(VLOOKUP(B619,DonHang!$A$2:$C$500,3,FALSE()),"mã đơn chưa có"))</f>
        <v/>
      </c>
      <c r="D619" s="14"/>
      <c r="E619" s="8"/>
      <c r="F619" s="8"/>
      <c r="G619" s="8"/>
    </row>
    <row r="620" customFormat="false" ht="15" hidden="false" customHeight="false" outlineLevel="0" collapsed="false">
      <c r="A620" s="9"/>
      <c r="B620" s="8"/>
      <c r="C620" s="10" t="str">
        <f aca="false">IF(B620="","",IFERROR(VLOOKUP(B620,DonHang!$A$2:$C$500,3,FALSE()),"mã đơn chưa có"))</f>
        <v/>
      </c>
      <c r="D620" s="14"/>
      <c r="E620" s="8"/>
      <c r="F620" s="8"/>
      <c r="G620" s="8"/>
    </row>
    <row r="621" customFormat="false" ht="15" hidden="false" customHeight="false" outlineLevel="0" collapsed="false">
      <c r="A621" s="9"/>
      <c r="B621" s="8"/>
      <c r="C621" s="10" t="str">
        <f aca="false">IF(B621="","",IFERROR(VLOOKUP(B621,DonHang!$A$2:$C$500,3,FALSE()),"mã đơn chưa có"))</f>
        <v/>
      </c>
      <c r="D621" s="14"/>
      <c r="E621" s="8"/>
      <c r="F621" s="8"/>
      <c r="G621" s="8"/>
    </row>
    <row r="622" customFormat="false" ht="15" hidden="false" customHeight="false" outlineLevel="0" collapsed="false">
      <c r="A622" s="9"/>
      <c r="B622" s="8"/>
      <c r="C622" s="10" t="str">
        <f aca="false">IF(B622="","",IFERROR(VLOOKUP(B622,DonHang!$A$2:$C$500,3,FALSE()),"mã đơn chưa có"))</f>
        <v/>
      </c>
      <c r="D622" s="14"/>
      <c r="E622" s="8"/>
      <c r="F622" s="8"/>
      <c r="G622" s="8"/>
    </row>
    <row r="623" customFormat="false" ht="15" hidden="false" customHeight="false" outlineLevel="0" collapsed="false">
      <c r="A623" s="9"/>
      <c r="B623" s="8"/>
      <c r="C623" s="10" t="str">
        <f aca="false">IF(B623="","",IFERROR(VLOOKUP(B623,DonHang!$A$2:$C$500,3,FALSE()),"mã đơn chưa có"))</f>
        <v/>
      </c>
      <c r="D623" s="14"/>
      <c r="E623" s="8"/>
      <c r="F623" s="8"/>
      <c r="G623" s="8"/>
    </row>
    <row r="624" customFormat="false" ht="15" hidden="false" customHeight="false" outlineLevel="0" collapsed="false">
      <c r="A624" s="9"/>
      <c r="B624" s="8"/>
      <c r="C624" s="10" t="str">
        <f aca="false">IF(B624="","",IFERROR(VLOOKUP(B624,DonHang!$A$2:$C$500,3,FALSE()),"mã đơn chưa có"))</f>
        <v/>
      </c>
      <c r="D624" s="14"/>
      <c r="E624" s="8"/>
      <c r="F624" s="8"/>
      <c r="G624" s="8"/>
    </row>
    <row r="625" customFormat="false" ht="15" hidden="false" customHeight="false" outlineLevel="0" collapsed="false">
      <c r="A625" s="9"/>
      <c r="B625" s="8"/>
      <c r="C625" s="10" t="str">
        <f aca="false">IF(B625="","",IFERROR(VLOOKUP(B625,DonHang!$A$2:$C$500,3,FALSE()),"mã đơn chưa có"))</f>
        <v/>
      </c>
      <c r="D625" s="14"/>
      <c r="E625" s="8"/>
      <c r="F625" s="8"/>
      <c r="G625" s="8"/>
    </row>
    <row r="626" customFormat="false" ht="15" hidden="false" customHeight="false" outlineLevel="0" collapsed="false">
      <c r="A626" s="9"/>
      <c r="B626" s="8"/>
      <c r="C626" s="10" t="str">
        <f aca="false">IF(B626="","",IFERROR(VLOOKUP(B626,DonHang!$A$2:$C$500,3,FALSE()),"mã đơn chưa có"))</f>
        <v/>
      </c>
      <c r="D626" s="14"/>
      <c r="E626" s="8"/>
      <c r="F626" s="8"/>
      <c r="G626" s="8"/>
    </row>
    <row r="627" customFormat="false" ht="15" hidden="false" customHeight="false" outlineLevel="0" collapsed="false">
      <c r="A627" s="9"/>
      <c r="B627" s="8"/>
      <c r="C627" s="10" t="str">
        <f aca="false">IF(B627="","",IFERROR(VLOOKUP(B627,DonHang!$A$2:$C$500,3,FALSE()),"mã đơn chưa có"))</f>
        <v/>
      </c>
      <c r="D627" s="14"/>
      <c r="E627" s="8"/>
      <c r="F627" s="8"/>
      <c r="G627" s="8"/>
    </row>
    <row r="628" customFormat="false" ht="15" hidden="false" customHeight="false" outlineLevel="0" collapsed="false">
      <c r="A628" s="9"/>
      <c r="B628" s="8"/>
      <c r="C628" s="10" t="str">
        <f aca="false">IF(B628="","",IFERROR(VLOOKUP(B628,DonHang!$A$2:$C$500,3,FALSE()),"mã đơn chưa có"))</f>
        <v/>
      </c>
      <c r="D628" s="14"/>
      <c r="E628" s="8"/>
      <c r="F628" s="8"/>
      <c r="G628" s="8"/>
    </row>
    <row r="629" customFormat="false" ht="15" hidden="false" customHeight="false" outlineLevel="0" collapsed="false">
      <c r="A629" s="9"/>
      <c r="B629" s="8"/>
      <c r="C629" s="10" t="str">
        <f aca="false">IF(B629="","",IFERROR(VLOOKUP(B629,DonHang!$A$2:$C$500,3,FALSE()),"mã đơn chưa có"))</f>
        <v/>
      </c>
      <c r="D629" s="14"/>
      <c r="E629" s="8"/>
      <c r="F629" s="8"/>
      <c r="G629" s="8"/>
    </row>
    <row r="630" customFormat="false" ht="15" hidden="false" customHeight="false" outlineLevel="0" collapsed="false">
      <c r="A630" s="9"/>
      <c r="B630" s="8"/>
      <c r="C630" s="10" t="str">
        <f aca="false">IF(B630="","",IFERROR(VLOOKUP(B630,DonHang!$A$2:$C$500,3,FALSE()),"mã đơn chưa có"))</f>
        <v/>
      </c>
      <c r="D630" s="14"/>
      <c r="E630" s="8"/>
      <c r="F630" s="8"/>
      <c r="G630" s="8"/>
    </row>
    <row r="631" customFormat="false" ht="15" hidden="false" customHeight="false" outlineLevel="0" collapsed="false">
      <c r="A631" s="9"/>
      <c r="B631" s="8"/>
      <c r="C631" s="10" t="str">
        <f aca="false">IF(B631="","",IFERROR(VLOOKUP(B631,DonHang!$A$2:$C$500,3,FALSE()),"mã đơn chưa có"))</f>
        <v/>
      </c>
      <c r="D631" s="14"/>
      <c r="E631" s="8"/>
      <c r="F631" s="8"/>
      <c r="G631" s="8"/>
    </row>
    <row r="632" customFormat="false" ht="15" hidden="false" customHeight="false" outlineLevel="0" collapsed="false">
      <c r="A632" s="9"/>
      <c r="B632" s="8"/>
      <c r="C632" s="10" t="str">
        <f aca="false">IF(B632="","",IFERROR(VLOOKUP(B632,DonHang!$A$2:$C$500,3,FALSE()),"mã đơn chưa có"))</f>
        <v/>
      </c>
      <c r="D632" s="14"/>
      <c r="E632" s="8"/>
      <c r="F632" s="8"/>
      <c r="G632" s="8"/>
    </row>
    <row r="633" customFormat="false" ht="15" hidden="false" customHeight="false" outlineLevel="0" collapsed="false">
      <c r="A633" s="9"/>
      <c r="B633" s="8"/>
      <c r="C633" s="10" t="str">
        <f aca="false">IF(B633="","",IFERROR(VLOOKUP(B633,DonHang!$A$2:$C$500,3,FALSE()),"mã đơn chưa có"))</f>
        <v/>
      </c>
      <c r="D633" s="14"/>
      <c r="E633" s="8"/>
      <c r="F633" s="8"/>
      <c r="G633" s="8"/>
    </row>
    <row r="634" customFormat="false" ht="15" hidden="false" customHeight="false" outlineLevel="0" collapsed="false">
      <c r="A634" s="9"/>
      <c r="B634" s="8"/>
      <c r="C634" s="10" t="str">
        <f aca="false">IF(B634="","",IFERROR(VLOOKUP(B634,DonHang!$A$2:$C$500,3,FALSE()),"mã đơn chưa có"))</f>
        <v/>
      </c>
      <c r="D634" s="14"/>
      <c r="E634" s="8"/>
      <c r="F634" s="8"/>
      <c r="G634" s="8"/>
    </row>
    <row r="635" customFormat="false" ht="15" hidden="false" customHeight="false" outlineLevel="0" collapsed="false">
      <c r="A635" s="9"/>
      <c r="B635" s="8"/>
      <c r="C635" s="10" t="str">
        <f aca="false">IF(B635="","",IFERROR(VLOOKUP(B635,DonHang!$A$2:$C$500,3,FALSE()),"mã đơn chưa có"))</f>
        <v/>
      </c>
      <c r="D635" s="14"/>
      <c r="E635" s="8"/>
      <c r="F635" s="8"/>
      <c r="G635" s="8"/>
    </row>
    <row r="636" customFormat="false" ht="15" hidden="false" customHeight="false" outlineLevel="0" collapsed="false">
      <c r="A636" s="9"/>
      <c r="B636" s="8"/>
      <c r="C636" s="10" t="str">
        <f aca="false">IF(B636="","",IFERROR(VLOOKUP(B636,DonHang!$A$2:$C$500,3,FALSE()),"mã đơn chưa có"))</f>
        <v/>
      </c>
      <c r="D636" s="14"/>
      <c r="E636" s="8"/>
      <c r="F636" s="8"/>
      <c r="G636" s="8"/>
    </row>
    <row r="637" customFormat="false" ht="15" hidden="false" customHeight="false" outlineLevel="0" collapsed="false">
      <c r="A637" s="9"/>
      <c r="B637" s="8"/>
      <c r="C637" s="10" t="str">
        <f aca="false">IF(B637="","",IFERROR(VLOOKUP(B637,DonHang!$A$2:$C$500,3,FALSE()),"mã đơn chưa có"))</f>
        <v/>
      </c>
      <c r="D637" s="14"/>
      <c r="E637" s="8"/>
      <c r="F637" s="8"/>
      <c r="G637" s="8"/>
    </row>
    <row r="638" customFormat="false" ht="15" hidden="false" customHeight="false" outlineLevel="0" collapsed="false">
      <c r="A638" s="9"/>
      <c r="B638" s="8"/>
      <c r="C638" s="10" t="str">
        <f aca="false">IF(B638="","",IFERROR(VLOOKUP(B638,DonHang!$A$2:$C$500,3,FALSE()),"mã đơn chưa có"))</f>
        <v/>
      </c>
      <c r="D638" s="14"/>
      <c r="E638" s="8"/>
      <c r="F638" s="8"/>
      <c r="G638" s="8"/>
    </row>
    <row r="639" customFormat="false" ht="15" hidden="false" customHeight="false" outlineLevel="0" collapsed="false">
      <c r="A639" s="9"/>
      <c r="B639" s="8"/>
      <c r="C639" s="10" t="str">
        <f aca="false">IF(B639="","",IFERROR(VLOOKUP(B639,DonHang!$A$2:$C$500,3,FALSE()),"mã đơn chưa có"))</f>
        <v/>
      </c>
      <c r="D639" s="14"/>
      <c r="E639" s="8"/>
      <c r="F639" s="8"/>
      <c r="G639" s="8"/>
    </row>
    <row r="640" customFormat="false" ht="15" hidden="false" customHeight="false" outlineLevel="0" collapsed="false">
      <c r="A640" s="9"/>
      <c r="B640" s="8"/>
      <c r="C640" s="10" t="str">
        <f aca="false">IF(B640="","",IFERROR(VLOOKUP(B640,DonHang!$A$2:$C$500,3,FALSE()),"mã đơn chưa có"))</f>
        <v/>
      </c>
      <c r="D640" s="14"/>
      <c r="E640" s="8"/>
      <c r="F640" s="8"/>
      <c r="G640" s="8"/>
    </row>
    <row r="641" customFormat="false" ht="15" hidden="false" customHeight="false" outlineLevel="0" collapsed="false">
      <c r="A641" s="9"/>
      <c r="B641" s="8"/>
      <c r="C641" s="10" t="str">
        <f aca="false">IF(B641="","",IFERROR(VLOOKUP(B641,DonHang!$A$2:$C$500,3,FALSE()),"mã đơn chưa có"))</f>
        <v/>
      </c>
      <c r="D641" s="14"/>
      <c r="E641" s="8"/>
      <c r="F641" s="8"/>
      <c r="G641" s="8"/>
    </row>
    <row r="642" customFormat="false" ht="15" hidden="false" customHeight="false" outlineLevel="0" collapsed="false">
      <c r="A642" s="9"/>
      <c r="B642" s="8"/>
      <c r="C642" s="10" t="str">
        <f aca="false">IF(B642="","",IFERROR(VLOOKUP(B642,DonHang!$A$2:$C$500,3,FALSE()),"mã đơn chưa có"))</f>
        <v/>
      </c>
      <c r="D642" s="14"/>
      <c r="E642" s="8"/>
      <c r="F642" s="8"/>
      <c r="G642" s="8"/>
    </row>
    <row r="643" customFormat="false" ht="15" hidden="false" customHeight="false" outlineLevel="0" collapsed="false">
      <c r="A643" s="9"/>
      <c r="B643" s="8"/>
      <c r="C643" s="10" t="str">
        <f aca="false">IF(B643="","",IFERROR(VLOOKUP(B643,DonHang!$A$2:$C$500,3,FALSE()),"mã đơn chưa có"))</f>
        <v/>
      </c>
      <c r="D643" s="14"/>
      <c r="E643" s="8"/>
      <c r="F643" s="8"/>
      <c r="G643" s="8"/>
    </row>
    <row r="644" customFormat="false" ht="15" hidden="false" customHeight="false" outlineLevel="0" collapsed="false">
      <c r="A644" s="9"/>
      <c r="B644" s="8"/>
      <c r="C644" s="10" t="str">
        <f aca="false">IF(B644="","",IFERROR(VLOOKUP(B644,DonHang!$A$2:$C$500,3,FALSE()),"mã đơn chưa có"))</f>
        <v/>
      </c>
      <c r="D644" s="14"/>
      <c r="E644" s="8"/>
      <c r="F644" s="8"/>
      <c r="G644" s="8"/>
    </row>
    <row r="645" customFormat="false" ht="15" hidden="false" customHeight="false" outlineLevel="0" collapsed="false">
      <c r="A645" s="9"/>
      <c r="B645" s="8"/>
      <c r="C645" s="10" t="str">
        <f aca="false">IF(B645="","",IFERROR(VLOOKUP(B645,DonHang!$A$2:$C$500,3,FALSE()),"mã đơn chưa có"))</f>
        <v/>
      </c>
      <c r="D645" s="14"/>
      <c r="E645" s="8"/>
      <c r="F645" s="8"/>
      <c r="G645" s="8"/>
    </row>
    <row r="646" customFormat="false" ht="15" hidden="false" customHeight="false" outlineLevel="0" collapsed="false">
      <c r="A646" s="9"/>
      <c r="B646" s="8"/>
      <c r="C646" s="10" t="str">
        <f aca="false">IF(B646="","",IFERROR(VLOOKUP(B646,DonHang!$A$2:$C$500,3,FALSE()),"mã đơn chưa có"))</f>
        <v/>
      </c>
      <c r="D646" s="14"/>
      <c r="E646" s="8"/>
      <c r="F646" s="8"/>
      <c r="G646" s="8"/>
    </row>
    <row r="647" customFormat="false" ht="15" hidden="false" customHeight="false" outlineLevel="0" collapsed="false">
      <c r="A647" s="9"/>
      <c r="B647" s="8"/>
      <c r="C647" s="10" t="str">
        <f aca="false">IF(B647="","",IFERROR(VLOOKUP(B647,DonHang!$A$2:$C$500,3,FALSE()),"mã đơn chưa có"))</f>
        <v/>
      </c>
      <c r="D647" s="14"/>
      <c r="E647" s="8"/>
      <c r="F647" s="8"/>
      <c r="G647" s="8"/>
    </row>
    <row r="648" customFormat="false" ht="15" hidden="false" customHeight="false" outlineLevel="0" collapsed="false">
      <c r="A648" s="9"/>
      <c r="B648" s="8"/>
      <c r="C648" s="10" t="str">
        <f aca="false">IF(B648="","",IFERROR(VLOOKUP(B648,DonHang!$A$2:$C$500,3,FALSE()),"mã đơn chưa có"))</f>
        <v/>
      </c>
      <c r="D648" s="14"/>
      <c r="E648" s="8"/>
      <c r="F648" s="8"/>
      <c r="G648" s="8"/>
    </row>
    <row r="649" customFormat="false" ht="15" hidden="false" customHeight="false" outlineLevel="0" collapsed="false">
      <c r="A649" s="9"/>
      <c r="B649" s="8"/>
      <c r="C649" s="10" t="str">
        <f aca="false">IF(B649="","",IFERROR(VLOOKUP(B649,DonHang!$A$2:$C$500,3,FALSE()),"mã đơn chưa có"))</f>
        <v/>
      </c>
      <c r="D649" s="14"/>
      <c r="E649" s="8"/>
      <c r="F649" s="8"/>
      <c r="G649" s="8"/>
    </row>
    <row r="650" customFormat="false" ht="15" hidden="false" customHeight="false" outlineLevel="0" collapsed="false">
      <c r="A650" s="9"/>
      <c r="B650" s="8"/>
      <c r="C650" s="10" t="str">
        <f aca="false">IF(B650="","",IFERROR(VLOOKUP(B650,DonHang!$A$2:$C$500,3,FALSE()),"mã đơn chưa có"))</f>
        <v/>
      </c>
      <c r="D650" s="14"/>
      <c r="E650" s="8"/>
      <c r="F650" s="8"/>
      <c r="G650" s="8"/>
    </row>
    <row r="651" customFormat="false" ht="15" hidden="false" customHeight="false" outlineLevel="0" collapsed="false">
      <c r="A651" s="9"/>
      <c r="B651" s="8"/>
      <c r="C651" s="10" t="str">
        <f aca="false">IF(B651="","",IFERROR(VLOOKUP(B651,DonHang!$A$2:$C$500,3,FALSE()),"mã đơn chưa có"))</f>
        <v/>
      </c>
      <c r="D651" s="14"/>
      <c r="E651" s="8"/>
      <c r="F651" s="8"/>
      <c r="G651" s="8"/>
    </row>
    <row r="652" customFormat="false" ht="15" hidden="false" customHeight="false" outlineLevel="0" collapsed="false">
      <c r="A652" s="9"/>
      <c r="B652" s="8"/>
      <c r="C652" s="10" t="str">
        <f aca="false">IF(B652="","",IFERROR(VLOOKUP(B652,DonHang!$A$2:$C$500,3,FALSE()),"mã đơn chưa có"))</f>
        <v/>
      </c>
      <c r="D652" s="14"/>
      <c r="E652" s="8"/>
      <c r="F652" s="8"/>
      <c r="G652" s="8"/>
    </row>
    <row r="653" customFormat="false" ht="15" hidden="false" customHeight="false" outlineLevel="0" collapsed="false">
      <c r="A653" s="9"/>
      <c r="B653" s="8"/>
      <c r="C653" s="10" t="str">
        <f aca="false">IF(B653="","",IFERROR(VLOOKUP(B653,DonHang!$A$2:$C$500,3,FALSE()),"mã đơn chưa có"))</f>
        <v/>
      </c>
      <c r="D653" s="14"/>
      <c r="E653" s="8"/>
      <c r="F653" s="8"/>
      <c r="G653" s="8"/>
    </row>
    <row r="654" customFormat="false" ht="15" hidden="false" customHeight="false" outlineLevel="0" collapsed="false">
      <c r="A654" s="9"/>
      <c r="B654" s="8"/>
      <c r="C654" s="10" t="str">
        <f aca="false">IF(B654="","",IFERROR(VLOOKUP(B654,DonHang!$A$2:$C$500,3,FALSE()),"mã đơn chưa có"))</f>
        <v/>
      </c>
      <c r="D654" s="14"/>
      <c r="E654" s="8"/>
      <c r="F654" s="8"/>
      <c r="G654" s="8"/>
    </row>
    <row r="655" customFormat="false" ht="15" hidden="false" customHeight="false" outlineLevel="0" collapsed="false">
      <c r="A655" s="9"/>
      <c r="B655" s="8"/>
      <c r="C655" s="10" t="str">
        <f aca="false">IF(B655="","",IFERROR(VLOOKUP(B655,DonHang!$A$2:$C$500,3,FALSE()),"mã đơn chưa có"))</f>
        <v/>
      </c>
      <c r="D655" s="14"/>
      <c r="E655" s="8"/>
      <c r="F655" s="8"/>
      <c r="G655" s="8"/>
    </row>
    <row r="656" customFormat="false" ht="15" hidden="false" customHeight="false" outlineLevel="0" collapsed="false">
      <c r="A656" s="9"/>
      <c r="B656" s="8"/>
      <c r="C656" s="10" t="str">
        <f aca="false">IF(B656="","",IFERROR(VLOOKUP(B656,DonHang!$A$2:$C$500,3,FALSE()),"mã đơn chưa có"))</f>
        <v/>
      </c>
      <c r="D656" s="14"/>
      <c r="E656" s="8"/>
      <c r="F656" s="8"/>
      <c r="G656" s="8"/>
    </row>
    <row r="657" customFormat="false" ht="15" hidden="false" customHeight="false" outlineLevel="0" collapsed="false">
      <c r="A657" s="9"/>
      <c r="B657" s="8"/>
      <c r="C657" s="10" t="str">
        <f aca="false">IF(B657="","",IFERROR(VLOOKUP(B657,DonHang!$A$2:$C$500,3,FALSE()),"mã đơn chưa có"))</f>
        <v/>
      </c>
      <c r="D657" s="14"/>
      <c r="E657" s="8"/>
      <c r="F657" s="8"/>
      <c r="G657" s="8"/>
    </row>
    <row r="658" customFormat="false" ht="15" hidden="false" customHeight="false" outlineLevel="0" collapsed="false">
      <c r="A658" s="9"/>
      <c r="B658" s="8"/>
      <c r="C658" s="10" t="str">
        <f aca="false">IF(B658="","",IFERROR(VLOOKUP(B658,DonHang!$A$2:$C$500,3,FALSE()),"mã đơn chưa có"))</f>
        <v/>
      </c>
      <c r="D658" s="14"/>
      <c r="E658" s="8"/>
      <c r="F658" s="8"/>
      <c r="G658" s="8"/>
    </row>
    <row r="659" customFormat="false" ht="15" hidden="false" customHeight="false" outlineLevel="0" collapsed="false">
      <c r="A659" s="9"/>
      <c r="B659" s="8"/>
      <c r="C659" s="10" t="str">
        <f aca="false">IF(B659="","",IFERROR(VLOOKUP(B659,DonHang!$A$2:$C$500,3,FALSE()),"mã đơn chưa có"))</f>
        <v/>
      </c>
      <c r="D659" s="14"/>
      <c r="E659" s="8"/>
      <c r="F659" s="8"/>
      <c r="G659" s="8"/>
    </row>
    <row r="660" customFormat="false" ht="15" hidden="false" customHeight="false" outlineLevel="0" collapsed="false">
      <c r="A660" s="9"/>
      <c r="B660" s="8"/>
      <c r="C660" s="10" t="str">
        <f aca="false">IF(B660="","",IFERROR(VLOOKUP(B660,DonHang!$A$2:$C$500,3,FALSE()),"mã đơn chưa có"))</f>
        <v/>
      </c>
      <c r="D660" s="14"/>
      <c r="E660" s="8"/>
      <c r="F660" s="8"/>
      <c r="G660" s="8"/>
    </row>
    <row r="661" customFormat="false" ht="15" hidden="false" customHeight="false" outlineLevel="0" collapsed="false">
      <c r="A661" s="9"/>
      <c r="B661" s="8"/>
      <c r="C661" s="10" t="str">
        <f aca="false">IF(B661="","",IFERROR(VLOOKUP(B661,DonHang!$A$2:$C$500,3,FALSE()),"mã đơn chưa có"))</f>
        <v/>
      </c>
      <c r="D661" s="14"/>
      <c r="E661" s="8"/>
      <c r="F661" s="8"/>
      <c r="G661" s="8"/>
    </row>
    <row r="662" customFormat="false" ht="15" hidden="false" customHeight="false" outlineLevel="0" collapsed="false">
      <c r="A662" s="9"/>
      <c r="B662" s="8"/>
      <c r="C662" s="10" t="str">
        <f aca="false">IF(B662="","",IFERROR(VLOOKUP(B662,DonHang!$A$2:$C$500,3,FALSE()),"mã đơn chưa có"))</f>
        <v/>
      </c>
      <c r="D662" s="14"/>
      <c r="E662" s="8"/>
      <c r="F662" s="8"/>
      <c r="G662" s="8"/>
    </row>
    <row r="663" customFormat="false" ht="15" hidden="false" customHeight="false" outlineLevel="0" collapsed="false">
      <c r="A663" s="9"/>
      <c r="B663" s="8"/>
      <c r="C663" s="10" t="str">
        <f aca="false">IF(B663="","",IFERROR(VLOOKUP(B663,DonHang!$A$2:$C$500,3,FALSE()),"mã đơn chưa có"))</f>
        <v/>
      </c>
      <c r="D663" s="14"/>
      <c r="E663" s="8"/>
      <c r="F663" s="8"/>
      <c r="G663" s="8"/>
    </row>
    <row r="664" customFormat="false" ht="15" hidden="false" customHeight="false" outlineLevel="0" collapsed="false">
      <c r="A664" s="9"/>
      <c r="B664" s="8"/>
      <c r="C664" s="10" t="str">
        <f aca="false">IF(B664="","",IFERROR(VLOOKUP(B664,DonHang!$A$2:$C$500,3,FALSE()),"mã đơn chưa có"))</f>
        <v/>
      </c>
      <c r="D664" s="14"/>
      <c r="E664" s="8"/>
      <c r="F664" s="8"/>
      <c r="G664" s="8"/>
    </row>
    <row r="665" customFormat="false" ht="15" hidden="false" customHeight="false" outlineLevel="0" collapsed="false">
      <c r="A665" s="9"/>
      <c r="B665" s="8"/>
      <c r="C665" s="10" t="str">
        <f aca="false">IF(B665="","",IFERROR(VLOOKUP(B665,DonHang!$A$2:$C$500,3,FALSE()),"mã đơn chưa có"))</f>
        <v/>
      </c>
      <c r="D665" s="14"/>
      <c r="E665" s="8"/>
      <c r="F665" s="8"/>
      <c r="G665" s="8"/>
    </row>
    <row r="666" customFormat="false" ht="15" hidden="false" customHeight="false" outlineLevel="0" collapsed="false">
      <c r="A666" s="9"/>
      <c r="B666" s="8"/>
      <c r="C666" s="10" t="str">
        <f aca="false">IF(B666="","",IFERROR(VLOOKUP(B666,DonHang!$A$2:$C$500,3,FALSE()),"mã đơn chưa có"))</f>
        <v/>
      </c>
      <c r="D666" s="14"/>
      <c r="E666" s="8"/>
      <c r="F666" s="8"/>
      <c r="G666" s="8"/>
    </row>
    <row r="667" customFormat="false" ht="15" hidden="false" customHeight="false" outlineLevel="0" collapsed="false">
      <c r="A667" s="9"/>
      <c r="B667" s="8"/>
      <c r="C667" s="10" t="str">
        <f aca="false">IF(B667="","",IFERROR(VLOOKUP(B667,DonHang!$A$2:$C$500,3,FALSE()),"mã đơn chưa có"))</f>
        <v/>
      </c>
      <c r="D667" s="14"/>
      <c r="E667" s="8"/>
      <c r="F667" s="8"/>
      <c r="G667" s="8"/>
    </row>
    <row r="668" customFormat="false" ht="15" hidden="false" customHeight="false" outlineLevel="0" collapsed="false">
      <c r="A668" s="9"/>
      <c r="B668" s="8"/>
      <c r="C668" s="10" t="str">
        <f aca="false">IF(B668="","",IFERROR(VLOOKUP(B668,DonHang!$A$2:$C$500,3,FALSE()),"mã đơn chưa có"))</f>
        <v/>
      </c>
      <c r="D668" s="14"/>
      <c r="E668" s="8"/>
      <c r="F668" s="8"/>
      <c r="G668" s="8"/>
    </row>
    <row r="669" customFormat="false" ht="15" hidden="false" customHeight="false" outlineLevel="0" collapsed="false">
      <c r="A669" s="9"/>
      <c r="B669" s="8"/>
      <c r="C669" s="10" t="str">
        <f aca="false">IF(B669="","",IFERROR(VLOOKUP(B669,DonHang!$A$2:$C$500,3,FALSE()),"mã đơn chưa có"))</f>
        <v/>
      </c>
      <c r="D669" s="14"/>
      <c r="E669" s="8"/>
      <c r="F669" s="8"/>
      <c r="G669" s="8"/>
    </row>
    <row r="670" customFormat="false" ht="15" hidden="false" customHeight="false" outlineLevel="0" collapsed="false">
      <c r="A670" s="9"/>
      <c r="B670" s="8"/>
      <c r="C670" s="10" t="str">
        <f aca="false">IF(B670="","",IFERROR(VLOOKUP(B670,DonHang!$A$2:$C$500,3,FALSE()),"mã đơn chưa có"))</f>
        <v/>
      </c>
      <c r="D670" s="14"/>
      <c r="E670" s="8"/>
      <c r="F670" s="8"/>
      <c r="G670" s="8"/>
    </row>
    <row r="671" customFormat="false" ht="15" hidden="false" customHeight="false" outlineLevel="0" collapsed="false">
      <c r="A671" s="9"/>
      <c r="B671" s="8"/>
      <c r="C671" s="10" t="str">
        <f aca="false">IF(B671="","",IFERROR(VLOOKUP(B671,DonHang!$A$2:$C$500,3,FALSE()),"mã đơn chưa có"))</f>
        <v/>
      </c>
      <c r="D671" s="14"/>
      <c r="E671" s="8"/>
      <c r="F671" s="8"/>
      <c r="G671" s="8"/>
    </row>
    <row r="672" customFormat="false" ht="15" hidden="false" customHeight="false" outlineLevel="0" collapsed="false">
      <c r="A672" s="9"/>
      <c r="B672" s="8"/>
      <c r="C672" s="10" t="str">
        <f aca="false">IF(B672="","",IFERROR(VLOOKUP(B672,DonHang!$A$2:$C$500,3,FALSE()),"mã đơn chưa có"))</f>
        <v/>
      </c>
      <c r="D672" s="14"/>
      <c r="E672" s="8"/>
      <c r="F672" s="8"/>
      <c r="G672" s="8"/>
    </row>
    <row r="673" customFormat="false" ht="15" hidden="false" customHeight="false" outlineLevel="0" collapsed="false">
      <c r="A673" s="9"/>
      <c r="B673" s="8"/>
      <c r="C673" s="10" t="str">
        <f aca="false">IF(B673="","",IFERROR(VLOOKUP(B673,DonHang!$A$2:$C$500,3,FALSE()),"mã đơn chưa có"))</f>
        <v/>
      </c>
      <c r="D673" s="14"/>
      <c r="E673" s="8"/>
      <c r="F673" s="8"/>
      <c r="G673" s="8"/>
    </row>
    <row r="674" customFormat="false" ht="15" hidden="false" customHeight="false" outlineLevel="0" collapsed="false">
      <c r="A674" s="9"/>
      <c r="B674" s="8"/>
      <c r="C674" s="10" t="str">
        <f aca="false">IF(B674="","",IFERROR(VLOOKUP(B674,DonHang!$A$2:$C$500,3,FALSE()),"mã đơn chưa có"))</f>
        <v/>
      </c>
      <c r="D674" s="14"/>
      <c r="E674" s="8"/>
      <c r="F674" s="8"/>
      <c r="G674" s="8"/>
    </row>
    <row r="675" customFormat="false" ht="15" hidden="false" customHeight="false" outlineLevel="0" collapsed="false">
      <c r="A675" s="9"/>
      <c r="B675" s="8"/>
      <c r="C675" s="10" t="str">
        <f aca="false">IF(B675="","",IFERROR(VLOOKUP(B675,DonHang!$A$2:$C$500,3,FALSE()),"mã đơn chưa có"))</f>
        <v/>
      </c>
      <c r="D675" s="14"/>
      <c r="E675" s="8"/>
      <c r="F675" s="8"/>
      <c r="G675" s="8"/>
    </row>
    <row r="676" customFormat="false" ht="15" hidden="false" customHeight="false" outlineLevel="0" collapsed="false">
      <c r="A676" s="9"/>
      <c r="B676" s="8"/>
      <c r="C676" s="10" t="str">
        <f aca="false">IF(B676="","",IFERROR(VLOOKUP(B676,DonHang!$A$2:$C$500,3,FALSE()),"mã đơn chưa có"))</f>
        <v/>
      </c>
      <c r="D676" s="14"/>
      <c r="E676" s="8"/>
      <c r="F676" s="8"/>
      <c r="G676" s="8"/>
    </row>
    <row r="677" customFormat="false" ht="15" hidden="false" customHeight="false" outlineLevel="0" collapsed="false">
      <c r="A677" s="9"/>
      <c r="B677" s="8"/>
      <c r="C677" s="10" t="str">
        <f aca="false">IF(B677="","",IFERROR(VLOOKUP(B677,DonHang!$A$2:$C$500,3,FALSE()),"mã đơn chưa có"))</f>
        <v/>
      </c>
      <c r="D677" s="14"/>
      <c r="E677" s="8"/>
      <c r="F677" s="8"/>
      <c r="G677" s="8"/>
    </row>
    <row r="678" customFormat="false" ht="15" hidden="false" customHeight="false" outlineLevel="0" collapsed="false">
      <c r="A678" s="9"/>
      <c r="B678" s="8"/>
      <c r="C678" s="10" t="str">
        <f aca="false">IF(B678="","",IFERROR(VLOOKUP(B678,DonHang!$A$2:$C$500,3,FALSE()),"mã đơn chưa có"))</f>
        <v/>
      </c>
      <c r="D678" s="14"/>
      <c r="E678" s="8"/>
      <c r="F678" s="8"/>
      <c r="G678" s="8"/>
    </row>
    <row r="679" customFormat="false" ht="15" hidden="false" customHeight="false" outlineLevel="0" collapsed="false">
      <c r="A679" s="9"/>
      <c r="B679" s="8"/>
      <c r="C679" s="10" t="str">
        <f aca="false">IF(B679="","",IFERROR(VLOOKUP(B679,DonHang!$A$2:$C$500,3,FALSE()),"mã đơn chưa có"))</f>
        <v/>
      </c>
      <c r="D679" s="14"/>
      <c r="E679" s="8"/>
      <c r="F679" s="8"/>
      <c r="G679" s="8"/>
    </row>
    <row r="680" customFormat="false" ht="15" hidden="false" customHeight="false" outlineLevel="0" collapsed="false">
      <c r="A680" s="9"/>
      <c r="B680" s="8"/>
      <c r="C680" s="10" t="str">
        <f aca="false">IF(B680="","",IFERROR(VLOOKUP(B680,DonHang!$A$2:$C$500,3,FALSE()),"mã đơn chưa có"))</f>
        <v/>
      </c>
      <c r="D680" s="14"/>
      <c r="E680" s="8"/>
      <c r="F680" s="8"/>
      <c r="G680" s="8"/>
    </row>
    <row r="681" customFormat="false" ht="15" hidden="false" customHeight="false" outlineLevel="0" collapsed="false">
      <c r="A681" s="9"/>
      <c r="B681" s="8"/>
      <c r="C681" s="10" t="str">
        <f aca="false">IF(B681="","",IFERROR(VLOOKUP(B681,DonHang!$A$2:$C$500,3,FALSE()),"mã đơn chưa có"))</f>
        <v/>
      </c>
      <c r="D681" s="14"/>
      <c r="E681" s="8"/>
      <c r="F681" s="8"/>
      <c r="G681" s="8"/>
    </row>
    <row r="682" customFormat="false" ht="15" hidden="false" customHeight="false" outlineLevel="0" collapsed="false">
      <c r="A682" s="9"/>
      <c r="B682" s="8"/>
      <c r="C682" s="10" t="str">
        <f aca="false">IF(B682="","",IFERROR(VLOOKUP(B682,DonHang!$A$2:$C$500,3,FALSE()),"mã đơn chưa có"))</f>
        <v/>
      </c>
      <c r="D682" s="14"/>
      <c r="E682" s="8"/>
      <c r="F682" s="8"/>
      <c r="G682" s="8"/>
    </row>
    <row r="683" customFormat="false" ht="15" hidden="false" customHeight="false" outlineLevel="0" collapsed="false">
      <c r="A683" s="9"/>
      <c r="B683" s="8"/>
      <c r="C683" s="10" t="str">
        <f aca="false">IF(B683="","",IFERROR(VLOOKUP(B683,DonHang!$A$2:$C$500,3,FALSE()),"mã đơn chưa có"))</f>
        <v/>
      </c>
      <c r="D683" s="14"/>
      <c r="E683" s="8"/>
      <c r="F683" s="8"/>
      <c r="G683" s="8"/>
    </row>
    <row r="684" customFormat="false" ht="15" hidden="false" customHeight="false" outlineLevel="0" collapsed="false">
      <c r="A684" s="9"/>
      <c r="B684" s="8"/>
      <c r="C684" s="10" t="str">
        <f aca="false">IF(B684="","",IFERROR(VLOOKUP(B684,DonHang!$A$2:$C$500,3,FALSE()),"mã đơn chưa có"))</f>
        <v/>
      </c>
      <c r="D684" s="14"/>
      <c r="E684" s="8"/>
      <c r="F684" s="8"/>
      <c r="G684" s="8"/>
    </row>
    <row r="685" customFormat="false" ht="15" hidden="false" customHeight="false" outlineLevel="0" collapsed="false">
      <c r="A685" s="9"/>
      <c r="B685" s="8"/>
      <c r="C685" s="10" t="str">
        <f aca="false">IF(B685="","",IFERROR(VLOOKUP(B685,DonHang!$A$2:$C$500,3,FALSE()),"mã đơn chưa có"))</f>
        <v/>
      </c>
      <c r="D685" s="14"/>
      <c r="E685" s="8"/>
      <c r="F685" s="8"/>
      <c r="G685" s="8"/>
    </row>
    <row r="686" customFormat="false" ht="15" hidden="false" customHeight="false" outlineLevel="0" collapsed="false">
      <c r="A686" s="9"/>
      <c r="B686" s="8"/>
      <c r="C686" s="10" t="str">
        <f aca="false">IF(B686="","",IFERROR(VLOOKUP(B686,DonHang!$A$2:$C$500,3,FALSE()),"mã đơn chưa có"))</f>
        <v/>
      </c>
      <c r="D686" s="14"/>
      <c r="E686" s="8"/>
      <c r="F686" s="8"/>
      <c r="G686" s="8"/>
    </row>
    <row r="687" customFormat="false" ht="15" hidden="false" customHeight="false" outlineLevel="0" collapsed="false">
      <c r="A687" s="9"/>
      <c r="B687" s="8"/>
      <c r="C687" s="10" t="str">
        <f aca="false">IF(B687="","",IFERROR(VLOOKUP(B687,DonHang!$A$2:$C$500,3,FALSE()),"mã đơn chưa có"))</f>
        <v/>
      </c>
      <c r="D687" s="14"/>
      <c r="E687" s="8"/>
      <c r="F687" s="8"/>
      <c r="G687" s="8"/>
    </row>
    <row r="688" customFormat="false" ht="15" hidden="false" customHeight="false" outlineLevel="0" collapsed="false">
      <c r="A688" s="9"/>
      <c r="B688" s="8"/>
      <c r="C688" s="10" t="str">
        <f aca="false">IF(B688="","",IFERROR(VLOOKUP(B688,DonHang!$A$2:$C$500,3,FALSE()),"mã đơn chưa có"))</f>
        <v/>
      </c>
      <c r="D688" s="14"/>
      <c r="E688" s="8"/>
      <c r="F688" s="8"/>
      <c r="G688" s="8"/>
    </row>
    <row r="689" customFormat="false" ht="15" hidden="false" customHeight="false" outlineLevel="0" collapsed="false">
      <c r="A689" s="9"/>
      <c r="B689" s="8"/>
      <c r="C689" s="10" t="str">
        <f aca="false">IF(B689="","",IFERROR(VLOOKUP(B689,DonHang!$A$2:$C$500,3,FALSE()),"mã đơn chưa có"))</f>
        <v/>
      </c>
      <c r="D689" s="14"/>
      <c r="E689" s="8"/>
      <c r="F689" s="8"/>
      <c r="G689" s="8"/>
    </row>
    <row r="690" customFormat="false" ht="15" hidden="false" customHeight="false" outlineLevel="0" collapsed="false">
      <c r="A690" s="9"/>
      <c r="B690" s="8"/>
      <c r="C690" s="10" t="str">
        <f aca="false">IF(B690="","",IFERROR(VLOOKUP(B690,DonHang!$A$2:$C$500,3,FALSE()),"mã đơn chưa có"))</f>
        <v/>
      </c>
      <c r="D690" s="14"/>
      <c r="E690" s="8"/>
      <c r="F690" s="8"/>
      <c r="G690" s="8"/>
    </row>
    <row r="691" customFormat="false" ht="15" hidden="false" customHeight="false" outlineLevel="0" collapsed="false">
      <c r="A691" s="9"/>
      <c r="B691" s="8"/>
      <c r="C691" s="10" t="str">
        <f aca="false">IF(B691="","",IFERROR(VLOOKUP(B691,DonHang!$A$2:$C$500,3,FALSE()),"mã đơn chưa có"))</f>
        <v/>
      </c>
      <c r="D691" s="14"/>
      <c r="E691" s="8"/>
      <c r="F691" s="8"/>
      <c r="G691" s="8"/>
    </row>
    <row r="692" customFormat="false" ht="15" hidden="false" customHeight="false" outlineLevel="0" collapsed="false">
      <c r="A692" s="9"/>
      <c r="B692" s="8"/>
      <c r="C692" s="10" t="str">
        <f aca="false">IF(B692="","",IFERROR(VLOOKUP(B692,DonHang!$A$2:$C$500,3,FALSE()),"mã đơn chưa có"))</f>
        <v/>
      </c>
      <c r="D692" s="14"/>
      <c r="E692" s="8"/>
      <c r="F692" s="8"/>
      <c r="G692" s="8"/>
    </row>
    <row r="693" customFormat="false" ht="15" hidden="false" customHeight="false" outlineLevel="0" collapsed="false">
      <c r="A693" s="9"/>
      <c r="B693" s="8"/>
      <c r="C693" s="10" t="str">
        <f aca="false">IF(B693="","",IFERROR(VLOOKUP(B693,DonHang!$A$2:$C$500,3,FALSE()),"mã đơn chưa có"))</f>
        <v/>
      </c>
      <c r="D693" s="14"/>
      <c r="E693" s="8"/>
      <c r="F693" s="8"/>
      <c r="G693" s="8"/>
    </row>
    <row r="694" customFormat="false" ht="15" hidden="false" customHeight="false" outlineLevel="0" collapsed="false">
      <c r="A694" s="9"/>
      <c r="B694" s="8"/>
      <c r="C694" s="10" t="str">
        <f aca="false">IF(B694="","",IFERROR(VLOOKUP(B694,DonHang!$A$2:$C$500,3,FALSE()),"mã đơn chưa có"))</f>
        <v/>
      </c>
      <c r="D694" s="14"/>
      <c r="E694" s="8"/>
      <c r="F694" s="8"/>
      <c r="G694" s="8"/>
    </row>
    <row r="695" customFormat="false" ht="15" hidden="false" customHeight="false" outlineLevel="0" collapsed="false">
      <c r="A695" s="9"/>
      <c r="B695" s="8"/>
      <c r="C695" s="10" t="str">
        <f aca="false">IF(B695="","",IFERROR(VLOOKUP(B695,DonHang!$A$2:$C$500,3,FALSE()),"mã đơn chưa có"))</f>
        <v/>
      </c>
      <c r="D695" s="14"/>
      <c r="E695" s="8"/>
      <c r="F695" s="8"/>
      <c r="G695" s="8"/>
    </row>
    <row r="696" customFormat="false" ht="15" hidden="false" customHeight="false" outlineLevel="0" collapsed="false">
      <c r="A696" s="9"/>
      <c r="B696" s="8"/>
      <c r="C696" s="10" t="str">
        <f aca="false">IF(B696="","",IFERROR(VLOOKUP(B696,DonHang!$A$2:$C$500,3,FALSE()),"mã đơn chưa có"))</f>
        <v/>
      </c>
      <c r="D696" s="14"/>
      <c r="E696" s="8"/>
      <c r="F696" s="8"/>
      <c r="G696" s="8"/>
    </row>
    <row r="697" customFormat="false" ht="15" hidden="false" customHeight="false" outlineLevel="0" collapsed="false">
      <c r="A697" s="9"/>
      <c r="B697" s="8"/>
      <c r="C697" s="10" t="str">
        <f aca="false">IF(B697="","",IFERROR(VLOOKUP(B697,DonHang!$A$2:$C$500,3,FALSE()),"mã đơn chưa có"))</f>
        <v/>
      </c>
      <c r="D697" s="14"/>
      <c r="E697" s="8"/>
      <c r="F697" s="8"/>
      <c r="G697" s="8"/>
    </row>
    <row r="698" customFormat="false" ht="15" hidden="false" customHeight="false" outlineLevel="0" collapsed="false">
      <c r="A698" s="9"/>
      <c r="B698" s="8"/>
      <c r="C698" s="10" t="str">
        <f aca="false">IF(B698="","",IFERROR(VLOOKUP(B698,DonHang!$A$2:$C$500,3,FALSE()),"mã đơn chưa có"))</f>
        <v/>
      </c>
      <c r="D698" s="14"/>
      <c r="E698" s="8"/>
      <c r="F698" s="8"/>
      <c r="G698" s="8"/>
    </row>
    <row r="699" customFormat="false" ht="15" hidden="false" customHeight="false" outlineLevel="0" collapsed="false">
      <c r="A699" s="9"/>
      <c r="B699" s="8"/>
      <c r="C699" s="10" t="str">
        <f aca="false">IF(B699="","",IFERROR(VLOOKUP(B699,DonHang!$A$2:$C$500,3,FALSE()),"mã đơn chưa có"))</f>
        <v/>
      </c>
      <c r="D699" s="14"/>
      <c r="E699" s="8"/>
      <c r="F699" s="8"/>
      <c r="G699" s="8"/>
    </row>
    <row r="700" customFormat="false" ht="15" hidden="false" customHeight="false" outlineLevel="0" collapsed="false">
      <c r="A700" s="9"/>
      <c r="B700" s="8"/>
      <c r="C700" s="10" t="str">
        <f aca="false">IF(B700="","",IFERROR(VLOOKUP(B700,DonHang!$A$2:$C$500,3,FALSE()),"mã đơn chưa có"))</f>
        <v/>
      </c>
      <c r="D700" s="14"/>
      <c r="E700" s="8"/>
      <c r="F700" s="8"/>
      <c r="G700" s="8"/>
    </row>
    <row r="701" customFormat="false" ht="15" hidden="false" customHeight="false" outlineLevel="0" collapsed="false">
      <c r="A701" s="9"/>
      <c r="B701" s="8"/>
      <c r="C701" s="10" t="str">
        <f aca="false">IF(B701="","",IFERROR(VLOOKUP(B701,DonHang!$A$2:$C$500,3,FALSE()),"mã đơn chưa có"))</f>
        <v/>
      </c>
      <c r="D701" s="14"/>
      <c r="E701" s="8"/>
      <c r="F701" s="8"/>
      <c r="G701" s="8"/>
    </row>
    <row r="702" customFormat="false" ht="15" hidden="false" customHeight="false" outlineLevel="0" collapsed="false">
      <c r="A702" s="9"/>
      <c r="B702" s="8"/>
      <c r="C702" s="10" t="str">
        <f aca="false">IF(B702="","",IFERROR(VLOOKUP(B702,DonHang!$A$2:$C$500,3,FALSE()),"mã đơn chưa có"))</f>
        <v/>
      </c>
      <c r="D702" s="14"/>
      <c r="E702" s="8"/>
      <c r="F702" s="8"/>
      <c r="G702" s="8"/>
    </row>
    <row r="703" customFormat="false" ht="15" hidden="false" customHeight="false" outlineLevel="0" collapsed="false">
      <c r="A703" s="9"/>
      <c r="B703" s="8"/>
      <c r="C703" s="10" t="str">
        <f aca="false">IF(B703="","",IFERROR(VLOOKUP(B703,DonHang!$A$2:$C$500,3,FALSE()),"mã đơn chưa có"))</f>
        <v/>
      </c>
      <c r="D703" s="14"/>
      <c r="E703" s="8"/>
      <c r="F703" s="8"/>
      <c r="G703" s="8"/>
    </row>
    <row r="704" customFormat="false" ht="15" hidden="false" customHeight="false" outlineLevel="0" collapsed="false">
      <c r="A704" s="9"/>
      <c r="B704" s="8"/>
      <c r="C704" s="10" t="str">
        <f aca="false">IF(B704="","",IFERROR(VLOOKUP(B704,DonHang!$A$2:$C$500,3,FALSE()),"mã đơn chưa có"))</f>
        <v/>
      </c>
      <c r="D704" s="14"/>
      <c r="E704" s="8"/>
      <c r="F704" s="8"/>
      <c r="G704" s="8"/>
    </row>
    <row r="705" customFormat="false" ht="15" hidden="false" customHeight="false" outlineLevel="0" collapsed="false">
      <c r="A705" s="9"/>
      <c r="B705" s="8"/>
      <c r="C705" s="10" t="str">
        <f aca="false">IF(B705="","",IFERROR(VLOOKUP(B705,DonHang!$A$2:$C$500,3,FALSE()),"mã đơn chưa có"))</f>
        <v/>
      </c>
      <c r="D705" s="14"/>
      <c r="E705" s="8"/>
      <c r="F705" s="8"/>
      <c r="G705" s="8"/>
    </row>
    <row r="706" customFormat="false" ht="15" hidden="false" customHeight="false" outlineLevel="0" collapsed="false">
      <c r="A706" s="9"/>
      <c r="B706" s="8"/>
      <c r="C706" s="10" t="str">
        <f aca="false">IF(B706="","",IFERROR(VLOOKUP(B706,DonHang!$A$2:$C$500,3,FALSE()),"mã đơn chưa có"))</f>
        <v/>
      </c>
      <c r="D706" s="14"/>
      <c r="E706" s="8"/>
      <c r="F706" s="8"/>
      <c r="G706" s="8"/>
    </row>
    <row r="707" customFormat="false" ht="15" hidden="false" customHeight="false" outlineLevel="0" collapsed="false">
      <c r="A707" s="9"/>
      <c r="B707" s="8"/>
      <c r="C707" s="10" t="str">
        <f aca="false">IF(B707="","",IFERROR(VLOOKUP(B707,DonHang!$A$2:$C$500,3,FALSE()),"mã đơn chưa có"))</f>
        <v/>
      </c>
      <c r="D707" s="14"/>
      <c r="E707" s="8"/>
      <c r="F707" s="8"/>
      <c r="G707" s="8"/>
    </row>
    <row r="708" customFormat="false" ht="15" hidden="false" customHeight="false" outlineLevel="0" collapsed="false">
      <c r="A708" s="9"/>
      <c r="B708" s="8"/>
      <c r="C708" s="10" t="str">
        <f aca="false">IF(B708="","",IFERROR(VLOOKUP(B708,DonHang!$A$2:$C$500,3,FALSE()),"mã đơn chưa có"))</f>
        <v/>
      </c>
      <c r="D708" s="14"/>
      <c r="E708" s="8"/>
      <c r="F708" s="8"/>
      <c r="G708" s="8"/>
    </row>
    <row r="709" customFormat="false" ht="15" hidden="false" customHeight="false" outlineLevel="0" collapsed="false">
      <c r="A709" s="9"/>
      <c r="B709" s="8"/>
      <c r="C709" s="10" t="str">
        <f aca="false">IF(B709="","",IFERROR(VLOOKUP(B709,DonHang!$A$2:$C$500,3,FALSE()),"mã đơn chưa có"))</f>
        <v/>
      </c>
      <c r="D709" s="14"/>
      <c r="E709" s="8"/>
      <c r="F709" s="8"/>
      <c r="G709" s="8"/>
    </row>
    <row r="710" customFormat="false" ht="15" hidden="false" customHeight="false" outlineLevel="0" collapsed="false">
      <c r="A710" s="9"/>
      <c r="B710" s="8"/>
      <c r="C710" s="10" t="str">
        <f aca="false">IF(B710="","",IFERROR(VLOOKUP(B710,DonHang!$A$2:$C$500,3,FALSE()),"mã đơn chưa có"))</f>
        <v/>
      </c>
      <c r="D710" s="14"/>
      <c r="E710" s="8"/>
      <c r="F710" s="8"/>
      <c r="G710" s="8"/>
    </row>
    <row r="711" customFormat="false" ht="15" hidden="false" customHeight="false" outlineLevel="0" collapsed="false">
      <c r="A711" s="9"/>
      <c r="B711" s="8"/>
      <c r="C711" s="10" t="str">
        <f aca="false">IF(B711="","",IFERROR(VLOOKUP(B711,DonHang!$A$2:$C$500,3,FALSE()),"mã đơn chưa có"))</f>
        <v/>
      </c>
      <c r="D711" s="14"/>
      <c r="E711" s="8"/>
      <c r="F711" s="8"/>
      <c r="G711" s="8"/>
    </row>
    <row r="712" customFormat="false" ht="15" hidden="false" customHeight="false" outlineLevel="0" collapsed="false">
      <c r="A712" s="9"/>
      <c r="B712" s="8"/>
      <c r="C712" s="10" t="str">
        <f aca="false">IF(B712="","",IFERROR(VLOOKUP(B712,DonHang!$A$2:$C$500,3,FALSE()),"mã đơn chưa có"))</f>
        <v/>
      </c>
      <c r="D712" s="14"/>
      <c r="E712" s="8"/>
      <c r="F712" s="8"/>
      <c r="G712" s="8"/>
    </row>
    <row r="713" customFormat="false" ht="15" hidden="false" customHeight="false" outlineLevel="0" collapsed="false">
      <c r="A713" s="9"/>
      <c r="B713" s="8"/>
      <c r="C713" s="10" t="str">
        <f aca="false">IF(B713="","",IFERROR(VLOOKUP(B713,DonHang!$A$2:$C$500,3,FALSE()),"mã đơn chưa có"))</f>
        <v/>
      </c>
      <c r="D713" s="14"/>
      <c r="E713" s="8"/>
      <c r="F713" s="8"/>
      <c r="G713" s="8"/>
    </row>
    <row r="714" customFormat="false" ht="15" hidden="false" customHeight="false" outlineLevel="0" collapsed="false">
      <c r="A714" s="9"/>
      <c r="B714" s="8"/>
      <c r="C714" s="10" t="str">
        <f aca="false">IF(B714="","",IFERROR(VLOOKUP(B714,DonHang!$A$2:$C$500,3,FALSE()),"mã đơn chưa có"))</f>
        <v/>
      </c>
      <c r="D714" s="14"/>
      <c r="E714" s="8"/>
      <c r="F714" s="8"/>
      <c r="G714" s="8"/>
    </row>
    <row r="715" customFormat="false" ht="15" hidden="false" customHeight="false" outlineLevel="0" collapsed="false">
      <c r="A715" s="9"/>
      <c r="B715" s="8"/>
      <c r="C715" s="10" t="str">
        <f aca="false">IF(B715="","",IFERROR(VLOOKUP(B715,DonHang!$A$2:$C$500,3,FALSE()),"mã đơn chưa có"))</f>
        <v/>
      </c>
      <c r="D715" s="14"/>
      <c r="E715" s="8"/>
      <c r="F715" s="8"/>
      <c r="G715" s="8"/>
    </row>
    <row r="716" customFormat="false" ht="15" hidden="false" customHeight="false" outlineLevel="0" collapsed="false">
      <c r="A716" s="9"/>
      <c r="B716" s="8"/>
      <c r="C716" s="10" t="str">
        <f aca="false">IF(B716="","",IFERROR(VLOOKUP(B716,DonHang!$A$2:$C$500,3,FALSE()),"mã đơn chưa có"))</f>
        <v/>
      </c>
      <c r="D716" s="14"/>
      <c r="E716" s="8"/>
      <c r="F716" s="8"/>
      <c r="G716" s="8"/>
    </row>
    <row r="717" customFormat="false" ht="15" hidden="false" customHeight="false" outlineLevel="0" collapsed="false">
      <c r="A717" s="9"/>
      <c r="B717" s="8"/>
      <c r="C717" s="10" t="str">
        <f aca="false">IF(B717="","",IFERROR(VLOOKUP(B717,DonHang!$A$2:$C$500,3,FALSE()),"mã đơn chưa có"))</f>
        <v/>
      </c>
      <c r="D717" s="14"/>
      <c r="E717" s="8"/>
      <c r="F717" s="8"/>
      <c r="G717" s="8"/>
    </row>
    <row r="718" customFormat="false" ht="15" hidden="false" customHeight="false" outlineLevel="0" collapsed="false">
      <c r="A718" s="9"/>
      <c r="B718" s="8"/>
      <c r="C718" s="10" t="str">
        <f aca="false">IF(B718="","",IFERROR(VLOOKUP(B718,DonHang!$A$2:$C$500,3,FALSE()),"mã đơn chưa có"))</f>
        <v/>
      </c>
      <c r="D718" s="14"/>
      <c r="E718" s="8"/>
      <c r="F718" s="8"/>
      <c r="G718" s="8"/>
    </row>
    <row r="719" customFormat="false" ht="15" hidden="false" customHeight="false" outlineLevel="0" collapsed="false">
      <c r="A719" s="9"/>
      <c r="B719" s="8"/>
      <c r="C719" s="10" t="str">
        <f aca="false">IF(B719="","",IFERROR(VLOOKUP(B719,DonHang!$A$2:$C$500,3,FALSE()),"mã đơn chưa có"))</f>
        <v/>
      </c>
      <c r="D719" s="14"/>
      <c r="E719" s="8"/>
      <c r="F719" s="8"/>
      <c r="G719" s="8"/>
    </row>
    <row r="720" customFormat="false" ht="15" hidden="false" customHeight="false" outlineLevel="0" collapsed="false">
      <c r="A720" s="9"/>
      <c r="B720" s="8"/>
      <c r="C720" s="10" t="str">
        <f aca="false">IF(B720="","",IFERROR(VLOOKUP(B720,DonHang!$A$2:$C$500,3,FALSE()),"mã đơn chưa có"))</f>
        <v/>
      </c>
      <c r="D720" s="14"/>
      <c r="E720" s="8"/>
      <c r="F720" s="8"/>
      <c r="G720" s="8"/>
    </row>
    <row r="721" customFormat="false" ht="15" hidden="false" customHeight="false" outlineLevel="0" collapsed="false">
      <c r="A721" s="9"/>
      <c r="B721" s="8"/>
      <c r="C721" s="10" t="str">
        <f aca="false">IF(B721="","",IFERROR(VLOOKUP(B721,DonHang!$A$2:$C$500,3,FALSE()),"mã đơn chưa có"))</f>
        <v/>
      </c>
      <c r="D721" s="14"/>
      <c r="E721" s="8"/>
      <c r="F721" s="8"/>
      <c r="G721" s="8"/>
    </row>
    <row r="722" customFormat="false" ht="15" hidden="false" customHeight="false" outlineLevel="0" collapsed="false">
      <c r="A722" s="9"/>
      <c r="B722" s="8"/>
      <c r="C722" s="10" t="str">
        <f aca="false">IF(B722="","",IFERROR(VLOOKUP(B722,DonHang!$A$2:$C$500,3,FALSE()),"mã đơn chưa có"))</f>
        <v/>
      </c>
      <c r="D722" s="14"/>
      <c r="E722" s="8"/>
      <c r="F722" s="8"/>
      <c r="G722" s="8"/>
    </row>
    <row r="723" customFormat="false" ht="15" hidden="false" customHeight="false" outlineLevel="0" collapsed="false">
      <c r="A723" s="9"/>
      <c r="B723" s="8"/>
      <c r="C723" s="10" t="str">
        <f aca="false">IF(B723="","",IFERROR(VLOOKUP(B723,DonHang!$A$2:$C$500,3,FALSE()),"mã đơn chưa có"))</f>
        <v/>
      </c>
      <c r="D723" s="14"/>
      <c r="E723" s="8"/>
      <c r="F723" s="8"/>
      <c r="G723" s="8"/>
    </row>
    <row r="724" customFormat="false" ht="15" hidden="false" customHeight="false" outlineLevel="0" collapsed="false">
      <c r="A724" s="9"/>
      <c r="B724" s="8"/>
      <c r="C724" s="10" t="str">
        <f aca="false">IF(B724="","",IFERROR(VLOOKUP(B724,DonHang!$A$2:$C$500,3,FALSE()),"mã đơn chưa có"))</f>
        <v/>
      </c>
      <c r="D724" s="14"/>
      <c r="E724" s="8"/>
      <c r="F724" s="8"/>
      <c r="G724" s="8"/>
    </row>
    <row r="725" customFormat="false" ht="15" hidden="false" customHeight="false" outlineLevel="0" collapsed="false">
      <c r="A725" s="9"/>
      <c r="B725" s="8"/>
      <c r="C725" s="10" t="str">
        <f aca="false">IF(B725="","",IFERROR(VLOOKUP(B725,DonHang!$A$2:$C$500,3,FALSE()),"mã đơn chưa có"))</f>
        <v/>
      </c>
      <c r="D725" s="14"/>
      <c r="E725" s="8"/>
      <c r="F725" s="8"/>
      <c r="G725" s="8"/>
    </row>
    <row r="726" customFormat="false" ht="15" hidden="false" customHeight="false" outlineLevel="0" collapsed="false">
      <c r="A726" s="9"/>
      <c r="B726" s="8"/>
      <c r="C726" s="10" t="str">
        <f aca="false">IF(B726="","",IFERROR(VLOOKUP(B726,DonHang!$A$2:$C$500,3,FALSE()),"mã đơn chưa có"))</f>
        <v/>
      </c>
      <c r="D726" s="14"/>
      <c r="E726" s="8"/>
      <c r="F726" s="8"/>
      <c r="G726" s="8"/>
    </row>
    <row r="727" customFormat="false" ht="15" hidden="false" customHeight="false" outlineLevel="0" collapsed="false">
      <c r="A727" s="9"/>
      <c r="B727" s="8"/>
      <c r="C727" s="10" t="str">
        <f aca="false">IF(B727="","",IFERROR(VLOOKUP(B727,DonHang!$A$2:$C$500,3,FALSE()),"mã đơn chưa có"))</f>
        <v/>
      </c>
      <c r="D727" s="14"/>
      <c r="E727" s="8"/>
      <c r="F727" s="8"/>
      <c r="G727" s="8"/>
    </row>
    <row r="728" customFormat="false" ht="15" hidden="false" customHeight="false" outlineLevel="0" collapsed="false">
      <c r="A728" s="9"/>
      <c r="B728" s="8"/>
      <c r="C728" s="10" t="str">
        <f aca="false">IF(B728="","",IFERROR(VLOOKUP(B728,DonHang!$A$2:$C$500,3,FALSE()),"mã đơn chưa có"))</f>
        <v/>
      </c>
      <c r="D728" s="14"/>
      <c r="E728" s="8"/>
      <c r="F728" s="8"/>
      <c r="G728" s="8"/>
    </row>
    <row r="729" customFormat="false" ht="15" hidden="false" customHeight="false" outlineLevel="0" collapsed="false">
      <c r="A729" s="9"/>
      <c r="B729" s="8"/>
      <c r="C729" s="10" t="str">
        <f aca="false">IF(B729="","",IFERROR(VLOOKUP(B729,DonHang!$A$2:$C$500,3,FALSE()),"mã đơn chưa có"))</f>
        <v/>
      </c>
      <c r="D729" s="14"/>
      <c r="E729" s="8"/>
      <c r="F729" s="8"/>
      <c r="G729" s="8"/>
    </row>
    <row r="730" customFormat="false" ht="15" hidden="false" customHeight="false" outlineLevel="0" collapsed="false">
      <c r="A730" s="9"/>
      <c r="B730" s="8"/>
      <c r="C730" s="10" t="str">
        <f aca="false">IF(B730="","",IFERROR(VLOOKUP(B730,DonHang!$A$2:$C$500,3,FALSE()),"mã đơn chưa có"))</f>
        <v/>
      </c>
      <c r="D730" s="14"/>
      <c r="E730" s="8"/>
      <c r="F730" s="8"/>
      <c r="G730" s="8"/>
    </row>
    <row r="731" customFormat="false" ht="15" hidden="false" customHeight="false" outlineLevel="0" collapsed="false">
      <c r="A731" s="9"/>
      <c r="B731" s="8"/>
      <c r="C731" s="10" t="str">
        <f aca="false">IF(B731="","",IFERROR(VLOOKUP(B731,DonHang!$A$2:$C$500,3,FALSE()),"mã đơn chưa có"))</f>
        <v/>
      </c>
      <c r="D731" s="14"/>
      <c r="E731" s="8"/>
      <c r="F731" s="8"/>
      <c r="G731" s="8"/>
    </row>
    <row r="732" customFormat="false" ht="15" hidden="false" customHeight="false" outlineLevel="0" collapsed="false">
      <c r="A732" s="9"/>
      <c r="B732" s="8"/>
      <c r="C732" s="10" t="str">
        <f aca="false">IF(B732="","",IFERROR(VLOOKUP(B732,DonHang!$A$2:$C$500,3,FALSE()),"mã đơn chưa có"))</f>
        <v/>
      </c>
      <c r="D732" s="14"/>
      <c r="E732" s="8"/>
      <c r="F732" s="8"/>
      <c r="G732" s="8"/>
    </row>
    <row r="733" customFormat="false" ht="15" hidden="false" customHeight="false" outlineLevel="0" collapsed="false">
      <c r="A733" s="9"/>
      <c r="B733" s="8"/>
      <c r="C733" s="10" t="str">
        <f aca="false">IF(B733="","",IFERROR(VLOOKUP(B733,DonHang!$A$2:$C$500,3,FALSE()),"mã đơn chưa có"))</f>
        <v/>
      </c>
      <c r="D733" s="14"/>
      <c r="E733" s="8"/>
      <c r="F733" s="8"/>
      <c r="G733" s="8"/>
    </row>
    <row r="734" customFormat="false" ht="15" hidden="false" customHeight="false" outlineLevel="0" collapsed="false">
      <c r="A734" s="9"/>
      <c r="B734" s="8"/>
      <c r="C734" s="10" t="str">
        <f aca="false">IF(B734="","",IFERROR(VLOOKUP(B734,DonHang!$A$2:$C$500,3,FALSE()),"mã đơn chưa có"))</f>
        <v/>
      </c>
      <c r="D734" s="14"/>
      <c r="E734" s="8"/>
      <c r="F734" s="8"/>
      <c r="G734" s="8"/>
    </row>
    <row r="735" customFormat="false" ht="15" hidden="false" customHeight="false" outlineLevel="0" collapsed="false">
      <c r="A735" s="9"/>
      <c r="B735" s="8"/>
      <c r="C735" s="10" t="str">
        <f aca="false">IF(B735="","",IFERROR(VLOOKUP(B735,DonHang!$A$2:$C$500,3,FALSE()),"mã đơn chưa có"))</f>
        <v/>
      </c>
      <c r="D735" s="14"/>
      <c r="E735" s="8"/>
      <c r="F735" s="8"/>
      <c r="G735" s="8"/>
    </row>
    <row r="736" customFormat="false" ht="15" hidden="false" customHeight="false" outlineLevel="0" collapsed="false">
      <c r="A736" s="9"/>
      <c r="B736" s="8"/>
      <c r="C736" s="10" t="str">
        <f aca="false">IF(B736="","",IFERROR(VLOOKUP(B736,DonHang!$A$2:$C$500,3,FALSE()),"mã đơn chưa có"))</f>
        <v/>
      </c>
      <c r="D736" s="14"/>
      <c r="E736" s="8"/>
      <c r="F736" s="8"/>
      <c r="G736" s="8"/>
    </row>
    <row r="737" customFormat="false" ht="15" hidden="false" customHeight="false" outlineLevel="0" collapsed="false">
      <c r="A737" s="9"/>
      <c r="B737" s="8"/>
      <c r="C737" s="10" t="str">
        <f aca="false">IF(B737="","",IFERROR(VLOOKUP(B737,DonHang!$A$2:$C$500,3,FALSE()),"mã đơn chưa có"))</f>
        <v/>
      </c>
      <c r="D737" s="14"/>
      <c r="E737" s="8"/>
      <c r="F737" s="8"/>
      <c r="G737" s="8"/>
    </row>
    <row r="738" customFormat="false" ht="15" hidden="false" customHeight="false" outlineLevel="0" collapsed="false">
      <c r="A738" s="9"/>
      <c r="B738" s="8"/>
      <c r="C738" s="10" t="str">
        <f aca="false">IF(B738="","",IFERROR(VLOOKUP(B738,DonHang!$A$2:$C$500,3,FALSE()),"mã đơn chưa có"))</f>
        <v/>
      </c>
      <c r="D738" s="14"/>
      <c r="E738" s="8"/>
      <c r="F738" s="8"/>
      <c r="G738" s="8"/>
    </row>
    <row r="739" customFormat="false" ht="15" hidden="false" customHeight="false" outlineLevel="0" collapsed="false">
      <c r="A739" s="9"/>
      <c r="B739" s="8"/>
      <c r="C739" s="10" t="str">
        <f aca="false">IF(B739="","",IFERROR(VLOOKUP(B739,DonHang!$A$2:$C$500,3,FALSE()),"mã đơn chưa có"))</f>
        <v/>
      </c>
      <c r="D739" s="14"/>
      <c r="E739" s="8"/>
      <c r="F739" s="8"/>
      <c r="G739" s="8"/>
    </row>
    <row r="740" customFormat="false" ht="15" hidden="false" customHeight="false" outlineLevel="0" collapsed="false">
      <c r="A740" s="9"/>
      <c r="B740" s="8"/>
      <c r="C740" s="10" t="str">
        <f aca="false">IF(B740="","",IFERROR(VLOOKUP(B740,DonHang!$A$2:$C$500,3,FALSE()),"mã đơn chưa có"))</f>
        <v/>
      </c>
      <c r="D740" s="14"/>
      <c r="E740" s="8"/>
      <c r="F740" s="8"/>
      <c r="G740" s="8"/>
    </row>
    <row r="741" customFormat="false" ht="15" hidden="false" customHeight="false" outlineLevel="0" collapsed="false">
      <c r="A741" s="9"/>
      <c r="B741" s="8"/>
      <c r="C741" s="10" t="str">
        <f aca="false">IF(B741="","",IFERROR(VLOOKUP(B741,DonHang!$A$2:$C$500,3,FALSE()),"mã đơn chưa có"))</f>
        <v/>
      </c>
      <c r="D741" s="14"/>
      <c r="E741" s="8"/>
      <c r="F741" s="8"/>
      <c r="G741" s="8"/>
    </row>
    <row r="742" customFormat="false" ht="15" hidden="false" customHeight="false" outlineLevel="0" collapsed="false">
      <c r="A742" s="9"/>
      <c r="B742" s="8"/>
      <c r="C742" s="10" t="str">
        <f aca="false">IF(B742="","",IFERROR(VLOOKUP(B742,DonHang!$A$2:$C$500,3,FALSE()),"mã đơn chưa có"))</f>
        <v/>
      </c>
      <c r="D742" s="14"/>
      <c r="E742" s="8"/>
      <c r="F742" s="8"/>
      <c r="G742" s="8"/>
    </row>
    <row r="743" customFormat="false" ht="15" hidden="false" customHeight="false" outlineLevel="0" collapsed="false">
      <c r="A743" s="9"/>
      <c r="B743" s="8"/>
      <c r="C743" s="10" t="str">
        <f aca="false">IF(B743="","",IFERROR(VLOOKUP(B743,DonHang!$A$2:$C$500,3,FALSE()),"mã đơn chưa có"))</f>
        <v/>
      </c>
      <c r="D743" s="14"/>
      <c r="E743" s="8"/>
      <c r="F743" s="8"/>
      <c r="G743" s="8"/>
    </row>
    <row r="744" customFormat="false" ht="15" hidden="false" customHeight="false" outlineLevel="0" collapsed="false">
      <c r="A744" s="9"/>
      <c r="B744" s="8"/>
      <c r="C744" s="10" t="str">
        <f aca="false">IF(B744="","",IFERROR(VLOOKUP(B744,DonHang!$A$2:$C$500,3,FALSE()),"mã đơn chưa có"))</f>
        <v/>
      </c>
      <c r="D744" s="14"/>
      <c r="E744" s="8"/>
      <c r="F744" s="8"/>
      <c r="G744" s="8"/>
    </row>
    <row r="745" customFormat="false" ht="15" hidden="false" customHeight="false" outlineLevel="0" collapsed="false">
      <c r="A745" s="9"/>
      <c r="B745" s="8"/>
      <c r="C745" s="10" t="str">
        <f aca="false">IF(B745="","",IFERROR(VLOOKUP(B745,DonHang!$A$2:$C$500,3,FALSE()),"mã đơn chưa có"))</f>
        <v/>
      </c>
      <c r="D745" s="14"/>
      <c r="E745" s="8"/>
      <c r="F745" s="8"/>
      <c r="G745" s="8"/>
    </row>
    <row r="746" customFormat="false" ht="15" hidden="false" customHeight="false" outlineLevel="0" collapsed="false">
      <c r="A746" s="9"/>
      <c r="B746" s="8"/>
      <c r="C746" s="10" t="str">
        <f aca="false">IF(B746="","",IFERROR(VLOOKUP(B746,DonHang!$A$2:$C$500,3,FALSE()),"mã đơn chưa có"))</f>
        <v/>
      </c>
      <c r="D746" s="14"/>
      <c r="E746" s="8"/>
      <c r="F746" s="8"/>
      <c r="G746" s="8"/>
    </row>
    <row r="747" customFormat="false" ht="15" hidden="false" customHeight="false" outlineLevel="0" collapsed="false">
      <c r="A747" s="9"/>
      <c r="B747" s="8"/>
      <c r="C747" s="10" t="str">
        <f aca="false">IF(B747="","",IFERROR(VLOOKUP(B747,DonHang!$A$2:$C$500,3,FALSE()),"mã đơn chưa có"))</f>
        <v/>
      </c>
      <c r="D747" s="14"/>
      <c r="E747" s="8"/>
      <c r="F747" s="8"/>
      <c r="G747" s="8"/>
    </row>
    <row r="748" customFormat="false" ht="15" hidden="false" customHeight="false" outlineLevel="0" collapsed="false">
      <c r="A748" s="9"/>
      <c r="B748" s="8"/>
      <c r="C748" s="10" t="str">
        <f aca="false">IF(B748="","",IFERROR(VLOOKUP(B748,DonHang!$A$2:$C$500,3,FALSE()),"mã đơn chưa có"))</f>
        <v/>
      </c>
      <c r="D748" s="14"/>
      <c r="E748" s="8"/>
      <c r="F748" s="8"/>
      <c r="G748" s="8"/>
    </row>
    <row r="749" customFormat="false" ht="15" hidden="false" customHeight="false" outlineLevel="0" collapsed="false">
      <c r="A749" s="9"/>
      <c r="B749" s="8"/>
      <c r="C749" s="10" t="str">
        <f aca="false">IF(B749="","",IFERROR(VLOOKUP(B749,DonHang!$A$2:$C$500,3,FALSE()),"mã đơn chưa có"))</f>
        <v/>
      </c>
      <c r="D749" s="14"/>
      <c r="E749" s="8"/>
      <c r="F749" s="8"/>
      <c r="G749" s="8"/>
    </row>
    <row r="750" customFormat="false" ht="15" hidden="false" customHeight="false" outlineLevel="0" collapsed="false">
      <c r="A750" s="9"/>
      <c r="B750" s="8"/>
      <c r="C750" s="10" t="str">
        <f aca="false">IF(B750="","",IFERROR(VLOOKUP(B750,DonHang!$A$2:$C$500,3,FALSE()),"mã đơn chưa có"))</f>
        <v/>
      </c>
      <c r="D750" s="14"/>
      <c r="E750" s="8"/>
      <c r="F750" s="8"/>
      <c r="G750" s="8"/>
    </row>
    <row r="751" customFormat="false" ht="15" hidden="false" customHeight="false" outlineLevel="0" collapsed="false">
      <c r="A751" s="9"/>
      <c r="B751" s="8"/>
      <c r="C751" s="10" t="str">
        <f aca="false">IF(B751="","",IFERROR(VLOOKUP(B751,DonHang!$A$2:$C$500,3,FALSE()),"mã đơn chưa có"))</f>
        <v/>
      </c>
      <c r="D751" s="14"/>
      <c r="E751" s="8"/>
      <c r="F751" s="8"/>
      <c r="G751" s="8"/>
    </row>
    <row r="752" customFormat="false" ht="15" hidden="false" customHeight="false" outlineLevel="0" collapsed="false">
      <c r="A752" s="9"/>
      <c r="B752" s="8"/>
      <c r="C752" s="10" t="str">
        <f aca="false">IF(B752="","",IFERROR(VLOOKUP(B752,DonHang!$A$2:$C$500,3,FALSE()),"mã đơn chưa có"))</f>
        <v/>
      </c>
      <c r="D752" s="14"/>
      <c r="E752" s="8"/>
      <c r="F752" s="8"/>
      <c r="G752" s="8"/>
    </row>
    <row r="753" customFormat="false" ht="15" hidden="false" customHeight="false" outlineLevel="0" collapsed="false">
      <c r="A753" s="9"/>
      <c r="B753" s="8"/>
      <c r="C753" s="10" t="str">
        <f aca="false">IF(B753="","",IFERROR(VLOOKUP(B753,DonHang!$A$2:$C$500,3,FALSE()),"mã đơn chưa có"))</f>
        <v/>
      </c>
      <c r="D753" s="14"/>
      <c r="E753" s="8"/>
      <c r="F753" s="8"/>
      <c r="G753" s="8"/>
    </row>
    <row r="754" customFormat="false" ht="15" hidden="false" customHeight="false" outlineLevel="0" collapsed="false">
      <c r="A754" s="9"/>
      <c r="B754" s="8"/>
      <c r="C754" s="10" t="str">
        <f aca="false">IF(B754="","",IFERROR(VLOOKUP(B754,DonHang!$A$2:$C$500,3,FALSE()),"mã đơn chưa có"))</f>
        <v/>
      </c>
      <c r="D754" s="14"/>
      <c r="E754" s="8"/>
      <c r="F754" s="8"/>
      <c r="G754" s="8"/>
    </row>
    <row r="755" customFormat="false" ht="15" hidden="false" customHeight="false" outlineLevel="0" collapsed="false">
      <c r="A755" s="9"/>
      <c r="B755" s="8"/>
      <c r="C755" s="10" t="str">
        <f aca="false">IF(B755="","",IFERROR(VLOOKUP(B755,DonHang!$A$2:$C$500,3,FALSE()),"mã đơn chưa có"))</f>
        <v/>
      </c>
      <c r="D755" s="14"/>
      <c r="E755" s="8"/>
      <c r="F755" s="8"/>
      <c r="G755" s="8"/>
    </row>
    <row r="756" customFormat="false" ht="15" hidden="false" customHeight="false" outlineLevel="0" collapsed="false">
      <c r="A756" s="9"/>
      <c r="B756" s="8"/>
      <c r="C756" s="10" t="str">
        <f aca="false">IF(B756="","",IFERROR(VLOOKUP(B756,DonHang!$A$2:$C$500,3,FALSE()),"mã đơn chưa có"))</f>
        <v/>
      </c>
      <c r="D756" s="14"/>
      <c r="E756" s="8"/>
      <c r="F756" s="8"/>
      <c r="G756" s="8"/>
    </row>
    <row r="757" customFormat="false" ht="15" hidden="false" customHeight="false" outlineLevel="0" collapsed="false">
      <c r="A757" s="9"/>
      <c r="B757" s="8"/>
      <c r="C757" s="10" t="str">
        <f aca="false">IF(B757="","",IFERROR(VLOOKUP(B757,DonHang!$A$2:$C$500,3,FALSE()),"mã đơn chưa có"))</f>
        <v/>
      </c>
      <c r="D757" s="14"/>
      <c r="E757" s="8"/>
      <c r="F757" s="8"/>
      <c r="G757" s="8"/>
    </row>
    <row r="758" customFormat="false" ht="15" hidden="false" customHeight="false" outlineLevel="0" collapsed="false">
      <c r="A758" s="9"/>
      <c r="B758" s="8"/>
      <c r="C758" s="10" t="str">
        <f aca="false">IF(B758="","",IFERROR(VLOOKUP(B758,DonHang!$A$2:$C$500,3,FALSE()),"mã đơn chưa có"))</f>
        <v/>
      </c>
      <c r="D758" s="14"/>
      <c r="E758" s="8"/>
      <c r="F758" s="8"/>
      <c r="G758" s="8"/>
    </row>
    <row r="759" customFormat="false" ht="15" hidden="false" customHeight="false" outlineLevel="0" collapsed="false">
      <c r="A759" s="9"/>
      <c r="B759" s="8"/>
      <c r="C759" s="10" t="str">
        <f aca="false">IF(B759="","",IFERROR(VLOOKUP(B759,DonHang!$A$2:$C$500,3,FALSE()),"mã đơn chưa có"))</f>
        <v/>
      </c>
      <c r="D759" s="14"/>
      <c r="E759" s="8"/>
      <c r="F759" s="8"/>
      <c r="G759" s="8"/>
    </row>
    <row r="760" customFormat="false" ht="15" hidden="false" customHeight="false" outlineLevel="0" collapsed="false">
      <c r="A760" s="9"/>
      <c r="B760" s="8"/>
      <c r="C760" s="10" t="str">
        <f aca="false">IF(B760="","",IFERROR(VLOOKUP(B760,DonHang!$A$2:$C$500,3,FALSE()),"mã đơn chưa có"))</f>
        <v/>
      </c>
      <c r="D760" s="14"/>
      <c r="E760" s="8"/>
      <c r="F760" s="8"/>
      <c r="G760" s="8"/>
    </row>
    <row r="761" customFormat="false" ht="15" hidden="false" customHeight="false" outlineLevel="0" collapsed="false">
      <c r="A761" s="9"/>
      <c r="B761" s="8"/>
      <c r="C761" s="10" t="str">
        <f aca="false">IF(B761="","",IFERROR(VLOOKUP(B761,DonHang!$A$2:$C$500,3,FALSE()),"mã đơn chưa có"))</f>
        <v/>
      </c>
      <c r="D761" s="14"/>
      <c r="E761" s="8"/>
      <c r="F761" s="8"/>
      <c r="G761" s="8"/>
    </row>
    <row r="762" customFormat="false" ht="15" hidden="false" customHeight="false" outlineLevel="0" collapsed="false">
      <c r="A762" s="9"/>
      <c r="B762" s="8"/>
      <c r="C762" s="10" t="str">
        <f aca="false">IF(B762="","",IFERROR(VLOOKUP(B762,DonHang!$A$2:$C$500,3,FALSE()),"mã đơn chưa có"))</f>
        <v/>
      </c>
      <c r="D762" s="14"/>
      <c r="E762" s="8"/>
      <c r="F762" s="8"/>
      <c r="G762" s="8"/>
    </row>
    <row r="763" customFormat="false" ht="15" hidden="false" customHeight="false" outlineLevel="0" collapsed="false">
      <c r="A763" s="9"/>
      <c r="B763" s="8"/>
      <c r="C763" s="10" t="str">
        <f aca="false">IF(B763="","",IFERROR(VLOOKUP(B763,DonHang!$A$2:$C$500,3,FALSE()),"mã đơn chưa có"))</f>
        <v/>
      </c>
      <c r="D763" s="14"/>
      <c r="E763" s="8"/>
      <c r="F763" s="8"/>
      <c r="G763" s="8"/>
    </row>
    <row r="764" customFormat="false" ht="15" hidden="false" customHeight="false" outlineLevel="0" collapsed="false">
      <c r="A764" s="9"/>
      <c r="B764" s="8"/>
      <c r="C764" s="10" t="str">
        <f aca="false">IF(B764="","",IFERROR(VLOOKUP(B764,DonHang!$A$2:$C$500,3,FALSE()),"mã đơn chưa có"))</f>
        <v/>
      </c>
      <c r="D764" s="14"/>
      <c r="E764" s="8"/>
      <c r="F764" s="8"/>
      <c r="G764" s="8"/>
    </row>
    <row r="765" customFormat="false" ht="15" hidden="false" customHeight="false" outlineLevel="0" collapsed="false">
      <c r="A765" s="9"/>
      <c r="B765" s="8"/>
      <c r="C765" s="10" t="str">
        <f aca="false">IF(B765="","",IFERROR(VLOOKUP(B765,DonHang!$A$2:$C$500,3,FALSE()),"mã đơn chưa có"))</f>
        <v/>
      </c>
      <c r="D765" s="14"/>
      <c r="E765" s="8"/>
      <c r="F765" s="8"/>
      <c r="G765" s="8"/>
    </row>
    <row r="766" customFormat="false" ht="15" hidden="false" customHeight="false" outlineLevel="0" collapsed="false">
      <c r="A766" s="9"/>
      <c r="B766" s="8"/>
      <c r="C766" s="10" t="str">
        <f aca="false">IF(B766="","",IFERROR(VLOOKUP(B766,DonHang!$A$2:$C$500,3,FALSE()),"mã đơn chưa có"))</f>
        <v/>
      </c>
      <c r="D766" s="14"/>
      <c r="E766" s="8"/>
      <c r="F766" s="8"/>
      <c r="G766" s="8"/>
    </row>
    <row r="767" customFormat="false" ht="15" hidden="false" customHeight="false" outlineLevel="0" collapsed="false">
      <c r="A767" s="9"/>
      <c r="B767" s="8"/>
      <c r="C767" s="10" t="str">
        <f aca="false">IF(B767="","",IFERROR(VLOOKUP(B767,DonHang!$A$2:$C$500,3,FALSE()),"mã đơn chưa có"))</f>
        <v/>
      </c>
      <c r="D767" s="14"/>
      <c r="E767" s="8"/>
      <c r="F767" s="8"/>
      <c r="G767" s="8"/>
    </row>
    <row r="768" customFormat="false" ht="15" hidden="false" customHeight="false" outlineLevel="0" collapsed="false">
      <c r="A768" s="9"/>
      <c r="B768" s="8"/>
      <c r="C768" s="10" t="str">
        <f aca="false">IF(B768="","",IFERROR(VLOOKUP(B768,DonHang!$A$2:$C$500,3,FALSE()),"mã đơn chưa có"))</f>
        <v/>
      </c>
      <c r="D768" s="14"/>
      <c r="E768" s="8"/>
      <c r="F768" s="8"/>
      <c r="G768" s="8"/>
    </row>
    <row r="769" customFormat="false" ht="15" hidden="false" customHeight="false" outlineLevel="0" collapsed="false">
      <c r="A769" s="9"/>
      <c r="B769" s="8"/>
      <c r="C769" s="10" t="str">
        <f aca="false">IF(B769="","",IFERROR(VLOOKUP(B769,DonHang!$A$2:$C$500,3,FALSE()),"mã đơn chưa có"))</f>
        <v/>
      </c>
      <c r="D769" s="14"/>
      <c r="E769" s="8"/>
      <c r="F769" s="8"/>
      <c r="G769" s="8"/>
    </row>
    <row r="770" customFormat="false" ht="15" hidden="false" customHeight="false" outlineLevel="0" collapsed="false">
      <c r="A770" s="9"/>
      <c r="B770" s="8"/>
      <c r="C770" s="10" t="str">
        <f aca="false">IF(B770="","",IFERROR(VLOOKUP(B770,DonHang!$A$2:$C$500,3,FALSE()),"mã đơn chưa có"))</f>
        <v/>
      </c>
      <c r="D770" s="14"/>
      <c r="E770" s="8"/>
      <c r="F770" s="8"/>
      <c r="G770" s="8"/>
    </row>
    <row r="771" customFormat="false" ht="15" hidden="false" customHeight="false" outlineLevel="0" collapsed="false">
      <c r="A771" s="9"/>
      <c r="B771" s="8"/>
      <c r="C771" s="10" t="str">
        <f aca="false">IF(B771="","",IFERROR(VLOOKUP(B771,DonHang!$A$2:$C$500,3,FALSE()),"mã đơn chưa có"))</f>
        <v/>
      </c>
      <c r="D771" s="14"/>
      <c r="E771" s="8"/>
      <c r="F771" s="8"/>
      <c r="G771" s="8"/>
    </row>
    <row r="772" customFormat="false" ht="15" hidden="false" customHeight="false" outlineLevel="0" collapsed="false">
      <c r="A772" s="9"/>
      <c r="B772" s="8"/>
      <c r="C772" s="10" t="str">
        <f aca="false">IF(B772="","",IFERROR(VLOOKUP(B772,DonHang!$A$2:$C$500,3,FALSE()),"mã đơn chưa có"))</f>
        <v/>
      </c>
      <c r="D772" s="14"/>
      <c r="E772" s="8"/>
      <c r="F772" s="8"/>
      <c r="G772" s="8"/>
    </row>
    <row r="773" customFormat="false" ht="15" hidden="false" customHeight="false" outlineLevel="0" collapsed="false">
      <c r="A773" s="9"/>
      <c r="B773" s="8"/>
      <c r="C773" s="10" t="str">
        <f aca="false">IF(B773="","",IFERROR(VLOOKUP(B773,DonHang!$A$2:$C$500,3,FALSE()),"mã đơn chưa có"))</f>
        <v/>
      </c>
      <c r="D773" s="14"/>
      <c r="E773" s="8"/>
      <c r="F773" s="8"/>
      <c r="G773" s="8"/>
    </row>
    <row r="774" customFormat="false" ht="15" hidden="false" customHeight="false" outlineLevel="0" collapsed="false">
      <c r="A774" s="9"/>
      <c r="B774" s="8"/>
      <c r="C774" s="10" t="str">
        <f aca="false">IF(B774="","",IFERROR(VLOOKUP(B774,DonHang!$A$2:$C$500,3,FALSE()),"mã đơn chưa có"))</f>
        <v/>
      </c>
      <c r="D774" s="14"/>
      <c r="E774" s="8"/>
      <c r="F774" s="8"/>
      <c r="G774" s="8"/>
    </row>
    <row r="775" customFormat="false" ht="15" hidden="false" customHeight="false" outlineLevel="0" collapsed="false">
      <c r="A775" s="9"/>
      <c r="B775" s="8"/>
      <c r="C775" s="10" t="str">
        <f aca="false">IF(B775="","",IFERROR(VLOOKUP(B775,DonHang!$A$2:$C$500,3,FALSE()),"mã đơn chưa có"))</f>
        <v/>
      </c>
      <c r="D775" s="14"/>
      <c r="E775" s="8"/>
      <c r="F775" s="8"/>
      <c r="G775" s="8"/>
    </row>
    <row r="776" customFormat="false" ht="15" hidden="false" customHeight="false" outlineLevel="0" collapsed="false">
      <c r="A776" s="9"/>
      <c r="B776" s="8"/>
      <c r="C776" s="10" t="str">
        <f aca="false">IF(B776="","",IFERROR(VLOOKUP(B776,DonHang!$A$2:$C$500,3,FALSE()),"mã đơn chưa có"))</f>
        <v/>
      </c>
      <c r="D776" s="14"/>
      <c r="E776" s="8"/>
      <c r="F776" s="8"/>
      <c r="G776" s="8"/>
    </row>
    <row r="777" customFormat="false" ht="15" hidden="false" customHeight="false" outlineLevel="0" collapsed="false">
      <c r="A777" s="9"/>
      <c r="B777" s="8"/>
      <c r="C777" s="10" t="str">
        <f aca="false">IF(B777="","",IFERROR(VLOOKUP(B777,DonHang!$A$2:$C$500,3,FALSE()),"mã đơn chưa có"))</f>
        <v/>
      </c>
      <c r="D777" s="14"/>
      <c r="E777" s="8"/>
      <c r="F777" s="8"/>
      <c r="G777" s="8"/>
    </row>
    <row r="778" customFormat="false" ht="15" hidden="false" customHeight="false" outlineLevel="0" collapsed="false">
      <c r="A778" s="9"/>
      <c r="B778" s="8"/>
      <c r="C778" s="10" t="str">
        <f aca="false">IF(B778="","",IFERROR(VLOOKUP(B778,DonHang!$A$2:$C$500,3,FALSE()),"mã đơn chưa có"))</f>
        <v/>
      </c>
      <c r="D778" s="14"/>
      <c r="E778" s="8"/>
      <c r="F778" s="8"/>
      <c r="G778" s="8"/>
    </row>
    <row r="779" customFormat="false" ht="15" hidden="false" customHeight="false" outlineLevel="0" collapsed="false">
      <c r="A779" s="9"/>
      <c r="B779" s="8"/>
      <c r="C779" s="10" t="str">
        <f aca="false">IF(B779="","",IFERROR(VLOOKUP(B779,DonHang!$A$2:$C$500,3,FALSE()),"mã đơn chưa có"))</f>
        <v/>
      </c>
      <c r="D779" s="14"/>
      <c r="E779" s="8"/>
      <c r="F779" s="8"/>
      <c r="G779" s="8"/>
    </row>
    <row r="780" customFormat="false" ht="15" hidden="false" customHeight="false" outlineLevel="0" collapsed="false">
      <c r="A780" s="9"/>
      <c r="B780" s="8"/>
      <c r="C780" s="10" t="str">
        <f aca="false">IF(B780="","",IFERROR(VLOOKUP(B780,DonHang!$A$2:$C$500,3,FALSE()),"mã đơn chưa có"))</f>
        <v/>
      </c>
      <c r="D780" s="14"/>
      <c r="E780" s="8"/>
      <c r="F780" s="8"/>
      <c r="G780" s="8"/>
    </row>
    <row r="781" customFormat="false" ht="15" hidden="false" customHeight="false" outlineLevel="0" collapsed="false">
      <c r="A781" s="9"/>
      <c r="B781" s="8"/>
      <c r="C781" s="10" t="str">
        <f aca="false">IF(B781="","",IFERROR(VLOOKUP(B781,DonHang!$A$2:$C$500,3,FALSE()),"mã đơn chưa có"))</f>
        <v/>
      </c>
      <c r="D781" s="14"/>
      <c r="E781" s="8"/>
      <c r="F781" s="8"/>
      <c r="G781" s="8"/>
    </row>
    <row r="782" customFormat="false" ht="15" hidden="false" customHeight="false" outlineLevel="0" collapsed="false">
      <c r="A782" s="9"/>
      <c r="B782" s="8"/>
      <c r="C782" s="10" t="str">
        <f aca="false">IF(B782="","",IFERROR(VLOOKUP(B782,DonHang!$A$2:$C$500,3,FALSE()),"mã đơn chưa có"))</f>
        <v/>
      </c>
      <c r="D782" s="14"/>
      <c r="E782" s="8"/>
      <c r="F782" s="8"/>
      <c r="G782" s="8"/>
    </row>
    <row r="783" customFormat="false" ht="15" hidden="false" customHeight="false" outlineLevel="0" collapsed="false">
      <c r="A783" s="9"/>
      <c r="B783" s="8"/>
      <c r="C783" s="10" t="str">
        <f aca="false">IF(B783="","",IFERROR(VLOOKUP(B783,DonHang!$A$2:$C$500,3,FALSE()),"mã đơn chưa có"))</f>
        <v/>
      </c>
      <c r="D783" s="14"/>
      <c r="E783" s="8"/>
      <c r="F783" s="8"/>
      <c r="G783" s="8"/>
    </row>
    <row r="784" customFormat="false" ht="15" hidden="false" customHeight="false" outlineLevel="0" collapsed="false">
      <c r="A784" s="9"/>
      <c r="B784" s="8"/>
      <c r="C784" s="10" t="str">
        <f aca="false">IF(B784="","",IFERROR(VLOOKUP(B784,DonHang!$A$2:$C$500,3,FALSE()),"mã đơn chưa có"))</f>
        <v/>
      </c>
      <c r="D784" s="14"/>
      <c r="E784" s="8"/>
      <c r="F784" s="8"/>
      <c r="G784" s="8"/>
    </row>
    <row r="785" customFormat="false" ht="15" hidden="false" customHeight="false" outlineLevel="0" collapsed="false">
      <c r="A785" s="9"/>
      <c r="B785" s="8"/>
      <c r="C785" s="10" t="str">
        <f aca="false">IF(B785="","",IFERROR(VLOOKUP(B785,DonHang!$A$2:$C$500,3,FALSE()),"mã đơn chưa có"))</f>
        <v/>
      </c>
      <c r="D785" s="14"/>
      <c r="E785" s="8"/>
      <c r="F785" s="8"/>
      <c r="G785" s="8"/>
    </row>
    <row r="786" customFormat="false" ht="15" hidden="false" customHeight="false" outlineLevel="0" collapsed="false">
      <c r="A786" s="9"/>
      <c r="B786" s="8"/>
      <c r="C786" s="10" t="str">
        <f aca="false">IF(B786="","",IFERROR(VLOOKUP(B786,DonHang!$A$2:$C$500,3,FALSE()),"mã đơn chưa có"))</f>
        <v/>
      </c>
      <c r="D786" s="14"/>
      <c r="E786" s="8"/>
      <c r="F786" s="8"/>
      <c r="G786" s="8"/>
    </row>
    <row r="787" customFormat="false" ht="15" hidden="false" customHeight="false" outlineLevel="0" collapsed="false">
      <c r="A787" s="9"/>
      <c r="B787" s="8"/>
      <c r="C787" s="10" t="str">
        <f aca="false">IF(B787="","",IFERROR(VLOOKUP(B787,DonHang!$A$2:$C$500,3,FALSE()),"mã đơn chưa có"))</f>
        <v/>
      </c>
      <c r="D787" s="14"/>
      <c r="E787" s="8"/>
      <c r="F787" s="8"/>
      <c r="G787" s="8"/>
    </row>
    <row r="788" customFormat="false" ht="15" hidden="false" customHeight="false" outlineLevel="0" collapsed="false">
      <c r="A788" s="9"/>
      <c r="B788" s="8"/>
      <c r="C788" s="10" t="str">
        <f aca="false">IF(B788="","",IFERROR(VLOOKUP(B788,DonHang!$A$2:$C$500,3,FALSE()),"mã đơn chưa có"))</f>
        <v/>
      </c>
      <c r="D788" s="14"/>
      <c r="E788" s="8"/>
      <c r="F788" s="8"/>
      <c r="G788" s="8"/>
    </row>
    <row r="789" customFormat="false" ht="15" hidden="false" customHeight="false" outlineLevel="0" collapsed="false">
      <c r="A789" s="9"/>
      <c r="B789" s="8"/>
      <c r="C789" s="10" t="str">
        <f aca="false">IF(B789="","",IFERROR(VLOOKUP(B789,DonHang!$A$2:$C$500,3,FALSE()),"mã đơn chưa có"))</f>
        <v/>
      </c>
      <c r="D789" s="14"/>
      <c r="E789" s="8"/>
      <c r="F789" s="8"/>
      <c r="G789" s="8"/>
    </row>
    <row r="790" customFormat="false" ht="15" hidden="false" customHeight="false" outlineLevel="0" collapsed="false">
      <c r="A790" s="9"/>
      <c r="B790" s="8"/>
      <c r="C790" s="10" t="str">
        <f aca="false">IF(B790="","",IFERROR(VLOOKUP(B790,DonHang!$A$2:$C$500,3,FALSE()),"mã đơn chưa có"))</f>
        <v/>
      </c>
      <c r="D790" s="14"/>
      <c r="E790" s="8"/>
      <c r="F790" s="8"/>
      <c r="G790" s="8"/>
    </row>
    <row r="791" customFormat="false" ht="15" hidden="false" customHeight="false" outlineLevel="0" collapsed="false">
      <c r="A791" s="9"/>
      <c r="B791" s="8"/>
      <c r="C791" s="10" t="str">
        <f aca="false">IF(B791="","",IFERROR(VLOOKUP(B791,DonHang!$A$2:$C$500,3,FALSE()),"mã đơn chưa có"))</f>
        <v/>
      </c>
      <c r="D791" s="14"/>
      <c r="E791" s="8"/>
      <c r="F791" s="8"/>
      <c r="G791" s="8"/>
    </row>
    <row r="792" customFormat="false" ht="15" hidden="false" customHeight="false" outlineLevel="0" collapsed="false">
      <c r="A792" s="9"/>
      <c r="B792" s="8"/>
      <c r="C792" s="10" t="str">
        <f aca="false">IF(B792="","",IFERROR(VLOOKUP(B792,DonHang!$A$2:$C$500,3,FALSE()),"mã đơn chưa có"))</f>
        <v/>
      </c>
      <c r="D792" s="14"/>
      <c r="E792" s="8"/>
      <c r="F792" s="8"/>
      <c r="G792" s="8"/>
    </row>
    <row r="793" customFormat="false" ht="15" hidden="false" customHeight="false" outlineLevel="0" collapsed="false">
      <c r="A793" s="9"/>
      <c r="B793" s="8"/>
      <c r="C793" s="10" t="str">
        <f aca="false">IF(B793="","",IFERROR(VLOOKUP(B793,DonHang!$A$2:$C$500,3,FALSE()),"mã đơn chưa có"))</f>
        <v/>
      </c>
      <c r="D793" s="14"/>
      <c r="E793" s="8"/>
      <c r="F793" s="8"/>
      <c r="G793" s="8"/>
    </row>
    <row r="794" customFormat="false" ht="15" hidden="false" customHeight="false" outlineLevel="0" collapsed="false">
      <c r="A794" s="9"/>
      <c r="B794" s="8"/>
      <c r="C794" s="10" t="str">
        <f aca="false">IF(B794="","",IFERROR(VLOOKUP(B794,DonHang!$A$2:$C$500,3,FALSE()),"mã đơn chưa có"))</f>
        <v/>
      </c>
      <c r="D794" s="14"/>
      <c r="E794" s="8"/>
      <c r="F794" s="8"/>
      <c r="G794" s="8"/>
    </row>
    <row r="795" customFormat="false" ht="15" hidden="false" customHeight="false" outlineLevel="0" collapsed="false">
      <c r="A795" s="9"/>
      <c r="B795" s="8"/>
      <c r="C795" s="10" t="str">
        <f aca="false">IF(B795="","",IFERROR(VLOOKUP(B795,DonHang!$A$2:$C$500,3,FALSE()),"mã đơn chưa có"))</f>
        <v/>
      </c>
      <c r="D795" s="14"/>
      <c r="E795" s="8"/>
      <c r="F795" s="8"/>
      <c r="G795" s="8"/>
    </row>
    <row r="796" customFormat="false" ht="15" hidden="false" customHeight="false" outlineLevel="0" collapsed="false">
      <c r="A796" s="9"/>
      <c r="B796" s="8"/>
      <c r="C796" s="10" t="str">
        <f aca="false">IF(B796="","",IFERROR(VLOOKUP(B796,DonHang!$A$2:$C$500,3,FALSE()),"mã đơn chưa có"))</f>
        <v/>
      </c>
      <c r="D796" s="14"/>
      <c r="E796" s="8"/>
      <c r="F796" s="8"/>
      <c r="G796" s="8"/>
    </row>
    <row r="797" customFormat="false" ht="15" hidden="false" customHeight="false" outlineLevel="0" collapsed="false">
      <c r="A797" s="9"/>
      <c r="B797" s="8"/>
      <c r="C797" s="10" t="str">
        <f aca="false">IF(B797="","",IFERROR(VLOOKUP(B797,DonHang!$A$2:$C$500,3,FALSE()),"mã đơn chưa có"))</f>
        <v/>
      </c>
      <c r="D797" s="14"/>
      <c r="E797" s="8"/>
      <c r="F797" s="8"/>
      <c r="G797" s="8"/>
    </row>
    <row r="798" customFormat="false" ht="15" hidden="false" customHeight="false" outlineLevel="0" collapsed="false">
      <c r="A798" s="9"/>
      <c r="B798" s="8"/>
      <c r="C798" s="10" t="str">
        <f aca="false">IF(B798="","",IFERROR(VLOOKUP(B798,DonHang!$A$2:$C$500,3,FALSE()),"mã đơn chưa có"))</f>
        <v/>
      </c>
      <c r="D798" s="14"/>
      <c r="E798" s="8"/>
      <c r="F798" s="8"/>
      <c r="G798" s="8"/>
    </row>
    <row r="799" customFormat="false" ht="15" hidden="false" customHeight="false" outlineLevel="0" collapsed="false">
      <c r="A799" s="9"/>
      <c r="B799" s="8"/>
      <c r="C799" s="10" t="str">
        <f aca="false">IF(B799="","",IFERROR(VLOOKUP(B799,DonHang!$A$2:$C$500,3,FALSE()),"mã đơn chưa có"))</f>
        <v/>
      </c>
      <c r="D799" s="14"/>
      <c r="E799" s="8"/>
      <c r="F799" s="8"/>
      <c r="G799" s="8"/>
    </row>
    <row r="800" customFormat="false" ht="15" hidden="false" customHeight="false" outlineLevel="0" collapsed="false">
      <c r="A800" s="9"/>
      <c r="B800" s="8"/>
      <c r="C800" s="10" t="str">
        <f aca="false">IF(B800="","",IFERROR(VLOOKUP(B800,DonHang!$A$2:$C$500,3,FALSE()),"mã đơn chưa có"))</f>
        <v/>
      </c>
      <c r="D800" s="14"/>
      <c r="E800" s="8"/>
      <c r="F800" s="8"/>
      <c r="G800" s="8"/>
    </row>
    <row r="801" customFormat="false" ht="15" hidden="false" customHeight="false" outlineLevel="0" collapsed="false">
      <c r="A801" s="9"/>
      <c r="B801" s="8"/>
      <c r="C801" s="10" t="str">
        <f aca="false">IF(B801="","",IFERROR(VLOOKUP(B801,DonHang!$A$2:$C$500,3,FALSE()),"mã đơn chưa có"))</f>
        <v/>
      </c>
      <c r="D801" s="14"/>
      <c r="E801" s="8"/>
      <c r="F801" s="8"/>
      <c r="G801" s="8"/>
    </row>
    <row r="802" customFormat="false" ht="15" hidden="false" customHeight="false" outlineLevel="0" collapsed="false">
      <c r="A802" s="9"/>
      <c r="B802" s="8"/>
      <c r="C802" s="10" t="str">
        <f aca="false">IF(B802="","",IFERROR(VLOOKUP(B802,DonHang!$A$2:$C$500,3,FALSE()),"mã đơn chưa có"))</f>
        <v/>
      </c>
      <c r="D802" s="14"/>
      <c r="E802" s="8"/>
      <c r="F802" s="8"/>
      <c r="G802" s="8"/>
    </row>
    <row r="803" customFormat="false" ht="15" hidden="false" customHeight="false" outlineLevel="0" collapsed="false">
      <c r="A803" s="9"/>
      <c r="B803" s="8"/>
      <c r="C803" s="10" t="str">
        <f aca="false">IF(B803="","",IFERROR(VLOOKUP(B803,DonHang!$A$2:$C$500,3,FALSE()),"mã đơn chưa có"))</f>
        <v/>
      </c>
      <c r="D803" s="14"/>
      <c r="E803" s="8"/>
      <c r="F803" s="8"/>
      <c r="G803" s="8"/>
    </row>
    <row r="804" customFormat="false" ht="15" hidden="false" customHeight="false" outlineLevel="0" collapsed="false">
      <c r="A804" s="9"/>
      <c r="B804" s="8"/>
      <c r="C804" s="10" t="str">
        <f aca="false">IF(B804="","",IFERROR(VLOOKUP(B804,DonHang!$A$2:$C$500,3,FALSE()),"mã đơn chưa có"))</f>
        <v/>
      </c>
      <c r="D804" s="14"/>
      <c r="E804" s="8"/>
      <c r="F804" s="8"/>
      <c r="G804" s="8"/>
    </row>
    <row r="805" customFormat="false" ht="15" hidden="false" customHeight="false" outlineLevel="0" collapsed="false">
      <c r="A805" s="9"/>
      <c r="B805" s="8"/>
      <c r="C805" s="10" t="str">
        <f aca="false">IF(B805="","",IFERROR(VLOOKUP(B805,DonHang!$A$2:$C$500,3,FALSE()),"mã đơn chưa có"))</f>
        <v/>
      </c>
      <c r="D805" s="14"/>
      <c r="E805" s="8"/>
      <c r="F805" s="8"/>
      <c r="G805" s="8"/>
    </row>
    <row r="806" customFormat="false" ht="15" hidden="false" customHeight="false" outlineLevel="0" collapsed="false">
      <c r="A806" s="9"/>
      <c r="B806" s="8"/>
      <c r="C806" s="10" t="str">
        <f aca="false">IF(B806="","",IFERROR(VLOOKUP(B806,DonHang!$A$2:$C$500,3,FALSE()),"mã đơn chưa có"))</f>
        <v/>
      </c>
      <c r="D806" s="14"/>
      <c r="E806" s="8"/>
      <c r="F806" s="8"/>
      <c r="G806" s="8"/>
    </row>
    <row r="807" customFormat="false" ht="15" hidden="false" customHeight="false" outlineLevel="0" collapsed="false">
      <c r="A807" s="9"/>
      <c r="B807" s="8"/>
      <c r="C807" s="10" t="str">
        <f aca="false">IF(B807="","",IFERROR(VLOOKUP(B807,DonHang!$A$2:$C$500,3,FALSE()),"mã đơn chưa có"))</f>
        <v/>
      </c>
      <c r="D807" s="14"/>
      <c r="E807" s="8"/>
      <c r="F807" s="8"/>
      <c r="G807" s="8"/>
    </row>
    <row r="808" customFormat="false" ht="15" hidden="false" customHeight="false" outlineLevel="0" collapsed="false">
      <c r="A808" s="9"/>
      <c r="B808" s="8"/>
      <c r="C808" s="10" t="str">
        <f aca="false">IF(B808="","",IFERROR(VLOOKUP(B808,DonHang!$A$2:$C$500,3,FALSE()),"mã đơn chưa có"))</f>
        <v/>
      </c>
      <c r="D808" s="14"/>
      <c r="E808" s="8"/>
      <c r="F808" s="8"/>
      <c r="G808" s="8"/>
    </row>
    <row r="809" customFormat="false" ht="15" hidden="false" customHeight="false" outlineLevel="0" collapsed="false">
      <c r="A809" s="9"/>
      <c r="B809" s="8"/>
      <c r="C809" s="10" t="str">
        <f aca="false">IF(B809="","",IFERROR(VLOOKUP(B809,DonHang!$A$2:$C$500,3,FALSE()),"mã đơn chưa có"))</f>
        <v/>
      </c>
      <c r="D809" s="14"/>
      <c r="E809" s="8"/>
      <c r="F809" s="8"/>
      <c r="G809" s="8"/>
    </row>
    <row r="810" customFormat="false" ht="15" hidden="false" customHeight="false" outlineLevel="0" collapsed="false">
      <c r="A810" s="9"/>
      <c r="B810" s="8"/>
      <c r="C810" s="10" t="str">
        <f aca="false">IF(B810="","",IFERROR(VLOOKUP(B810,DonHang!$A$2:$C$500,3,FALSE()),"mã đơn chưa có"))</f>
        <v/>
      </c>
      <c r="D810" s="14"/>
      <c r="E810" s="8"/>
      <c r="F810" s="8"/>
      <c r="G810" s="8"/>
    </row>
    <row r="811" customFormat="false" ht="15" hidden="false" customHeight="false" outlineLevel="0" collapsed="false">
      <c r="A811" s="9"/>
      <c r="B811" s="8"/>
      <c r="C811" s="10" t="str">
        <f aca="false">IF(B811="","",IFERROR(VLOOKUP(B811,DonHang!$A$2:$C$500,3,FALSE()),"mã đơn chưa có"))</f>
        <v/>
      </c>
      <c r="D811" s="14"/>
      <c r="E811" s="8"/>
      <c r="F811" s="8"/>
      <c r="G811" s="8"/>
    </row>
    <row r="812" customFormat="false" ht="15" hidden="false" customHeight="false" outlineLevel="0" collapsed="false">
      <c r="A812" s="9"/>
      <c r="B812" s="8"/>
      <c r="C812" s="10" t="str">
        <f aca="false">IF(B812="","",IFERROR(VLOOKUP(B812,DonHang!$A$2:$C$500,3,FALSE()),"mã đơn chưa có"))</f>
        <v/>
      </c>
      <c r="D812" s="14"/>
      <c r="E812" s="8"/>
      <c r="F812" s="8"/>
      <c r="G812" s="8"/>
    </row>
    <row r="813" customFormat="false" ht="15" hidden="false" customHeight="false" outlineLevel="0" collapsed="false">
      <c r="A813" s="9"/>
      <c r="B813" s="8"/>
      <c r="C813" s="10" t="str">
        <f aca="false">IF(B813="","",IFERROR(VLOOKUP(B813,DonHang!$A$2:$C$500,3,FALSE()),"mã đơn chưa có"))</f>
        <v/>
      </c>
      <c r="D813" s="14"/>
      <c r="E813" s="8"/>
      <c r="F813" s="8"/>
      <c r="G813" s="8"/>
    </row>
    <row r="814" customFormat="false" ht="15" hidden="false" customHeight="false" outlineLevel="0" collapsed="false">
      <c r="A814" s="9"/>
      <c r="B814" s="8"/>
      <c r="C814" s="10" t="str">
        <f aca="false">IF(B814="","",IFERROR(VLOOKUP(B814,DonHang!$A$2:$C$500,3,FALSE()),"mã đơn chưa có"))</f>
        <v/>
      </c>
      <c r="D814" s="14"/>
      <c r="E814" s="8"/>
      <c r="F814" s="8"/>
      <c r="G814" s="8"/>
    </row>
    <row r="815" customFormat="false" ht="15" hidden="false" customHeight="false" outlineLevel="0" collapsed="false">
      <c r="A815" s="9"/>
      <c r="B815" s="8"/>
      <c r="C815" s="10" t="str">
        <f aca="false">IF(B815="","",IFERROR(VLOOKUP(B815,DonHang!$A$2:$C$500,3,FALSE()),"mã đơn chưa có"))</f>
        <v/>
      </c>
      <c r="D815" s="14"/>
      <c r="E815" s="8"/>
      <c r="F815" s="8"/>
      <c r="G815" s="8"/>
    </row>
    <row r="816" customFormat="false" ht="15" hidden="false" customHeight="false" outlineLevel="0" collapsed="false">
      <c r="A816" s="9"/>
      <c r="B816" s="8"/>
      <c r="C816" s="10" t="str">
        <f aca="false">IF(B816="","",IFERROR(VLOOKUP(B816,DonHang!$A$2:$C$500,3,FALSE()),"mã đơn chưa có"))</f>
        <v/>
      </c>
      <c r="D816" s="14"/>
      <c r="E816" s="8"/>
      <c r="F816" s="8"/>
      <c r="G816" s="8"/>
    </row>
    <row r="817" customFormat="false" ht="15" hidden="false" customHeight="false" outlineLevel="0" collapsed="false">
      <c r="A817" s="9"/>
      <c r="B817" s="8"/>
      <c r="C817" s="10" t="str">
        <f aca="false">IF(B817="","",IFERROR(VLOOKUP(B817,DonHang!$A$2:$C$500,3,FALSE()),"mã đơn chưa có"))</f>
        <v/>
      </c>
      <c r="D817" s="14"/>
      <c r="E817" s="8"/>
      <c r="F817" s="8"/>
      <c r="G817" s="8"/>
    </row>
    <row r="818" customFormat="false" ht="15" hidden="false" customHeight="false" outlineLevel="0" collapsed="false">
      <c r="A818" s="9"/>
      <c r="B818" s="8"/>
      <c r="C818" s="10" t="str">
        <f aca="false">IF(B818="","",IFERROR(VLOOKUP(B818,DonHang!$A$2:$C$500,3,FALSE()),"mã đơn chưa có"))</f>
        <v/>
      </c>
      <c r="D818" s="14"/>
      <c r="E818" s="8"/>
      <c r="F818" s="8"/>
      <c r="G818" s="8"/>
    </row>
    <row r="819" customFormat="false" ht="15" hidden="false" customHeight="false" outlineLevel="0" collapsed="false">
      <c r="A819" s="9"/>
      <c r="B819" s="8"/>
      <c r="C819" s="10" t="str">
        <f aca="false">IF(B819="","",IFERROR(VLOOKUP(B819,DonHang!$A$2:$C$500,3,FALSE()),"mã đơn chưa có"))</f>
        <v/>
      </c>
      <c r="D819" s="14"/>
      <c r="E819" s="8"/>
      <c r="F819" s="8"/>
      <c r="G819" s="8"/>
    </row>
    <row r="820" customFormat="false" ht="15" hidden="false" customHeight="false" outlineLevel="0" collapsed="false">
      <c r="A820" s="9"/>
      <c r="B820" s="8"/>
      <c r="C820" s="10" t="str">
        <f aca="false">IF(B820="","",IFERROR(VLOOKUP(B820,DonHang!$A$2:$C$500,3,FALSE()),"mã đơn chưa có"))</f>
        <v/>
      </c>
      <c r="D820" s="14"/>
      <c r="E820" s="8"/>
      <c r="F820" s="8"/>
      <c r="G820" s="8"/>
    </row>
    <row r="821" customFormat="false" ht="15" hidden="false" customHeight="false" outlineLevel="0" collapsed="false">
      <c r="A821" s="9"/>
      <c r="B821" s="8"/>
      <c r="C821" s="10" t="str">
        <f aca="false">IF(B821="","",IFERROR(VLOOKUP(B821,DonHang!$A$2:$C$500,3,FALSE()),"mã đơn chưa có"))</f>
        <v/>
      </c>
      <c r="D821" s="14"/>
      <c r="E821" s="8"/>
      <c r="F821" s="8"/>
      <c r="G821" s="8"/>
    </row>
    <row r="822" customFormat="false" ht="15" hidden="false" customHeight="false" outlineLevel="0" collapsed="false">
      <c r="A822" s="9"/>
      <c r="B822" s="8"/>
      <c r="C822" s="10" t="str">
        <f aca="false">IF(B822="","",IFERROR(VLOOKUP(B822,DonHang!$A$2:$C$500,3,FALSE()),"mã đơn chưa có"))</f>
        <v/>
      </c>
      <c r="D822" s="14"/>
      <c r="E822" s="8"/>
      <c r="F822" s="8"/>
      <c r="G822" s="8"/>
    </row>
    <row r="823" customFormat="false" ht="15" hidden="false" customHeight="false" outlineLevel="0" collapsed="false">
      <c r="A823" s="9"/>
      <c r="B823" s="8"/>
      <c r="C823" s="10" t="str">
        <f aca="false">IF(B823="","",IFERROR(VLOOKUP(B823,DonHang!$A$2:$C$500,3,FALSE()),"mã đơn chưa có"))</f>
        <v/>
      </c>
      <c r="D823" s="14"/>
      <c r="E823" s="8"/>
      <c r="F823" s="8"/>
      <c r="G823" s="8"/>
    </row>
    <row r="824" customFormat="false" ht="15" hidden="false" customHeight="false" outlineLevel="0" collapsed="false">
      <c r="A824" s="9"/>
      <c r="B824" s="8"/>
      <c r="C824" s="10" t="str">
        <f aca="false">IF(B824="","",IFERROR(VLOOKUP(B824,DonHang!$A$2:$C$500,3,FALSE()),"mã đơn chưa có"))</f>
        <v/>
      </c>
      <c r="D824" s="14"/>
      <c r="E824" s="8"/>
      <c r="F824" s="8"/>
      <c r="G824" s="8"/>
    </row>
    <row r="825" customFormat="false" ht="15" hidden="false" customHeight="false" outlineLevel="0" collapsed="false">
      <c r="A825" s="9"/>
      <c r="B825" s="8"/>
      <c r="C825" s="10" t="str">
        <f aca="false">IF(B825="","",IFERROR(VLOOKUP(B825,DonHang!$A$2:$C$500,3,FALSE()),"mã đơn chưa có"))</f>
        <v/>
      </c>
      <c r="D825" s="14"/>
      <c r="E825" s="8"/>
      <c r="F825" s="8"/>
      <c r="G825" s="8"/>
    </row>
    <row r="826" customFormat="false" ht="15" hidden="false" customHeight="false" outlineLevel="0" collapsed="false">
      <c r="A826" s="9"/>
      <c r="B826" s="8"/>
      <c r="C826" s="10" t="str">
        <f aca="false">IF(B826="","",IFERROR(VLOOKUP(B826,DonHang!$A$2:$C$500,3,FALSE()),"mã đơn chưa có"))</f>
        <v/>
      </c>
      <c r="D826" s="14"/>
      <c r="E826" s="8"/>
      <c r="F826" s="8"/>
      <c r="G826" s="8"/>
    </row>
    <row r="827" customFormat="false" ht="15" hidden="false" customHeight="false" outlineLevel="0" collapsed="false">
      <c r="A827" s="9"/>
      <c r="B827" s="8"/>
      <c r="C827" s="10" t="str">
        <f aca="false">IF(B827="","",IFERROR(VLOOKUP(B827,DonHang!$A$2:$C$500,3,FALSE()),"mã đơn chưa có"))</f>
        <v/>
      </c>
      <c r="D827" s="14"/>
      <c r="E827" s="8"/>
      <c r="F827" s="8"/>
      <c r="G827" s="8"/>
    </row>
    <row r="828" customFormat="false" ht="15" hidden="false" customHeight="false" outlineLevel="0" collapsed="false">
      <c r="A828" s="9"/>
      <c r="B828" s="8"/>
      <c r="C828" s="10" t="str">
        <f aca="false">IF(B828="","",IFERROR(VLOOKUP(B828,DonHang!$A$2:$C$500,3,FALSE()),"mã đơn chưa có"))</f>
        <v/>
      </c>
      <c r="D828" s="14"/>
      <c r="E828" s="8"/>
      <c r="F828" s="8"/>
      <c r="G828" s="8"/>
    </row>
    <row r="829" customFormat="false" ht="15" hidden="false" customHeight="false" outlineLevel="0" collapsed="false">
      <c r="A829" s="9"/>
      <c r="B829" s="8"/>
      <c r="C829" s="10" t="str">
        <f aca="false">IF(B829="","",IFERROR(VLOOKUP(B829,DonHang!$A$2:$C$500,3,FALSE()),"mã đơn chưa có"))</f>
        <v/>
      </c>
      <c r="D829" s="14"/>
      <c r="E829" s="8"/>
      <c r="F829" s="8"/>
      <c r="G829" s="8"/>
    </row>
    <row r="830" customFormat="false" ht="15" hidden="false" customHeight="false" outlineLevel="0" collapsed="false">
      <c r="A830" s="9"/>
      <c r="B830" s="8"/>
      <c r="C830" s="10" t="str">
        <f aca="false">IF(B830="","",IFERROR(VLOOKUP(B830,DonHang!$A$2:$C$500,3,FALSE()),"mã đơn chưa có"))</f>
        <v/>
      </c>
      <c r="D830" s="14"/>
      <c r="E830" s="8"/>
      <c r="F830" s="8"/>
      <c r="G830" s="8"/>
    </row>
    <row r="831" customFormat="false" ht="15" hidden="false" customHeight="false" outlineLevel="0" collapsed="false">
      <c r="A831" s="9"/>
      <c r="B831" s="8"/>
      <c r="C831" s="10" t="str">
        <f aca="false">IF(B831="","",IFERROR(VLOOKUP(B831,DonHang!$A$2:$C$500,3,FALSE()),"mã đơn chưa có"))</f>
        <v/>
      </c>
      <c r="D831" s="14"/>
      <c r="E831" s="8"/>
      <c r="F831" s="8"/>
      <c r="G831" s="8"/>
    </row>
    <row r="832" customFormat="false" ht="15" hidden="false" customHeight="false" outlineLevel="0" collapsed="false">
      <c r="A832" s="9"/>
      <c r="B832" s="8"/>
      <c r="C832" s="10" t="str">
        <f aca="false">IF(B832="","",IFERROR(VLOOKUP(B832,DonHang!$A$2:$C$500,3,FALSE()),"mã đơn chưa có"))</f>
        <v/>
      </c>
      <c r="D832" s="14"/>
      <c r="E832" s="8"/>
      <c r="F832" s="8"/>
      <c r="G832" s="8"/>
    </row>
    <row r="833" customFormat="false" ht="15" hidden="false" customHeight="false" outlineLevel="0" collapsed="false">
      <c r="A833" s="9"/>
      <c r="B833" s="8"/>
      <c r="C833" s="10" t="str">
        <f aca="false">IF(B833="","",IFERROR(VLOOKUP(B833,DonHang!$A$2:$C$500,3,FALSE()),"mã đơn chưa có"))</f>
        <v/>
      </c>
      <c r="D833" s="14"/>
      <c r="E833" s="8"/>
      <c r="F833" s="8"/>
      <c r="G833" s="8"/>
    </row>
    <row r="834" customFormat="false" ht="15" hidden="false" customHeight="false" outlineLevel="0" collapsed="false">
      <c r="A834" s="9"/>
      <c r="B834" s="8"/>
      <c r="C834" s="10" t="str">
        <f aca="false">IF(B834="","",IFERROR(VLOOKUP(B834,DonHang!$A$2:$C$500,3,FALSE()),"mã đơn chưa có"))</f>
        <v/>
      </c>
      <c r="D834" s="14"/>
      <c r="E834" s="8"/>
      <c r="F834" s="8"/>
      <c r="G834" s="8"/>
    </row>
    <row r="835" customFormat="false" ht="15" hidden="false" customHeight="false" outlineLevel="0" collapsed="false">
      <c r="A835" s="9"/>
      <c r="B835" s="8"/>
      <c r="C835" s="10" t="str">
        <f aca="false">IF(B835="","",IFERROR(VLOOKUP(B835,DonHang!$A$2:$C$500,3,FALSE()),"mã đơn chưa có"))</f>
        <v/>
      </c>
      <c r="D835" s="14"/>
      <c r="E835" s="8"/>
      <c r="F835" s="8"/>
      <c r="G835" s="8"/>
    </row>
    <row r="836" customFormat="false" ht="15" hidden="false" customHeight="false" outlineLevel="0" collapsed="false">
      <c r="A836" s="9"/>
      <c r="B836" s="8"/>
      <c r="C836" s="10" t="str">
        <f aca="false">IF(B836="","",IFERROR(VLOOKUP(B836,DonHang!$A$2:$C$500,3,FALSE()),"mã đơn chưa có"))</f>
        <v/>
      </c>
      <c r="D836" s="14"/>
      <c r="E836" s="8"/>
      <c r="F836" s="8"/>
      <c r="G836" s="8"/>
    </row>
    <row r="837" customFormat="false" ht="15" hidden="false" customHeight="false" outlineLevel="0" collapsed="false">
      <c r="A837" s="9"/>
      <c r="B837" s="8"/>
      <c r="C837" s="10" t="str">
        <f aca="false">IF(B837="","",IFERROR(VLOOKUP(B837,DonHang!$A$2:$C$500,3,FALSE()),"mã đơn chưa có"))</f>
        <v/>
      </c>
      <c r="D837" s="14"/>
      <c r="E837" s="8"/>
      <c r="F837" s="8"/>
      <c r="G837" s="8"/>
    </row>
    <row r="838" customFormat="false" ht="15" hidden="false" customHeight="false" outlineLevel="0" collapsed="false">
      <c r="A838" s="9"/>
      <c r="B838" s="8"/>
      <c r="C838" s="10" t="str">
        <f aca="false">IF(B838="","",IFERROR(VLOOKUP(B838,DonHang!$A$2:$C$500,3,FALSE()),"mã đơn chưa có"))</f>
        <v/>
      </c>
      <c r="D838" s="14"/>
      <c r="E838" s="8"/>
      <c r="F838" s="8"/>
      <c r="G838" s="8"/>
    </row>
    <row r="839" customFormat="false" ht="15" hidden="false" customHeight="false" outlineLevel="0" collapsed="false">
      <c r="A839" s="9"/>
      <c r="B839" s="8"/>
      <c r="C839" s="10" t="str">
        <f aca="false">IF(B839="","",IFERROR(VLOOKUP(B839,DonHang!$A$2:$C$500,3,FALSE()),"mã đơn chưa có"))</f>
        <v/>
      </c>
      <c r="D839" s="14"/>
      <c r="E839" s="8"/>
      <c r="F839" s="8"/>
      <c r="G839" s="8"/>
    </row>
    <row r="840" customFormat="false" ht="15" hidden="false" customHeight="false" outlineLevel="0" collapsed="false">
      <c r="A840" s="9"/>
      <c r="B840" s="8"/>
      <c r="C840" s="10" t="str">
        <f aca="false">IF(B840="","",IFERROR(VLOOKUP(B840,DonHang!$A$2:$C$500,3,FALSE()),"mã đơn chưa có"))</f>
        <v/>
      </c>
      <c r="D840" s="14"/>
      <c r="E840" s="8"/>
      <c r="F840" s="8"/>
      <c r="G840" s="8"/>
    </row>
    <row r="841" customFormat="false" ht="15" hidden="false" customHeight="false" outlineLevel="0" collapsed="false">
      <c r="A841" s="9"/>
      <c r="B841" s="8"/>
      <c r="C841" s="10" t="str">
        <f aca="false">IF(B841="","",IFERROR(VLOOKUP(B841,DonHang!$A$2:$C$500,3,FALSE()),"mã đơn chưa có"))</f>
        <v/>
      </c>
      <c r="D841" s="14"/>
      <c r="E841" s="8"/>
      <c r="F841" s="8"/>
      <c r="G841" s="8"/>
    </row>
    <row r="842" customFormat="false" ht="15" hidden="false" customHeight="false" outlineLevel="0" collapsed="false">
      <c r="A842" s="9"/>
      <c r="B842" s="8"/>
      <c r="C842" s="10" t="str">
        <f aca="false">IF(B842="","",IFERROR(VLOOKUP(B842,DonHang!$A$2:$C$500,3,FALSE()),"mã đơn chưa có"))</f>
        <v/>
      </c>
      <c r="D842" s="14"/>
      <c r="E842" s="8"/>
      <c r="F842" s="8"/>
      <c r="G842" s="8"/>
    </row>
    <row r="843" customFormat="false" ht="15" hidden="false" customHeight="false" outlineLevel="0" collapsed="false">
      <c r="A843" s="9"/>
      <c r="B843" s="8"/>
      <c r="C843" s="10" t="str">
        <f aca="false">IF(B843="","",IFERROR(VLOOKUP(B843,DonHang!$A$2:$C$500,3,FALSE()),"mã đơn chưa có"))</f>
        <v/>
      </c>
      <c r="D843" s="14"/>
      <c r="E843" s="8"/>
      <c r="F843" s="8"/>
      <c r="G843" s="8"/>
    </row>
    <row r="844" customFormat="false" ht="15" hidden="false" customHeight="false" outlineLevel="0" collapsed="false">
      <c r="A844" s="9"/>
      <c r="B844" s="8"/>
      <c r="C844" s="10" t="str">
        <f aca="false">IF(B844="","",IFERROR(VLOOKUP(B844,DonHang!$A$2:$C$500,3,FALSE()),"mã đơn chưa có"))</f>
        <v/>
      </c>
      <c r="D844" s="14"/>
      <c r="E844" s="8"/>
      <c r="F844" s="8"/>
      <c r="G844" s="8"/>
    </row>
    <row r="845" customFormat="false" ht="15" hidden="false" customHeight="false" outlineLevel="0" collapsed="false">
      <c r="A845" s="9"/>
      <c r="B845" s="8"/>
      <c r="C845" s="10" t="str">
        <f aca="false">IF(B845="","",IFERROR(VLOOKUP(B845,DonHang!$A$2:$C$500,3,FALSE()),"mã đơn chưa có"))</f>
        <v/>
      </c>
      <c r="D845" s="14"/>
      <c r="E845" s="8"/>
      <c r="F845" s="8"/>
      <c r="G845" s="8"/>
    </row>
    <row r="846" customFormat="false" ht="15" hidden="false" customHeight="false" outlineLevel="0" collapsed="false">
      <c r="A846" s="9"/>
      <c r="B846" s="8"/>
      <c r="C846" s="10" t="str">
        <f aca="false">IF(B846="","",IFERROR(VLOOKUP(B846,DonHang!$A$2:$C$500,3,FALSE()),"mã đơn chưa có"))</f>
        <v/>
      </c>
      <c r="D846" s="14"/>
      <c r="E846" s="8"/>
      <c r="F846" s="8"/>
      <c r="G846" s="8"/>
    </row>
    <row r="847" customFormat="false" ht="15" hidden="false" customHeight="false" outlineLevel="0" collapsed="false">
      <c r="A847" s="9"/>
      <c r="B847" s="8"/>
      <c r="C847" s="10" t="str">
        <f aca="false">IF(B847="","",IFERROR(VLOOKUP(B847,DonHang!$A$2:$C$500,3,FALSE()),"mã đơn chưa có"))</f>
        <v/>
      </c>
      <c r="D847" s="14"/>
      <c r="E847" s="8"/>
      <c r="F847" s="8"/>
      <c r="G847" s="8"/>
    </row>
    <row r="848" customFormat="false" ht="15" hidden="false" customHeight="false" outlineLevel="0" collapsed="false">
      <c r="A848" s="9"/>
      <c r="B848" s="8"/>
      <c r="C848" s="10" t="str">
        <f aca="false">IF(B848="","",IFERROR(VLOOKUP(B848,DonHang!$A$2:$C$500,3,FALSE()),"mã đơn chưa có"))</f>
        <v/>
      </c>
      <c r="D848" s="14"/>
      <c r="E848" s="8"/>
      <c r="F848" s="8"/>
      <c r="G848" s="8"/>
    </row>
    <row r="849" customFormat="false" ht="15" hidden="false" customHeight="false" outlineLevel="0" collapsed="false">
      <c r="A849" s="9"/>
      <c r="B849" s="8"/>
      <c r="C849" s="10" t="str">
        <f aca="false">IF(B849="","",IFERROR(VLOOKUP(B849,DonHang!$A$2:$C$500,3,FALSE()),"mã đơn chưa có"))</f>
        <v/>
      </c>
      <c r="D849" s="14"/>
      <c r="E849" s="8"/>
      <c r="F849" s="8"/>
      <c r="G849" s="8"/>
    </row>
    <row r="850" customFormat="false" ht="15" hidden="false" customHeight="false" outlineLevel="0" collapsed="false">
      <c r="A850" s="9"/>
      <c r="B850" s="8"/>
      <c r="C850" s="10" t="str">
        <f aca="false">IF(B850="","",IFERROR(VLOOKUP(B850,DonHang!$A$2:$C$500,3,FALSE()),"mã đơn chưa có"))</f>
        <v/>
      </c>
      <c r="D850" s="14"/>
      <c r="E850" s="8"/>
      <c r="F850" s="8"/>
      <c r="G850" s="8"/>
    </row>
    <row r="851" customFormat="false" ht="15" hidden="false" customHeight="false" outlineLevel="0" collapsed="false">
      <c r="A851" s="9"/>
      <c r="B851" s="8"/>
      <c r="C851" s="10" t="str">
        <f aca="false">IF(B851="","",IFERROR(VLOOKUP(B851,DonHang!$A$2:$C$500,3,FALSE()),"mã đơn chưa có"))</f>
        <v/>
      </c>
      <c r="D851" s="14"/>
      <c r="E851" s="8"/>
      <c r="F851" s="8"/>
      <c r="G851" s="8"/>
    </row>
    <row r="852" customFormat="false" ht="15" hidden="false" customHeight="false" outlineLevel="0" collapsed="false">
      <c r="A852" s="9"/>
      <c r="B852" s="8"/>
      <c r="C852" s="10" t="str">
        <f aca="false">IF(B852="","",IFERROR(VLOOKUP(B852,DonHang!$A$2:$C$500,3,FALSE()),"mã đơn chưa có"))</f>
        <v/>
      </c>
      <c r="D852" s="14"/>
      <c r="E852" s="8"/>
      <c r="F852" s="8"/>
      <c r="G852" s="8"/>
    </row>
    <row r="853" customFormat="false" ht="15" hidden="false" customHeight="false" outlineLevel="0" collapsed="false">
      <c r="A853" s="9"/>
      <c r="B853" s="8"/>
      <c r="C853" s="10" t="str">
        <f aca="false">IF(B853="","",IFERROR(VLOOKUP(B853,DonHang!$A$2:$C$500,3,FALSE()),"mã đơn chưa có"))</f>
        <v/>
      </c>
      <c r="D853" s="14"/>
      <c r="E853" s="8"/>
      <c r="F853" s="8"/>
      <c r="G853" s="8"/>
    </row>
    <row r="854" customFormat="false" ht="15" hidden="false" customHeight="false" outlineLevel="0" collapsed="false">
      <c r="A854" s="9"/>
      <c r="B854" s="8"/>
      <c r="C854" s="10" t="str">
        <f aca="false">IF(B854="","",IFERROR(VLOOKUP(B854,DonHang!$A$2:$C$500,3,FALSE()),"mã đơn chưa có"))</f>
        <v/>
      </c>
      <c r="D854" s="14"/>
      <c r="E854" s="8"/>
      <c r="F854" s="8"/>
      <c r="G854" s="8"/>
    </row>
    <row r="855" customFormat="false" ht="15" hidden="false" customHeight="false" outlineLevel="0" collapsed="false">
      <c r="A855" s="9"/>
      <c r="B855" s="8"/>
      <c r="C855" s="10" t="str">
        <f aca="false">IF(B855="","",IFERROR(VLOOKUP(B855,DonHang!$A$2:$C$500,3,FALSE()),"mã đơn chưa có"))</f>
        <v/>
      </c>
      <c r="D855" s="14"/>
      <c r="E855" s="8"/>
      <c r="F855" s="8"/>
      <c r="G855" s="8"/>
    </row>
    <row r="856" customFormat="false" ht="15" hidden="false" customHeight="false" outlineLevel="0" collapsed="false">
      <c r="A856" s="9"/>
      <c r="B856" s="8"/>
      <c r="C856" s="10" t="str">
        <f aca="false">IF(B856="","",IFERROR(VLOOKUP(B856,DonHang!$A$2:$C$500,3,FALSE()),"mã đơn chưa có"))</f>
        <v/>
      </c>
      <c r="D856" s="14"/>
      <c r="E856" s="8"/>
      <c r="F856" s="8"/>
      <c r="G856" s="8"/>
    </row>
    <row r="857" customFormat="false" ht="15" hidden="false" customHeight="false" outlineLevel="0" collapsed="false">
      <c r="A857" s="9"/>
      <c r="B857" s="8"/>
      <c r="C857" s="10" t="str">
        <f aca="false">IF(B857="","",IFERROR(VLOOKUP(B857,DonHang!$A$2:$C$500,3,FALSE()),"mã đơn chưa có"))</f>
        <v/>
      </c>
      <c r="D857" s="14"/>
      <c r="E857" s="8"/>
      <c r="F857" s="8"/>
      <c r="G857" s="8"/>
    </row>
    <row r="858" customFormat="false" ht="15" hidden="false" customHeight="false" outlineLevel="0" collapsed="false">
      <c r="A858" s="9"/>
      <c r="B858" s="8"/>
      <c r="C858" s="10" t="str">
        <f aca="false">IF(B858="","",IFERROR(VLOOKUP(B858,DonHang!$A$2:$C$500,3,FALSE()),"mã đơn chưa có"))</f>
        <v/>
      </c>
      <c r="D858" s="14"/>
      <c r="E858" s="8"/>
      <c r="F858" s="8"/>
      <c r="G858" s="8"/>
    </row>
    <row r="859" customFormat="false" ht="15" hidden="false" customHeight="false" outlineLevel="0" collapsed="false">
      <c r="A859" s="9"/>
      <c r="B859" s="8"/>
      <c r="C859" s="10" t="str">
        <f aca="false">IF(B859="","",IFERROR(VLOOKUP(B859,DonHang!$A$2:$C$500,3,FALSE()),"mã đơn chưa có"))</f>
        <v/>
      </c>
      <c r="D859" s="14"/>
      <c r="E859" s="8"/>
      <c r="F859" s="8"/>
      <c r="G859" s="8"/>
    </row>
    <row r="860" customFormat="false" ht="15" hidden="false" customHeight="false" outlineLevel="0" collapsed="false">
      <c r="A860" s="9"/>
      <c r="B860" s="8"/>
      <c r="C860" s="10" t="str">
        <f aca="false">IF(B860="","",IFERROR(VLOOKUP(B860,DonHang!$A$2:$C$500,3,FALSE()),"mã đơn chưa có"))</f>
        <v/>
      </c>
      <c r="D860" s="14"/>
      <c r="E860" s="8"/>
      <c r="F860" s="8"/>
      <c r="G860" s="8"/>
    </row>
    <row r="861" customFormat="false" ht="15" hidden="false" customHeight="false" outlineLevel="0" collapsed="false">
      <c r="A861" s="9"/>
      <c r="B861" s="8"/>
      <c r="C861" s="10" t="str">
        <f aca="false">IF(B861="","",IFERROR(VLOOKUP(B861,DonHang!$A$2:$C$500,3,FALSE()),"mã đơn chưa có"))</f>
        <v/>
      </c>
      <c r="D861" s="14"/>
      <c r="E861" s="8"/>
      <c r="F861" s="8"/>
      <c r="G861" s="8"/>
    </row>
    <row r="862" customFormat="false" ht="15" hidden="false" customHeight="false" outlineLevel="0" collapsed="false">
      <c r="A862" s="9"/>
      <c r="B862" s="8"/>
      <c r="C862" s="10" t="str">
        <f aca="false">IF(B862="","",IFERROR(VLOOKUP(B862,DonHang!$A$2:$C$500,3,FALSE()),"mã đơn chưa có"))</f>
        <v/>
      </c>
      <c r="D862" s="14"/>
      <c r="E862" s="8"/>
      <c r="F862" s="8"/>
      <c r="G862" s="8"/>
    </row>
    <row r="863" customFormat="false" ht="15" hidden="false" customHeight="false" outlineLevel="0" collapsed="false">
      <c r="A863" s="9"/>
      <c r="B863" s="8"/>
      <c r="C863" s="10" t="str">
        <f aca="false">IF(B863="","",IFERROR(VLOOKUP(B863,DonHang!$A$2:$C$500,3,FALSE()),"mã đơn chưa có"))</f>
        <v/>
      </c>
      <c r="D863" s="14"/>
      <c r="E863" s="8"/>
      <c r="F863" s="8"/>
      <c r="G863" s="8"/>
    </row>
    <row r="864" customFormat="false" ht="15" hidden="false" customHeight="false" outlineLevel="0" collapsed="false">
      <c r="A864" s="9"/>
      <c r="B864" s="8"/>
      <c r="C864" s="10" t="str">
        <f aca="false">IF(B864="","",IFERROR(VLOOKUP(B864,DonHang!$A$2:$C$500,3,FALSE()),"mã đơn chưa có"))</f>
        <v/>
      </c>
      <c r="D864" s="14"/>
      <c r="E864" s="8"/>
      <c r="F864" s="8"/>
      <c r="G864" s="8"/>
    </row>
    <row r="865" customFormat="false" ht="15" hidden="false" customHeight="false" outlineLevel="0" collapsed="false">
      <c r="A865" s="9"/>
      <c r="B865" s="8"/>
      <c r="C865" s="10" t="str">
        <f aca="false">IF(B865="","",IFERROR(VLOOKUP(B865,DonHang!$A$2:$C$500,3,FALSE()),"mã đơn chưa có"))</f>
        <v/>
      </c>
      <c r="D865" s="14"/>
      <c r="E865" s="8"/>
      <c r="F865" s="8"/>
      <c r="G865" s="8"/>
    </row>
    <row r="866" customFormat="false" ht="15" hidden="false" customHeight="false" outlineLevel="0" collapsed="false">
      <c r="A866" s="9"/>
      <c r="B866" s="8"/>
      <c r="C866" s="10" t="str">
        <f aca="false">IF(B866="","",IFERROR(VLOOKUP(B866,DonHang!$A$2:$C$500,3,FALSE()),"mã đơn chưa có"))</f>
        <v/>
      </c>
      <c r="D866" s="14"/>
      <c r="E866" s="8"/>
      <c r="F866" s="8"/>
      <c r="G866" s="8"/>
    </row>
    <row r="867" customFormat="false" ht="15" hidden="false" customHeight="false" outlineLevel="0" collapsed="false">
      <c r="A867" s="9"/>
      <c r="B867" s="8"/>
      <c r="C867" s="10" t="str">
        <f aca="false">IF(B867="","",IFERROR(VLOOKUP(B867,DonHang!$A$2:$C$500,3,FALSE()),"mã đơn chưa có"))</f>
        <v/>
      </c>
      <c r="D867" s="14"/>
      <c r="E867" s="8"/>
      <c r="F867" s="8"/>
      <c r="G867" s="8"/>
    </row>
    <row r="868" customFormat="false" ht="15" hidden="false" customHeight="false" outlineLevel="0" collapsed="false">
      <c r="A868" s="9"/>
      <c r="B868" s="8"/>
      <c r="C868" s="10" t="str">
        <f aca="false">IF(B868="","",IFERROR(VLOOKUP(B868,DonHang!$A$2:$C$500,3,FALSE()),"mã đơn chưa có"))</f>
        <v/>
      </c>
      <c r="D868" s="14"/>
      <c r="E868" s="8"/>
      <c r="F868" s="8"/>
      <c r="G868" s="8"/>
    </row>
    <row r="869" customFormat="false" ht="15" hidden="false" customHeight="false" outlineLevel="0" collapsed="false">
      <c r="A869" s="9"/>
      <c r="B869" s="8"/>
      <c r="C869" s="10" t="str">
        <f aca="false">IF(B869="","",IFERROR(VLOOKUP(B869,DonHang!$A$2:$C$500,3,FALSE()),"mã đơn chưa có"))</f>
        <v/>
      </c>
      <c r="D869" s="14"/>
      <c r="E869" s="8"/>
      <c r="F869" s="8"/>
      <c r="G869" s="8"/>
    </row>
    <row r="870" customFormat="false" ht="15" hidden="false" customHeight="false" outlineLevel="0" collapsed="false">
      <c r="A870" s="9"/>
      <c r="B870" s="8"/>
      <c r="C870" s="10" t="str">
        <f aca="false">IF(B870="","",IFERROR(VLOOKUP(B870,DonHang!$A$2:$C$500,3,FALSE()),"mã đơn chưa có"))</f>
        <v/>
      </c>
      <c r="D870" s="14"/>
      <c r="E870" s="8"/>
      <c r="F870" s="8"/>
      <c r="G870" s="8"/>
    </row>
    <row r="871" customFormat="false" ht="15" hidden="false" customHeight="false" outlineLevel="0" collapsed="false">
      <c r="A871" s="9"/>
      <c r="B871" s="8"/>
      <c r="C871" s="10" t="str">
        <f aca="false">IF(B871="","",IFERROR(VLOOKUP(B871,DonHang!$A$2:$C$500,3,FALSE()),"mã đơn chưa có"))</f>
        <v/>
      </c>
      <c r="D871" s="14"/>
      <c r="E871" s="8"/>
      <c r="F871" s="8"/>
      <c r="G871" s="8"/>
    </row>
    <row r="872" customFormat="false" ht="15" hidden="false" customHeight="false" outlineLevel="0" collapsed="false">
      <c r="A872" s="9"/>
      <c r="B872" s="8"/>
      <c r="C872" s="10" t="str">
        <f aca="false">IF(B872="","",IFERROR(VLOOKUP(B872,DonHang!$A$2:$C$500,3,FALSE()),"mã đơn chưa có"))</f>
        <v/>
      </c>
      <c r="D872" s="14"/>
      <c r="E872" s="8"/>
      <c r="F872" s="8"/>
      <c r="G872" s="8"/>
    </row>
    <row r="873" customFormat="false" ht="15" hidden="false" customHeight="false" outlineLevel="0" collapsed="false">
      <c r="A873" s="9"/>
      <c r="B873" s="8"/>
      <c r="C873" s="10" t="str">
        <f aca="false">IF(B873="","",IFERROR(VLOOKUP(B873,DonHang!$A$2:$C$500,3,FALSE()),"mã đơn chưa có"))</f>
        <v/>
      </c>
      <c r="D873" s="14"/>
      <c r="E873" s="8"/>
      <c r="F873" s="8"/>
      <c r="G873" s="8"/>
    </row>
    <row r="874" customFormat="false" ht="15" hidden="false" customHeight="false" outlineLevel="0" collapsed="false">
      <c r="A874" s="9"/>
      <c r="B874" s="8"/>
      <c r="C874" s="10" t="str">
        <f aca="false">IF(B874="","",IFERROR(VLOOKUP(B874,DonHang!$A$2:$C$500,3,FALSE()),"mã đơn chưa có"))</f>
        <v/>
      </c>
      <c r="D874" s="14"/>
      <c r="E874" s="8"/>
      <c r="F874" s="8"/>
      <c r="G874" s="8"/>
    </row>
    <row r="875" customFormat="false" ht="15" hidden="false" customHeight="false" outlineLevel="0" collapsed="false">
      <c r="A875" s="9"/>
      <c r="B875" s="8"/>
      <c r="C875" s="10" t="str">
        <f aca="false">IF(B875="","",IFERROR(VLOOKUP(B875,DonHang!$A$2:$C$500,3,FALSE()),"mã đơn chưa có"))</f>
        <v/>
      </c>
      <c r="D875" s="14"/>
      <c r="E875" s="8"/>
      <c r="F875" s="8"/>
      <c r="G875" s="8"/>
    </row>
    <row r="876" customFormat="false" ht="15" hidden="false" customHeight="false" outlineLevel="0" collapsed="false">
      <c r="A876" s="9"/>
      <c r="B876" s="8"/>
      <c r="C876" s="10" t="str">
        <f aca="false">IF(B876="","",IFERROR(VLOOKUP(B876,DonHang!$A$2:$C$500,3,FALSE()),"mã đơn chưa có"))</f>
        <v/>
      </c>
      <c r="D876" s="14"/>
      <c r="E876" s="8"/>
      <c r="F876" s="8"/>
      <c r="G876" s="8"/>
    </row>
    <row r="877" customFormat="false" ht="15" hidden="false" customHeight="false" outlineLevel="0" collapsed="false">
      <c r="A877" s="9"/>
      <c r="B877" s="8"/>
      <c r="C877" s="10" t="str">
        <f aca="false">IF(B877="","",IFERROR(VLOOKUP(B877,DonHang!$A$2:$C$500,3,FALSE()),"mã đơn chưa có"))</f>
        <v/>
      </c>
      <c r="D877" s="14"/>
      <c r="E877" s="8"/>
      <c r="F877" s="8"/>
      <c r="G877" s="8"/>
    </row>
    <row r="878" customFormat="false" ht="15" hidden="false" customHeight="false" outlineLevel="0" collapsed="false">
      <c r="A878" s="9"/>
      <c r="B878" s="8"/>
      <c r="C878" s="10" t="str">
        <f aca="false">IF(B878="","",IFERROR(VLOOKUP(B878,DonHang!$A$2:$C$500,3,FALSE()),"mã đơn chưa có"))</f>
        <v/>
      </c>
      <c r="D878" s="14"/>
      <c r="E878" s="8"/>
      <c r="F878" s="8"/>
      <c r="G878" s="8"/>
    </row>
    <row r="879" customFormat="false" ht="15" hidden="false" customHeight="false" outlineLevel="0" collapsed="false">
      <c r="A879" s="9"/>
      <c r="B879" s="8"/>
      <c r="C879" s="10" t="str">
        <f aca="false">IF(B879="","",IFERROR(VLOOKUP(B879,DonHang!$A$2:$C$500,3,FALSE()),"mã đơn chưa có"))</f>
        <v/>
      </c>
      <c r="D879" s="14"/>
      <c r="E879" s="8"/>
      <c r="F879" s="8"/>
      <c r="G879" s="8"/>
    </row>
    <row r="880" customFormat="false" ht="15" hidden="false" customHeight="false" outlineLevel="0" collapsed="false">
      <c r="A880" s="9"/>
      <c r="B880" s="8"/>
      <c r="C880" s="10" t="str">
        <f aca="false">IF(B880="","",IFERROR(VLOOKUP(B880,DonHang!$A$2:$C$500,3,FALSE()),"mã đơn chưa có"))</f>
        <v/>
      </c>
      <c r="D880" s="14"/>
      <c r="E880" s="8"/>
      <c r="F880" s="8"/>
      <c r="G880" s="8"/>
    </row>
    <row r="881" customFormat="false" ht="15" hidden="false" customHeight="false" outlineLevel="0" collapsed="false">
      <c r="A881" s="9"/>
      <c r="B881" s="8"/>
      <c r="C881" s="10" t="str">
        <f aca="false">IF(B881="","",IFERROR(VLOOKUP(B881,DonHang!$A$2:$C$500,3,FALSE()),"mã đơn chưa có"))</f>
        <v/>
      </c>
      <c r="D881" s="14"/>
      <c r="E881" s="8"/>
      <c r="F881" s="8"/>
      <c r="G881" s="8"/>
    </row>
    <row r="882" customFormat="false" ht="15" hidden="false" customHeight="false" outlineLevel="0" collapsed="false">
      <c r="A882" s="9"/>
      <c r="B882" s="8"/>
      <c r="C882" s="10" t="str">
        <f aca="false">IF(B882="","",IFERROR(VLOOKUP(B882,DonHang!$A$2:$C$500,3,FALSE()),"mã đơn chưa có"))</f>
        <v/>
      </c>
      <c r="D882" s="14"/>
      <c r="E882" s="8"/>
      <c r="F882" s="8"/>
      <c r="G882" s="8"/>
    </row>
    <row r="883" customFormat="false" ht="15" hidden="false" customHeight="false" outlineLevel="0" collapsed="false">
      <c r="A883" s="9"/>
      <c r="B883" s="8"/>
      <c r="C883" s="10" t="str">
        <f aca="false">IF(B883="","",IFERROR(VLOOKUP(B883,DonHang!$A$2:$C$500,3,FALSE()),"mã đơn chưa có"))</f>
        <v/>
      </c>
      <c r="D883" s="14"/>
      <c r="E883" s="8"/>
      <c r="F883" s="8"/>
      <c r="G883" s="8"/>
    </row>
    <row r="884" customFormat="false" ht="15" hidden="false" customHeight="false" outlineLevel="0" collapsed="false">
      <c r="A884" s="9"/>
      <c r="B884" s="8"/>
      <c r="C884" s="10" t="str">
        <f aca="false">IF(B884="","",IFERROR(VLOOKUP(B884,DonHang!$A$2:$C$500,3,FALSE()),"mã đơn chưa có"))</f>
        <v/>
      </c>
      <c r="D884" s="14"/>
      <c r="E884" s="8"/>
      <c r="F884" s="8"/>
      <c r="G884" s="8"/>
    </row>
    <row r="885" customFormat="false" ht="15" hidden="false" customHeight="false" outlineLevel="0" collapsed="false">
      <c r="A885" s="9"/>
      <c r="B885" s="8"/>
      <c r="C885" s="10" t="str">
        <f aca="false">IF(B885="","",IFERROR(VLOOKUP(B885,DonHang!$A$2:$C$500,3,FALSE()),"mã đơn chưa có"))</f>
        <v/>
      </c>
      <c r="D885" s="14"/>
      <c r="E885" s="8"/>
      <c r="F885" s="8"/>
      <c r="G885" s="8"/>
    </row>
    <row r="886" customFormat="false" ht="15" hidden="false" customHeight="false" outlineLevel="0" collapsed="false">
      <c r="A886" s="9"/>
      <c r="B886" s="8"/>
      <c r="C886" s="10" t="str">
        <f aca="false">IF(B886="","",IFERROR(VLOOKUP(B886,DonHang!$A$2:$C$500,3,FALSE()),"mã đơn chưa có"))</f>
        <v/>
      </c>
      <c r="D886" s="14"/>
      <c r="E886" s="8"/>
      <c r="F886" s="8"/>
      <c r="G886" s="8"/>
    </row>
    <row r="887" customFormat="false" ht="15" hidden="false" customHeight="false" outlineLevel="0" collapsed="false">
      <c r="A887" s="9"/>
      <c r="B887" s="8"/>
      <c r="C887" s="10" t="str">
        <f aca="false">IF(B887="","",IFERROR(VLOOKUP(B887,DonHang!$A$2:$C$500,3,FALSE()),"mã đơn chưa có"))</f>
        <v/>
      </c>
      <c r="D887" s="14"/>
      <c r="E887" s="8"/>
      <c r="F887" s="8"/>
      <c r="G887" s="8"/>
    </row>
    <row r="888" customFormat="false" ht="15" hidden="false" customHeight="false" outlineLevel="0" collapsed="false">
      <c r="A888" s="9"/>
      <c r="B888" s="8"/>
      <c r="C888" s="10" t="str">
        <f aca="false">IF(B888="","",IFERROR(VLOOKUP(B888,DonHang!$A$2:$C$500,3,FALSE()),"mã đơn chưa có"))</f>
        <v/>
      </c>
      <c r="D888" s="14"/>
      <c r="E888" s="8"/>
      <c r="F888" s="8"/>
      <c r="G888" s="8"/>
    </row>
    <row r="889" customFormat="false" ht="15" hidden="false" customHeight="false" outlineLevel="0" collapsed="false">
      <c r="A889" s="9"/>
      <c r="B889" s="8"/>
      <c r="C889" s="10" t="str">
        <f aca="false">IF(B889="","",IFERROR(VLOOKUP(B889,DonHang!$A$2:$C$500,3,FALSE()),"mã đơn chưa có"))</f>
        <v/>
      </c>
      <c r="D889" s="14"/>
      <c r="E889" s="8"/>
      <c r="F889" s="8"/>
      <c r="G889" s="8"/>
    </row>
    <row r="890" customFormat="false" ht="15" hidden="false" customHeight="false" outlineLevel="0" collapsed="false">
      <c r="A890" s="9"/>
      <c r="B890" s="8"/>
      <c r="C890" s="10" t="str">
        <f aca="false">IF(B890="","",IFERROR(VLOOKUP(B890,DonHang!$A$2:$C$500,3,FALSE()),"mã đơn chưa có"))</f>
        <v/>
      </c>
      <c r="D890" s="14"/>
      <c r="E890" s="8"/>
      <c r="F890" s="8"/>
      <c r="G890" s="8"/>
    </row>
    <row r="891" customFormat="false" ht="15" hidden="false" customHeight="false" outlineLevel="0" collapsed="false">
      <c r="A891" s="9"/>
      <c r="B891" s="8"/>
      <c r="C891" s="10" t="str">
        <f aca="false">IF(B891="","",IFERROR(VLOOKUP(B891,DonHang!$A$2:$C$500,3,FALSE()),"mã đơn chưa có"))</f>
        <v/>
      </c>
      <c r="D891" s="14"/>
      <c r="E891" s="8"/>
      <c r="F891" s="8"/>
      <c r="G891" s="8"/>
    </row>
    <row r="892" customFormat="false" ht="15" hidden="false" customHeight="false" outlineLevel="0" collapsed="false">
      <c r="A892" s="9"/>
      <c r="B892" s="8"/>
      <c r="C892" s="10" t="str">
        <f aca="false">IF(B892="","",IFERROR(VLOOKUP(B892,DonHang!$A$2:$C$500,3,FALSE()),"mã đơn chưa có"))</f>
        <v/>
      </c>
      <c r="D892" s="14"/>
      <c r="E892" s="8"/>
      <c r="F892" s="8"/>
      <c r="G892" s="8"/>
    </row>
    <row r="893" customFormat="false" ht="15" hidden="false" customHeight="false" outlineLevel="0" collapsed="false">
      <c r="A893" s="9"/>
      <c r="B893" s="8"/>
      <c r="C893" s="10" t="str">
        <f aca="false">IF(B893="","",IFERROR(VLOOKUP(B893,DonHang!$A$2:$C$500,3,FALSE()),"mã đơn chưa có"))</f>
        <v/>
      </c>
      <c r="D893" s="14"/>
      <c r="E893" s="8"/>
      <c r="F893" s="8"/>
      <c r="G893" s="8"/>
    </row>
    <row r="894" customFormat="false" ht="15" hidden="false" customHeight="false" outlineLevel="0" collapsed="false">
      <c r="A894" s="9"/>
      <c r="B894" s="8"/>
      <c r="C894" s="10" t="str">
        <f aca="false">IF(B894="","",IFERROR(VLOOKUP(B894,DonHang!$A$2:$C$500,3,FALSE()),"mã đơn chưa có"))</f>
        <v/>
      </c>
      <c r="D894" s="14"/>
      <c r="E894" s="8"/>
      <c r="F894" s="8"/>
      <c r="G894" s="8"/>
    </row>
    <row r="895" customFormat="false" ht="15" hidden="false" customHeight="false" outlineLevel="0" collapsed="false">
      <c r="A895" s="9"/>
      <c r="B895" s="8"/>
      <c r="C895" s="10" t="str">
        <f aca="false">IF(B895="","",IFERROR(VLOOKUP(B895,DonHang!$A$2:$C$500,3,FALSE()),"mã đơn chưa có"))</f>
        <v/>
      </c>
      <c r="D895" s="14"/>
      <c r="E895" s="8"/>
      <c r="F895" s="8"/>
      <c r="G895" s="8"/>
    </row>
    <row r="896" customFormat="false" ht="15" hidden="false" customHeight="false" outlineLevel="0" collapsed="false">
      <c r="A896" s="9"/>
      <c r="B896" s="8"/>
      <c r="C896" s="10" t="str">
        <f aca="false">IF(B896="","",IFERROR(VLOOKUP(B896,DonHang!$A$2:$C$500,3,FALSE()),"mã đơn chưa có"))</f>
        <v/>
      </c>
      <c r="D896" s="14"/>
      <c r="E896" s="8"/>
      <c r="F896" s="8"/>
      <c r="G896" s="8"/>
    </row>
    <row r="897" customFormat="false" ht="15" hidden="false" customHeight="false" outlineLevel="0" collapsed="false">
      <c r="A897" s="9"/>
      <c r="B897" s="8"/>
      <c r="C897" s="10" t="str">
        <f aca="false">IF(B897="","",IFERROR(VLOOKUP(B897,DonHang!$A$2:$C$500,3,FALSE()),"mã đơn chưa có"))</f>
        <v/>
      </c>
      <c r="D897" s="14"/>
      <c r="E897" s="8"/>
      <c r="F897" s="8"/>
      <c r="G897" s="8"/>
    </row>
    <row r="898" customFormat="false" ht="15" hidden="false" customHeight="false" outlineLevel="0" collapsed="false">
      <c r="A898" s="9"/>
      <c r="B898" s="8"/>
      <c r="C898" s="10" t="str">
        <f aca="false">IF(B898="","",IFERROR(VLOOKUP(B898,DonHang!$A$2:$C$500,3,FALSE()),"mã đơn chưa có"))</f>
        <v/>
      </c>
      <c r="D898" s="14"/>
      <c r="E898" s="8"/>
      <c r="F898" s="8"/>
      <c r="G898" s="8"/>
    </row>
    <row r="899" customFormat="false" ht="15" hidden="false" customHeight="false" outlineLevel="0" collapsed="false">
      <c r="A899" s="9"/>
      <c r="B899" s="8"/>
      <c r="C899" s="10" t="str">
        <f aca="false">IF(B899="","",IFERROR(VLOOKUP(B899,DonHang!$A$2:$C$500,3,FALSE()),"mã đơn chưa có"))</f>
        <v/>
      </c>
      <c r="D899" s="14"/>
      <c r="E899" s="8"/>
      <c r="F899" s="8"/>
      <c r="G899" s="8"/>
    </row>
    <row r="900" customFormat="false" ht="15" hidden="false" customHeight="false" outlineLevel="0" collapsed="false">
      <c r="A900" s="9"/>
      <c r="B900" s="8"/>
      <c r="C900" s="10" t="str">
        <f aca="false">IF(B900="","",IFERROR(VLOOKUP(B900,DonHang!$A$2:$C$500,3,FALSE()),"mã đơn chưa có"))</f>
        <v/>
      </c>
      <c r="D900" s="14"/>
      <c r="E900" s="8"/>
      <c r="F900" s="8"/>
      <c r="G900" s="8"/>
    </row>
    <row r="901" customFormat="false" ht="15" hidden="false" customHeight="false" outlineLevel="0" collapsed="false">
      <c r="A901" s="9"/>
      <c r="B901" s="8"/>
      <c r="C901" s="10" t="str">
        <f aca="false">IF(B901="","",IFERROR(VLOOKUP(B901,DonHang!$A$2:$C$500,3,FALSE()),"mã đơn chưa có"))</f>
        <v/>
      </c>
      <c r="D901" s="14"/>
      <c r="E901" s="8"/>
      <c r="F901" s="8"/>
      <c r="G901" s="8"/>
    </row>
    <row r="902" customFormat="false" ht="15" hidden="false" customHeight="false" outlineLevel="0" collapsed="false">
      <c r="A902" s="9"/>
      <c r="B902" s="8"/>
      <c r="C902" s="10" t="str">
        <f aca="false">IF(B902="","",IFERROR(VLOOKUP(B902,DonHang!$A$2:$C$500,3,FALSE()),"mã đơn chưa có"))</f>
        <v/>
      </c>
      <c r="D902" s="14"/>
      <c r="E902" s="8"/>
      <c r="F902" s="8"/>
      <c r="G902" s="8"/>
    </row>
    <row r="903" customFormat="false" ht="15" hidden="false" customHeight="false" outlineLevel="0" collapsed="false">
      <c r="A903" s="9"/>
      <c r="B903" s="8"/>
      <c r="C903" s="10" t="str">
        <f aca="false">IF(B903="","",IFERROR(VLOOKUP(B903,DonHang!$A$2:$C$500,3,FALSE()),"mã đơn chưa có"))</f>
        <v/>
      </c>
      <c r="D903" s="14"/>
      <c r="E903" s="8"/>
      <c r="F903" s="8"/>
      <c r="G903" s="8"/>
    </row>
    <row r="904" customFormat="false" ht="15" hidden="false" customHeight="false" outlineLevel="0" collapsed="false">
      <c r="A904" s="9"/>
      <c r="B904" s="8"/>
      <c r="C904" s="10" t="str">
        <f aca="false">IF(B904="","",IFERROR(VLOOKUP(B904,DonHang!$A$2:$C$500,3,FALSE()),"mã đơn chưa có"))</f>
        <v/>
      </c>
      <c r="D904" s="14"/>
      <c r="E904" s="8"/>
      <c r="F904" s="8"/>
      <c r="G904" s="8"/>
    </row>
    <row r="905" customFormat="false" ht="15" hidden="false" customHeight="false" outlineLevel="0" collapsed="false">
      <c r="A905" s="9"/>
      <c r="B905" s="8"/>
      <c r="C905" s="10" t="str">
        <f aca="false">IF(B905="","",IFERROR(VLOOKUP(B905,DonHang!$A$2:$C$500,3,FALSE()),"mã đơn chưa có"))</f>
        <v/>
      </c>
      <c r="D905" s="14"/>
      <c r="E905" s="8"/>
      <c r="F905" s="8"/>
      <c r="G905" s="8"/>
    </row>
    <row r="906" customFormat="false" ht="15" hidden="false" customHeight="false" outlineLevel="0" collapsed="false">
      <c r="A906" s="9"/>
      <c r="B906" s="8"/>
      <c r="C906" s="10" t="str">
        <f aca="false">IF(B906="","",IFERROR(VLOOKUP(B906,DonHang!$A$2:$C$500,3,FALSE()),"mã đơn chưa có"))</f>
        <v/>
      </c>
      <c r="D906" s="14"/>
      <c r="E906" s="8"/>
      <c r="F906" s="8"/>
      <c r="G906" s="8"/>
    </row>
    <row r="907" customFormat="false" ht="15" hidden="false" customHeight="false" outlineLevel="0" collapsed="false">
      <c r="A907" s="9"/>
      <c r="B907" s="8"/>
      <c r="C907" s="10" t="str">
        <f aca="false">IF(B907="","",IFERROR(VLOOKUP(B907,DonHang!$A$2:$C$500,3,FALSE()),"mã đơn chưa có"))</f>
        <v/>
      </c>
      <c r="D907" s="14"/>
      <c r="E907" s="8"/>
      <c r="F907" s="8"/>
      <c r="G907" s="8"/>
    </row>
    <row r="908" customFormat="false" ht="15" hidden="false" customHeight="false" outlineLevel="0" collapsed="false">
      <c r="A908" s="9"/>
      <c r="B908" s="8"/>
      <c r="C908" s="10" t="str">
        <f aca="false">IF(B908="","",IFERROR(VLOOKUP(B908,DonHang!$A$2:$C$500,3,FALSE()),"mã đơn chưa có"))</f>
        <v/>
      </c>
      <c r="D908" s="14"/>
      <c r="E908" s="8"/>
      <c r="F908" s="8"/>
      <c r="G908" s="8"/>
    </row>
    <row r="909" customFormat="false" ht="15" hidden="false" customHeight="false" outlineLevel="0" collapsed="false">
      <c r="A909" s="9"/>
      <c r="B909" s="8"/>
      <c r="C909" s="10" t="str">
        <f aca="false">IF(B909="","",IFERROR(VLOOKUP(B909,DonHang!$A$2:$C$500,3,FALSE()),"mã đơn chưa có"))</f>
        <v/>
      </c>
      <c r="D909" s="14"/>
      <c r="E909" s="8"/>
      <c r="F909" s="8"/>
      <c r="G909" s="8"/>
    </row>
    <row r="910" customFormat="false" ht="15" hidden="false" customHeight="false" outlineLevel="0" collapsed="false">
      <c r="A910" s="9"/>
      <c r="B910" s="8"/>
      <c r="C910" s="10" t="str">
        <f aca="false">IF(B910="","",IFERROR(VLOOKUP(B910,DonHang!$A$2:$C$500,3,FALSE()),"mã đơn chưa có"))</f>
        <v/>
      </c>
      <c r="D910" s="14"/>
      <c r="E910" s="8"/>
      <c r="F910" s="8"/>
      <c r="G910" s="8"/>
    </row>
    <row r="911" customFormat="false" ht="15" hidden="false" customHeight="false" outlineLevel="0" collapsed="false">
      <c r="A911" s="9"/>
      <c r="B911" s="8"/>
      <c r="C911" s="10" t="str">
        <f aca="false">IF(B911="","",IFERROR(VLOOKUP(B911,DonHang!$A$2:$C$500,3,FALSE()),"mã đơn chưa có"))</f>
        <v/>
      </c>
      <c r="D911" s="14"/>
      <c r="E911" s="8"/>
      <c r="F911" s="8"/>
      <c r="G911" s="8"/>
    </row>
    <row r="912" customFormat="false" ht="15" hidden="false" customHeight="false" outlineLevel="0" collapsed="false">
      <c r="A912" s="9"/>
      <c r="B912" s="8"/>
      <c r="C912" s="10" t="str">
        <f aca="false">IF(B912="","",IFERROR(VLOOKUP(B912,DonHang!$A$2:$C$500,3,FALSE()),"mã đơn chưa có"))</f>
        <v/>
      </c>
      <c r="D912" s="14"/>
      <c r="E912" s="8"/>
      <c r="F912" s="8"/>
      <c r="G912" s="8"/>
    </row>
    <row r="913" customFormat="false" ht="15" hidden="false" customHeight="false" outlineLevel="0" collapsed="false">
      <c r="A913" s="9"/>
      <c r="B913" s="8"/>
      <c r="C913" s="10" t="str">
        <f aca="false">IF(B913="","",IFERROR(VLOOKUP(B913,DonHang!$A$2:$C$500,3,FALSE()),"mã đơn chưa có"))</f>
        <v/>
      </c>
      <c r="D913" s="14"/>
      <c r="E913" s="8"/>
      <c r="F913" s="8"/>
      <c r="G913" s="8"/>
    </row>
    <row r="914" customFormat="false" ht="15" hidden="false" customHeight="false" outlineLevel="0" collapsed="false">
      <c r="A914" s="9"/>
      <c r="B914" s="8"/>
      <c r="C914" s="10" t="str">
        <f aca="false">IF(B914="","",IFERROR(VLOOKUP(B914,DonHang!$A$2:$C$500,3,FALSE()),"mã đơn chưa có"))</f>
        <v/>
      </c>
      <c r="D914" s="14"/>
      <c r="E914" s="8"/>
      <c r="F914" s="8"/>
      <c r="G914" s="8"/>
    </row>
    <row r="915" customFormat="false" ht="15" hidden="false" customHeight="false" outlineLevel="0" collapsed="false">
      <c r="A915" s="9"/>
      <c r="B915" s="8"/>
      <c r="C915" s="10" t="str">
        <f aca="false">IF(B915="","",IFERROR(VLOOKUP(B915,DonHang!$A$2:$C$500,3,FALSE()),"mã đơn chưa có"))</f>
        <v/>
      </c>
      <c r="D915" s="14"/>
      <c r="E915" s="8"/>
      <c r="F915" s="8"/>
      <c r="G915" s="8"/>
    </row>
    <row r="916" customFormat="false" ht="15" hidden="false" customHeight="false" outlineLevel="0" collapsed="false">
      <c r="A916" s="9"/>
      <c r="B916" s="8"/>
      <c r="C916" s="10" t="str">
        <f aca="false">IF(B916="","",IFERROR(VLOOKUP(B916,DonHang!$A$2:$C$500,3,FALSE()),"mã đơn chưa có"))</f>
        <v/>
      </c>
      <c r="D916" s="14"/>
      <c r="E916" s="8"/>
      <c r="F916" s="8"/>
      <c r="G916" s="8"/>
    </row>
    <row r="917" customFormat="false" ht="15" hidden="false" customHeight="false" outlineLevel="0" collapsed="false">
      <c r="A917" s="9"/>
      <c r="B917" s="8"/>
      <c r="C917" s="10" t="str">
        <f aca="false">IF(B917="","",IFERROR(VLOOKUP(B917,DonHang!$A$2:$C$500,3,FALSE()),"mã đơn chưa có"))</f>
        <v/>
      </c>
      <c r="D917" s="14"/>
      <c r="E917" s="8"/>
      <c r="F917" s="8"/>
      <c r="G917" s="8"/>
    </row>
    <row r="918" customFormat="false" ht="15" hidden="false" customHeight="false" outlineLevel="0" collapsed="false">
      <c r="A918" s="9"/>
      <c r="B918" s="8"/>
      <c r="C918" s="10" t="str">
        <f aca="false">IF(B918="","",IFERROR(VLOOKUP(B918,DonHang!$A$2:$C$500,3,FALSE()),"mã đơn chưa có"))</f>
        <v/>
      </c>
      <c r="D918" s="14"/>
      <c r="E918" s="8"/>
      <c r="F918" s="8"/>
      <c r="G918" s="8"/>
    </row>
    <row r="919" customFormat="false" ht="15" hidden="false" customHeight="false" outlineLevel="0" collapsed="false">
      <c r="A919" s="9"/>
      <c r="B919" s="8"/>
      <c r="C919" s="10" t="str">
        <f aca="false">IF(B919="","",IFERROR(VLOOKUP(B919,DonHang!$A$2:$C$500,3,FALSE()),"mã đơn chưa có"))</f>
        <v/>
      </c>
      <c r="D919" s="14"/>
      <c r="E919" s="8"/>
      <c r="F919" s="8"/>
      <c r="G919" s="8"/>
    </row>
    <row r="920" customFormat="false" ht="15" hidden="false" customHeight="false" outlineLevel="0" collapsed="false">
      <c r="A920" s="9"/>
      <c r="B920" s="8"/>
      <c r="C920" s="10" t="str">
        <f aca="false">IF(B920="","",IFERROR(VLOOKUP(B920,DonHang!$A$2:$C$500,3,FALSE()),"mã đơn chưa có"))</f>
        <v/>
      </c>
      <c r="D920" s="14"/>
      <c r="E920" s="8"/>
      <c r="F920" s="8"/>
      <c r="G920" s="8"/>
    </row>
    <row r="921" customFormat="false" ht="15" hidden="false" customHeight="false" outlineLevel="0" collapsed="false">
      <c r="A921" s="9"/>
      <c r="B921" s="8"/>
      <c r="C921" s="10" t="str">
        <f aca="false">IF(B921="","",IFERROR(VLOOKUP(B921,DonHang!$A$2:$C$500,3,FALSE()),"mã đơn chưa có"))</f>
        <v/>
      </c>
      <c r="D921" s="14"/>
      <c r="E921" s="8"/>
      <c r="F921" s="8"/>
      <c r="G921" s="8"/>
    </row>
    <row r="922" customFormat="false" ht="15" hidden="false" customHeight="false" outlineLevel="0" collapsed="false">
      <c r="A922" s="9"/>
      <c r="B922" s="8"/>
      <c r="C922" s="10" t="str">
        <f aca="false">IF(B922="","",IFERROR(VLOOKUP(B922,DonHang!$A$2:$C$500,3,FALSE()),"mã đơn chưa có"))</f>
        <v/>
      </c>
      <c r="D922" s="14"/>
      <c r="E922" s="8"/>
      <c r="F922" s="8"/>
      <c r="G922" s="8"/>
    </row>
    <row r="923" customFormat="false" ht="15" hidden="false" customHeight="false" outlineLevel="0" collapsed="false">
      <c r="A923" s="9"/>
      <c r="B923" s="8"/>
      <c r="C923" s="10" t="str">
        <f aca="false">IF(B923="","",IFERROR(VLOOKUP(B923,DonHang!$A$2:$C$500,3,FALSE()),"mã đơn chưa có"))</f>
        <v/>
      </c>
      <c r="D923" s="14"/>
      <c r="E923" s="8"/>
      <c r="F923" s="8"/>
      <c r="G923" s="8"/>
    </row>
    <row r="924" customFormat="false" ht="15" hidden="false" customHeight="false" outlineLevel="0" collapsed="false">
      <c r="A924" s="9"/>
      <c r="B924" s="8"/>
      <c r="C924" s="10" t="str">
        <f aca="false">IF(B924="","",IFERROR(VLOOKUP(B924,DonHang!$A$2:$C$500,3,FALSE()),"mã đơn chưa có"))</f>
        <v/>
      </c>
      <c r="D924" s="14"/>
      <c r="E924" s="8"/>
      <c r="F924" s="8"/>
      <c r="G924" s="8"/>
    </row>
    <row r="925" customFormat="false" ht="15" hidden="false" customHeight="false" outlineLevel="0" collapsed="false">
      <c r="A925" s="9"/>
      <c r="B925" s="8"/>
      <c r="C925" s="10" t="str">
        <f aca="false">IF(B925="","",IFERROR(VLOOKUP(B925,DonHang!$A$2:$C$500,3,FALSE()),"mã đơn chưa có"))</f>
        <v/>
      </c>
      <c r="D925" s="14"/>
      <c r="E925" s="8"/>
      <c r="F925" s="8"/>
      <c r="G925" s="8"/>
    </row>
    <row r="926" customFormat="false" ht="15" hidden="false" customHeight="false" outlineLevel="0" collapsed="false">
      <c r="A926" s="9"/>
      <c r="B926" s="8"/>
      <c r="C926" s="10" t="str">
        <f aca="false">IF(B926="","",IFERROR(VLOOKUP(B926,DonHang!$A$2:$C$500,3,FALSE()),"mã đơn chưa có"))</f>
        <v/>
      </c>
      <c r="D926" s="14"/>
      <c r="E926" s="8"/>
      <c r="F926" s="8"/>
      <c r="G926" s="8"/>
    </row>
    <row r="927" customFormat="false" ht="15" hidden="false" customHeight="false" outlineLevel="0" collapsed="false">
      <c r="A927" s="9"/>
      <c r="B927" s="8"/>
      <c r="C927" s="10" t="str">
        <f aca="false">IF(B927="","",IFERROR(VLOOKUP(B927,DonHang!$A$2:$C$500,3,FALSE()),"mã đơn chưa có"))</f>
        <v/>
      </c>
      <c r="D927" s="14"/>
      <c r="E927" s="8"/>
      <c r="F927" s="8"/>
      <c r="G927" s="8"/>
    </row>
    <row r="928" customFormat="false" ht="15" hidden="false" customHeight="false" outlineLevel="0" collapsed="false">
      <c r="A928" s="9"/>
      <c r="B928" s="8"/>
      <c r="C928" s="10" t="str">
        <f aca="false">IF(B928="","",IFERROR(VLOOKUP(B928,DonHang!$A$2:$C$500,3,FALSE()),"mã đơn chưa có"))</f>
        <v/>
      </c>
      <c r="D928" s="14"/>
      <c r="E928" s="8"/>
      <c r="F928" s="8"/>
      <c r="G928" s="8"/>
    </row>
    <row r="929" customFormat="false" ht="15" hidden="false" customHeight="false" outlineLevel="0" collapsed="false">
      <c r="A929" s="9"/>
      <c r="B929" s="8"/>
      <c r="C929" s="10" t="str">
        <f aca="false">IF(B929="","",IFERROR(VLOOKUP(B929,DonHang!$A$2:$C$500,3,FALSE()),"mã đơn chưa có"))</f>
        <v/>
      </c>
      <c r="D929" s="14"/>
      <c r="E929" s="8"/>
      <c r="F929" s="8"/>
      <c r="G929" s="8"/>
    </row>
    <row r="930" customFormat="false" ht="15" hidden="false" customHeight="false" outlineLevel="0" collapsed="false">
      <c r="A930" s="9"/>
      <c r="B930" s="8"/>
      <c r="C930" s="10" t="str">
        <f aca="false">IF(B930="","",IFERROR(VLOOKUP(B930,DonHang!$A$2:$C$500,3,FALSE()),"mã đơn chưa có"))</f>
        <v/>
      </c>
      <c r="D930" s="14"/>
      <c r="E930" s="8"/>
      <c r="F930" s="8"/>
      <c r="G930" s="8"/>
    </row>
    <row r="931" customFormat="false" ht="15" hidden="false" customHeight="false" outlineLevel="0" collapsed="false">
      <c r="A931" s="9"/>
      <c r="B931" s="8"/>
      <c r="C931" s="10" t="str">
        <f aca="false">IF(B931="","",IFERROR(VLOOKUP(B931,DonHang!$A$2:$C$500,3,FALSE()),"mã đơn chưa có"))</f>
        <v/>
      </c>
      <c r="D931" s="14"/>
      <c r="E931" s="8"/>
      <c r="F931" s="8"/>
      <c r="G931" s="8"/>
    </row>
    <row r="932" customFormat="false" ht="15" hidden="false" customHeight="false" outlineLevel="0" collapsed="false">
      <c r="A932" s="9"/>
      <c r="B932" s="8"/>
      <c r="C932" s="10" t="str">
        <f aca="false">IF(B932="","",IFERROR(VLOOKUP(B932,DonHang!$A$2:$C$500,3,FALSE()),"mã đơn chưa có"))</f>
        <v/>
      </c>
      <c r="D932" s="14"/>
      <c r="E932" s="8"/>
      <c r="F932" s="8"/>
      <c r="G932" s="8"/>
    </row>
    <row r="933" customFormat="false" ht="15" hidden="false" customHeight="false" outlineLevel="0" collapsed="false">
      <c r="A933" s="9"/>
      <c r="B933" s="8"/>
      <c r="C933" s="10" t="str">
        <f aca="false">IF(B933="","",IFERROR(VLOOKUP(B933,DonHang!$A$2:$C$500,3,FALSE()),"mã đơn chưa có"))</f>
        <v/>
      </c>
      <c r="D933" s="14"/>
      <c r="E933" s="8"/>
      <c r="F933" s="8"/>
      <c r="G933" s="8"/>
    </row>
    <row r="934" customFormat="false" ht="15" hidden="false" customHeight="false" outlineLevel="0" collapsed="false">
      <c r="A934" s="9"/>
      <c r="B934" s="8"/>
      <c r="C934" s="10" t="str">
        <f aca="false">IF(B934="","",IFERROR(VLOOKUP(B934,DonHang!$A$2:$C$500,3,FALSE()),"mã đơn chưa có"))</f>
        <v/>
      </c>
      <c r="D934" s="14"/>
      <c r="E934" s="8"/>
      <c r="F934" s="8"/>
      <c r="G934" s="8"/>
    </row>
    <row r="935" customFormat="false" ht="15" hidden="false" customHeight="false" outlineLevel="0" collapsed="false">
      <c r="A935" s="9"/>
      <c r="B935" s="8"/>
      <c r="C935" s="10" t="str">
        <f aca="false">IF(B935="","",IFERROR(VLOOKUP(B935,DonHang!$A$2:$C$500,3,FALSE()),"mã đơn chưa có"))</f>
        <v/>
      </c>
      <c r="D935" s="14"/>
      <c r="E935" s="8"/>
      <c r="F935" s="8"/>
      <c r="G935" s="8"/>
    </row>
    <row r="936" customFormat="false" ht="15" hidden="false" customHeight="false" outlineLevel="0" collapsed="false">
      <c r="A936" s="9"/>
      <c r="B936" s="8"/>
      <c r="C936" s="10" t="str">
        <f aca="false">IF(B936="","",IFERROR(VLOOKUP(B936,DonHang!$A$2:$C$500,3,FALSE()),"mã đơn chưa có"))</f>
        <v/>
      </c>
      <c r="D936" s="14"/>
      <c r="E936" s="8"/>
      <c r="F936" s="8"/>
      <c r="G936" s="8"/>
    </row>
    <row r="937" customFormat="false" ht="15" hidden="false" customHeight="false" outlineLevel="0" collapsed="false">
      <c r="A937" s="9"/>
      <c r="B937" s="8"/>
      <c r="C937" s="10" t="str">
        <f aca="false">IF(B937="","",IFERROR(VLOOKUP(B937,DonHang!$A$2:$C$500,3,FALSE()),"mã đơn chưa có"))</f>
        <v/>
      </c>
      <c r="D937" s="14"/>
      <c r="E937" s="8"/>
      <c r="F937" s="8"/>
      <c r="G937" s="8"/>
    </row>
    <row r="938" customFormat="false" ht="15" hidden="false" customHeight="false" outlineLevel="0" collapsed="false">
      <c r="A938" s="9"/>
      <c r="B938" s="8"/>
      <c r="C938" s="10" t="str">
        <f aca="false">IF(B938="","",IFERROR(VLOOKUP(B938,DonHang!$A$2:$C$500,3,FALSE()),"mã đơn chưa có"))</f>
        <v/>
      </c>
      <c r="D938" s="14"/>
      <c r="E938" s="8"/>
      <c r="F938" s="8"/>
      <c r="G938" s="8"/>
    </row>
    <row r="939" customFormat="false" ht="15" hidden="false" customHeight="false" outlineLevel="0" collapsed="false">
      <c r="A939" s="9"/>
      <c r="B939" s="8"/>
      <c r="C939" s="10" t="str">
        <f aca="false">IF(B939="","",IFERROR(VLOOKUP(B939,DonHang!$A$2:$C$500,3,FALSE()),"mã đơn chưa có"))</f>
        <v/>
      </c>
      <c r="D939" s="14"/>
      <c r="E939" s="8"/>
      <c r="F939" s="8"/>
      <c r="G939" s="8"/>
    </row>
    <row r="940" customFormat="false" ht="15" hidden="false" customHeight="false" outlineLevel="0" collapsed="false">
      <c r="A940" s="9"/>
      <c r="B940" s="8"/>
      <c r="C940" s="10" t="str">
        <f aca="false">IF(B940="","",IFERROR(VLOOKUP(B940,DonHang!$A$2:$C$500,3,FALSE()),"mã đơn chưa có"))</f>
        <v/>
      </c>
      <c r="D940" s="14"/>
      <c r="E940" s="8"/>
      <c r="F940" s="8"/>
      <c r="G940" s="8"/>
    </row>
    <row r="941" customFormat="false" ht="15" hidden="false" customHeight="false" outlineLevel="0" collapsed="false">
      <c r="A941" s="9"/>
      <c r="B941" s="8"/>
      <c r="C941" s="10" t="str">
        <f aca="false">IF(B941="","",IFERROR(VLOOKUP(B941,DonHang!$A$2:$C$500,3,FALSE()),"mã đơn chưa có"))</f>
        <v/>
      </c>
      <c r="D941" s="14"/>
      <c r="E941" s="8"/>
      <c r="F941" s="8"/>
      <c r="G941" s="8"/>
    </row>
    <row r="942" customFormat="false" ht="15" hidden="false" customHeight="false" outlineLevel="0" collapsed="false">
      <c r="A942" s="9"/>
      <c r="B942" s="8"/>
      <c r="C942" s="10" t="str">
        <f aca="false">IF(B942="","",IFERROR(VLOOKUP(B942,DonHang!$A$2:$C$500,3,FALSE()),"mã đơn chưa có"))</f>
        <v/>
      </c>
      <c r="D942" s="14"/>
      <c r="E942" s="8"/>
      <c r="F942" s="8"/>
      <c r="G942" s="8"/>
    </row>
    <row r="943" customFormat="false" ht="15" hidden="false" customHeight="false" outlineLevel="0" collapsed="false">
      <c r="A943" s="9"/>
      <c r="B943" s="8"/>
      <c r="C943" s="10" t="str">
        <f aca="false">IF(B943="","",IFERROR(VLOOKUP(B943,DonHang!$A$2:$C$500,3,FALSE()),"mã đơn chưa có"))</f>
        <v/>
      </c>
      <c r="D943" s="14"/>
      <c r="E943" s="8"/>
      <c r="F943" s="8"/>
      <c r="G943" s="8"/>
    </row>
    <row r="944" customFormat="false" ht="15" hidden="false" customHeight="false" outlineLevel="0" collapsed="false">
      <c r="A944" s="9"/>
      <c r="B944" s="8"/>
      <c r="C944" s="10" t="str">
        <f aca="false">IF(B944="","",IFERROR(VLOOKUP(B944,DonHang!$A$2:$C$500,3,FALSE()),"mã đơn chưa có"))</f>
        <v/>
      </c>
      <c r="D944" s="14"/>
      <c r="E944" s="8"/>
      <c r="F944" s="8"/>
      <c r="G944" s="8"/>
    </row>
    <row r="945" customFormat="false" ht="15" hidden="false" customHeight="false" outlineLevel="0" collapsed="false">
      <c r="A945" s="9"/>
      <c r="B945" s="8"/>
      <c r="C945" s="10" t="str">
        <f aca="false">IF(B945="","",IFERROR(VLOOKUP(B945,DonHang!$A$2:$C$500,3,FALSE()),"mã đơn chưa có"))</f>
        <v/>
      </c>
      <c r="D945" s="14"/>
      <c r="E945" s="8"/>
      <c r="F945" s="8"/>
      <c r="G945" s="8"/>
    </row>
    <row r="946" customFormat="false" ht="15" hidden="false" customHeight="false" outlineLevel="0" collapsed="false">
      <c r="A946" s="9"/>
      <c r="B946" s="8"/>
      <c r="C946" s="10" t="str">
        <f aca="false">IF(B946="","",IFERROR(VLOOKUP(B946,DonHang!$A$2:$C$500,3,FALSE()),"mã đơn chưa có"))</f>
        <v/>
      </c>
      <c r="D946" s="14"/>
      <c r="E946" s="8"/>
      <c r="F946" s="8"/>
      <c r="G946" s="8"/>
    </row>
    <row r="947" customFormat="false" ht="15" hidden="false" customHeight="false" outlineLevel="0" collapsed="false">
      <c r="A947" s="9"/>
      <c r="B947" s="8"/>
      <c r="C947" s="10" t="str">
        <f aca="false">IF(B947="","",IFERROR(VLOOKUP(B947,DonHang!$A$2:$C$500,3,FALSE()),"mã đơn chưa có"))</f>
        <v/>
      </c>
      <c r="D947" s="14"/>
      <c r="E947" s="8"/>
      <c r="F947" s="8"/>
      <c r="G947" s="8"/>
    </row>
    <row r="948" customFormat="false" ht="15" hidden="false" customHeight="false" outlineLevel="0" collapsed="false">
      <c r="A948" s="9"/>
      <c r="B948" s="8"/>
      <c r="C948" s="10" t="str">
        <f aca="false">IF(B948="","",IFERROR(VLOOKUP(B948,DonHang!$A$2:$C$500,3,FALSE()),"mã đơn chưa có"))</f>
        <v/>
      </c>
      <c r="D948" s="14"/>
      <c r="E948" s="8"/>
      <c r="F948" s="8"/>
      <c r="G948" s="8"/>
    </row>
    <row r="949" customFormat="false" ht="15" hidden="false" customHeight="false" outlineLevel="0" collapsed="false">
      <c r="A949" s="9"/>
      <c r="B949" s="8"/>
      <c r="C949" s="10" t="str">
        <f aca="false">IF(B949="","",IFERROR(VLOOKUP(B949,DonHang!$A$2:$C$500,3,FALSE()),"mã đơn chưa có"))</f>
        <v/>
      </c>
      <c r="D949" s="14"/>
      <c r="E949" s="8"/>
      <c r="F949" s="8"/>
      <c r="G949" s="8"/>
    </row>
    <row r="950" customFormat="false" ht="15" hidden="false" customHeight="false" outlineLevel="0" collapsed="false">
      <c r="A950" s="9"/>
      <c r="B950" s="8"/>
      <c r="C950" s="10" t="str">
        <f aca="false">IF(B950="","",IFERROR(VLOOKUP(B950,DonHang!$A$2:$C$500,3,FALSE()),"mã đơn chưa có"))</f>
        <v/>
      </c>
      <c r="D950" s="14"/>
      <c r="E950" s="8"/>
      <c r="F950" s="8"/>
      <c r="G950" s="8"/>
    </row>
    <row r="951" customFormat="false" ht="15" hidden="false" customHeight="false" outlineLevel="0" collapsed="false">
      <c r="A951" s="9"/>
      <c r="B951" s="8"/>
      <c r="C951" s="10" t="str">
        <f aca="false">IF(B951="","",IFERROR(VLOOKUP(B951,DonHang!$A$2:$C$500,3,FALSE()),"mã đơn chưa có"))</f>
        <v/>
      </c>
      <c r="D951" s="14"/>
      <c r="E951" s="8"/>
      <c r="F951" s="8"/>
      <c r="G951" s="8"/>
    </row>
    <row r="952" customFormat="false" ht="15" hidden="false" customHeight="false" outlineLevel="0" collapsed="false">
      <c r="A952" s="9"/>
      <c r="B952" s="8"/>
      <c r="C952" s="10" t="str">
        <f aca="false">IF(B952="","",IFERROR(VLOOKUP(B952,DonHang!$A$2:$C$500,3,FALSE()),"mã đơn chưa có"))</f>
        <v/>
      </c>
      <c r="D952" s="14"/>
      <c r="E952" s="8"/>
      <c r="F952" s="8"/>
      <c r="G952" s="8"/>
    </row>
    <row r="953" customFormat="false" ht="15" hidden="false" customHeight="false" outlineLevel="0" collapsed="false">
      <c r="A953" s="9"/>
      <c r="B953" s="8"/>
      <c r="C953" s="10" t="str">
        <f aca="false">IF(B953="","",IFERROR(VLOOKUP(B953,DonHang!$A$2:$C$500,3,FALSE()),"mã đơn chưa có"))</f>
        <v/>
      </c>
      <c r="D953" s="14"/>
      <c r="E953" s="8"/>
      <c r="F953" s="8"/>
      <c r="G953" s="8"/>
    </row>
    <row r="954" customFormat="false" ht="15" hidden="false" customHeight="false" outlineLevel="0" collapsed="false">
      <c r="A954" s="9"/>
      <c r="B954" s="8"/>
      <c r="C954" s="10" t="str">
        <f aca="false">IF(B954="","",IFERROR(VLOOKUP(B954,DonHang!$A$2:$C$500,3,FALSE()),"mã đơn chưa có"))</f>
        <v/>
      </c>
      <c r="D954" s="14"/>
      <c r="E954" s="8"/>
      <c r="F954" s="8"/>
      <c r="G954" s="8"/>
    </row>
    <row r="955" customFormat="false" ht="15" hidden="false" customHeight="false" outlineLevel="0" collapsed="false">
      <c r="A955" s="9"/>
      <c r="B955" s="8"/>
      <c r="C955" s="10" t="str">
        <f aca="false">IF(B955="","",IFERROR(VLOOKUP(B955,DonHang!$A$2:$C$500,3,FALSE()),"mã đơn chưa có"))</f>
        <v/>
      </c>
      <c r="D955" s="14"/>
      <c r="E955" s="8"/>
      <c r="F955" s="8"/>
      <c r="G955" s="8"/>
    </row>
    <row r="956" customFormat="false" ht="15" hidden="false" customHeight="false" outlineLevel="0" collapsed="false">
      <c r="A956" s="9"/>
      <c r="B956" s="8"/>
      <c r="C956" s="10" t="str">
        <f aca="false">IF(B956="","",IFERROR(VLOOKUP(B956,DonHang!$A$2:$C$500,3,FALSE()),"mã đơn chưa có"))</f>
        <v/>
      </c>
      <c r="D956" s="14"/>
      <c r="E956" s="8"/>
      <c r="F956" s="8"/>
      <c r="G956" s="8"/>
    </row>
    <row r="957" customFormat="false" ht="15" hidden="false" customHeight="false" outlineLevel="0" collapsed="false">
      <c r="A957" s="9"/>
      <c r="B957" s="8"/>
      <c r="C957" s="10" t="str">
        <f aca="false">IF(B957="","",IFERROR(VLOOKUP(B957,DonHang!$A$2:$C$500,3,FALSE()),"mã đơn chưa có"))</f>
        <v/>
      </c>
      <c r="D957" s="14"/>
      <c r="E957" s="8"/>
      <c r="F957" s="8"/>
      <c r="G957" s="8"/>
    </row>
    <row r="958" customFormat="false" ht="15" hidden="false" customHeight="false" outlineLevel="0" collapsed="false">
      <c r="A958" s="9"/>
      <c r="B958" s="8"/>
      <c r="C958" s="10" t="str">
        <f aca="false">IF(B958="","",IFERROR(VLOOKUP(B958,DonHang!$A$2:$C$500,3,FALSE()),"mã đơn chưa có"))</f>
        <v/>
      </c>
      <c r="D958" s="14"/>
      <c r="E958" s="8"/>
      <c r="F958" s="8"/>
      <c r="G958" s="8"/>
    </row>
    <row r="959" customFormat="false" ht="15" hidden="false" customHeight="false" outlineLevel="0" collapsed="false">
      <c r="A959" s="9"/>
      <c r="B959" s="8"/>
      <c r="C959" s="10" t="str">
        <f aca="false">IF(B959="","",IFERROR(VLOOKUP(B959,DonHang!$A$2:$C$500,3,FALSE()),"mã đơn chưa có"))</f>
        <v/>
      </c>
      <c r="D959" s="14"/>
      <c r="E959" s="8"/>
      <c r="F959" s="8"/>
      <c r="G959" s="8"/>
    </row>
    <row r="960" customFormat="false" ht="15" hidden="false" customHeight="false" outlineLevel="0" collapsed="false">
      <c r="A960" s="9"/>
      <c r="B960" s="8"/>
      <c r="C960" s="10" t="str">
        <f aca="false">IF(B960="","",IFERROR(VLOOKUP(B960,DonHang!$A$2:$C$500,3,FALSE()),"mã đơn chưa có"))</f>
        <v/>
      </c>
      <c r="D960" s="14"/>
      <c r="E960" s="8"/>
      <c r="F960" s="8"/>
      <c r="G960" s="8"/>
    </row>
    <row r="961" customFormat="false" ht="15" hidden="false" customHeight="false" outlineLevel="0" collapsed="false">
      <c r="A961" s="9"/>
      <c r="B961" s="8"/>
      <c r="C961" s="10" t="str">
        <f aca="false">IF(B961="","",IFERROR(VLOOKUP(B961,DonHang!$A$2:$C$500,3,FALSE()),"mã đơn chưa có"))</f>
        <v/>
      </c>
      <c r="D961" s="14"/>
      <c r="E961" s="8"/>
      <c r="F961" s="8"/>
      <c r="G961" s="8"/>
    </row>
    <row r="962" customFormat="false" ht="15" hidden="false" customHeight="false" outlineLevel="0" collapsed="false">
      <c r="A962" s="9"/>
      <c r="B962" s="8"/>
      <c r="C962" s="10" t="str">
        <f aca="false">IF(B962="","",IFERROR(VLOOKUP(B962,DonHang!$A$2:$C$500,3,FALSE()),"mã đơn chưa có"))</f>
        <v/>
      </c>
      <c r="D962" s="14"/>
      <c r="E962" s="8"/>
      <c r="F962" s="8"/>
      <c r="G962" s="8"/>
    </row>
    <row r="963" customFormat="false" ht="15" hidden="false" customHeight="false" outlineLevel="0" collapsed="false">
      <c r="A963" s="9"/>
      <c r="B963" s="8"/>
      <c r="C963" s="10" t="str">
        <f aca="false">IF(B963="","",IFERROR(VLOOKUP(B963,DonHang!$A$2:$C$500,3,FALSE()),"mã đơn chưa có"))</f>
        <v/>
      </c>
      <c r="D963" s="14"/>
      <c r="E963" s="8"/>
      <c r="F963" s="8"/>
      <c r="G963" s="8"/>
    </row>
    <row r="964" customFormat="false" ht="15" hidden="false" customHeight="false" outlineLevel="0" collapsed="false">
      <c r="A964" s="9"/>
      <c r="B964" s="8"/>
      <c r="C964" s="10" t="str">
        <f aca="false">IF(B964="","",IFERROR(VLOOKUP(B964,DonHang!$A$2:$C$500,3,FALSE()),"mã đơn chưa có"))</f>
        <v/>
      </c>
      <c r="D964" s="14"/>
      <c r="E964" s="8"/>
      <c r="F964" s="8"/>
      <c r="G964" s="8"/>
    </row>
    <row r="965" customFormat="false" ht="15" hidden="false" customHeight="false" outlineLevel="0" collapsed="false">
      <c r="A965" s="9"/>
      <c r="B965" s="8"/>
      <c r="C965" s="10" t="str">
        <f aca="false">IF(B965="","",IFERROR(VLOOKUP(B965,DonHang!$A$2:$C$500,3,FALSE()),"mã đơn chưa có"))</f>
        <v/>
      </c>
      <c r="D965" s="14"/>
      <c r="E965" s="8"/>
      <c r="F965" s="8"/>
      <c r="G965" s="8"/>
    </row>
    <row r="966" customFormat="false" ht="15" hidden="false" customHeight="false" outlineLevel="0" collapsed="false">
      <c r="A966" s="9"/>
      <c r="B966" s="8"/>
      <c r="C966" s="10" t="str">
        <f aca="false">IF(B966="","",IFERROR(VLOOKUP(B966,DonHang!$A$2:$C$500,3,FALSE()),"mã đơn chưa có"))</f>
        <v/>
      </c>
      <c r="D966" s="14"/>
      <c r="E966" s="8"/>
      <c r="F966" s="8"/>
      <c r="G966" s="8"/>
    </row>
    <row r="967" customFormat="false" ht="15" hidden="false" customHeight="false" outlineLevel="0" collapsed="false">
      <c r="A967" s="9"/>
      <c r="B967" s="8"/>
      <c r="C967" s="10" t="str">
        <f aca="false">IF(B967="","",IFERROR(VLOOKUP(B967,DonHang!$A$2:$C$500,3,FALSE()),"mã đơn chưa có"))</f>
        <v/>
      </c>
      <c r="D967" s="14"/>
      <c r="E967" s="8"/>
      <c r="F967" s="8"/>
      <c r="G967" s="8"/>
    </row>
    <row r="968" customFormat="false" ht="15" hidden="false" customHeight="false" outlineLevel="0" collapsed="false">
      <c r="A968" s="9"/>
      <c r="B968" s="8"/>
      <c r="C968" s="10" t="str">
        <f aca="false">IF(B968="","",IFERROR(VLOOKUP(B968,DonHang!$A$2:$C$500,3,FALSE()),"mã đơn chưa có"))</f>
        <v/>
      </c>
      <c r="D968" s="14"/>
      <c r="E968" s="8"/>
      <c r="F968" s="8"/>
      <c r="G968" s="8"/>
    </row>
    <row r="969" customFormat="false" ht="15" hidden="false" customHeight="false" outlineLevel="0" collapsed="false">
      <c r="A969" s="9"/>
      <c r="B969" s="8"/>
      <c r="C969" s="10" t="str">
        <f aca="false">IF(B969="","",IFERROR(VLOOKUP(B969,DonHang!$A$2:$C$500,3,FALSE()),"mã đơn chưa có"))</f>
        <v/>
      </c>
      <c r="D969" s="14"/>
      <c r="E969" s="8"/>
      <c r="F969" s="8"/>
      <c r="G969" s="8"/>
    </row>
    <row r="970" customFormat="false" ht="15" hidden="false" customHeight="false" outlineLevel="0" collapsed="false">
      <c r="A970" s="9"/>
      <c r="B970" s="8"/>
      <c r="C970" s="10" t="str">
        <f aca="false">IF(B970="","",IFERROR(VLOOKUP(B970,DonHang!$A$2:$C$500,3,FALSE()),"mã đơn chưa có"))</f>
        <v/>
      </c>
      <c r="D970" s="14"/>
      <c r="E970" s="8"/>
      <c r="F970" s="8"/>
      <c r="G970" s="8"/>
    </row>
    <row r="971" customFormat="false" ht="15" hidden="false" customHeight="false" outlineLevel="0" collapsed="false">
      <c r="A971" s="9"/>
      <c r="B971" s="8"/>
      <c r="C971" s="10" t="str">
        <f aca="false">IF(B971="","",IFERROR(VLOOKUP(B971,DonHang!$A$2:$C$500,3,FALSE()),"mã đơn chưa có"))</f>
        <v/>
      </c>
      <c r="D971" s="14"/>
      <c r="E971" s="8"/>
      <c r="F971" s="8"/>
      <c r="G971" s="8"/>
    </row>
    <row r="972" customFormat="false" ht="15" hidden="false" customHeight="false" outlineLevel="0" collapsed="false">
      <c r="A972" s="9"/>
      <c r="B972" s="8"/>
      <c r="C972" s="10" t="str">
        <f aca="false">IF(B972="","",IFERROR(VLOOKUP(B972,DonHang!$A$2:$C$500,3,FALSE()),"mã đơn chưa có"))</f>
        <v/>
      </c>
      <c r="D972" s="14"/>
      <c r="E972" s="8"/>
      <c r="F972" s="8"/>
      <c r="G972" s="8"/>
    </row>
    <row r="973" customFormat="false" ht="15" hidden="false" customHeight="false" outlineLevel="0" collapsed="false">
      <c r="A973" s="9"/>
      <c r="B973" s="8"/>
      <c r="C973" s="10" t="str">
        <f aca="false">IF(B973="","",IFERROR(VLOOKUP(B973,DonHang!$A$2:$C$500,3,FALSE()),"mã đơn chưa có"))</f>
        <v/>
      </c>
      <c r="D973" s="14"/>
      <c r="E973" s="8"/>
      <c r="F973" s="8"/>
      <c r="G973" s="8"/>
    </row>
    <row r="974" customFormat="false" ht="15" hidden="false" customHeight="false" outlineLevel="0" collapsed="false">
      <c r="A974" s="9"/>
      <c r="B974" s="8"/>
      <c r="C974" s="10" t="str">
        <f aca="false">IF(B974="","",IFERROR(VLOOKUP(B974,DonHang!$A$2:$C$500,3,FALSE()),"mã đơn chưa có"))</f>
        <v/>
      </c>
      <c r="D974" s="14"/>
      <c r="E974" s="8"/>
      <c r="F974" s="8"/>
      <c r="G974" s="8"/>
    </row>
    <row r="975" customFormat="false" ht="15" hidden="false" customHeight="false" outlineLevel="0" collapsed="false">
      <c r="A975" s="9"/>
      <c r="B975" s="8"/>
      <c r="C975" s="10" t="str">
        <f aca="false">IF(B975="","",IFERROR(VLOOKUP(B975,DonHang!$A$2:$C$500,3,FALSE()),"mã đơn chưa có"))</f>
        <v/>
      </c>
      <c r="D975" s="14"/>
      <c r="E975" s="8"/>
      <c r="F975" s="8"/>
      <c r="G975" s="8"/>
    </row>
    <row r="976" customFormat="false" ht="15" hidden="false" customHeight="false" outlineLevel="0" collapsed="false">
      <c r="A976" s="9"/>
      <c r="B976" s="8"/>
      <c r="C976" s="10" t="str">
        <f aca="false">IF(B976="","",IFERROR(VLOOKUP(B976,DonHang!$A$2:$C$500,3,FALSE()),"mã đơn chưa có"))</f>
        <v/>
      </c>
      <c r="D976" s="14"/>
      <c r="E976" s="8"/>
      <c r="F976" s="8"/>
      <c r="G976" s="8"/>
    </row>
    <row r="977" customFormat="false" ht="15" hidden="false" customHeight="false" outlineLevel="0" collapsed="false">
      <c r="A977" s="9"/>
      <c r="B977" s="8"/>
      <c r="C977" s="10" t="str">
        <f aca="false">IF(B977="","",IFERROR(VLOOKUP(B977,DonHang!$A$2:$C$500,3,FALSE()),"mã đơn chưa có"))</f>
        <v/>
      </c>
      <c r="D977" s="14"/>
      <c r="E977" s="8"/>
      <c r="F977" s="8"/>
      <c r="G977" s="8"/>
    </row>
    <row r="978" customFormat="false" ht="15" hidden="false" customHeight="false" outlineLevel="0" collapsed="false">
      <c r="A978" s="9"/>
      <c r="B978" s="8"/>
      <c r="C978" s="10" t="str">
        <f aca="false">IF(B978="","",IFERROR(VLOOKUP(B978,DonHang!$A$2:$C$500,3,FALSE()),"mã đơn chưa có"))</f>
        <v/>
      </c>
      <c r="D978" s="14"/>
      <c r="E978" s="8"/>
      <c r="F978" s="8"/>
      <c r="G978" s="8"/>
    </row>
    <row r="979" customFormat="false" ht="15" hidden="false" customHeight="false" outlineLevel="0" collapsed="false">
      <c r="A979" s="9"/>
      <c r="B979" s="8"/>
      <c r="C979" s="10" t="str">
        <f aca="false">IF(B979="","",IFERROR(VLOOKUP(B979,DonHang!$A$2:$C$500,3,FALSE()),"mã đơn chưa có"))</f>
        <v/>
      </c>
      <c r="D979" s="14"/>
      <c r="E979" s="8"/>
      <c r="F979" s="8"/>
      <c r="G979" s="8"/>
    </row>
    <row r="980" customFormat="false" ht="15" hidden="false" customHeight="false" outlineLevel="0" collapsed="false">
      <c r="A980" s="9"/>
      <c r="B980" s="8"/>
      <c r="C980" s="10" t="str">
        <f aca="false">IF(B980="","",IFERROR(VLOOKUP(B980,DonHang!$A$2:$C$500,3,FALSE()),"mã đơn chưa có"))</f>
        <v/>
      </c>
      <c r="D980" s="14"/>
      <c r="E980" s="8"/>
      <c r="F980" s="8"/>
      <c r="G980" s="8"/>
    </row>
    <row r="981" customFormat="false" ht="15" hidden="false" customHeight="false" outlineLevel="0" collapsed="false">
      <c r="A981" s="9"/>
      <c r="B981" s="8"/>
      <c r="C981" s="10" t="str">
        <f aca="false">IF(B981="","",IFERROR(VLOOKUP(B981,DonHang!$A$2:$C$500,3,FALSE()),"mã đơn chưa có"))</f>
        <v/>
      </c>
      <c r="D981" s="14"/>
      <c r="E981" s="8"/>
      <c r="F981" s="8"/>
      <c r="G981" s="8"/>
    </row>
    <row r="982" customFormat="false" ht="15" hidden="false" customHeight="false" outlineLevel="0" collapsed="false">
      <c r="A982" s="9"/>
      <c r="B982" s="8"/>
      <c r="C982" s="10" t="str">
        <f aca="false">IF(B982="","",IFERROR(VLOOKUP(B982,DonHang!$A$2:$C$500,3,FALSE()),"mã đơn chưa có"))</f>
        <v/>
      </c>
      <c r="D982" s="14"/>
      <c r="E982" s="8"/>
      <c r="F982" s="8"/>
      <c r="G982" s="8"/>
    </row>
    <row r="983" customFormat="false" ht="15" hidden="false" customHeight="false" outlineLevel="0" collapsed="false">
      <c r="A983" s="9"/>
      <c r="B983" s="8"/>
      <c r="C983" s="10" t="str">
        <f aca="false">IF(B983="","",IFERROR(VLOOKUP(B983,DonHang!$A$2:$C$500,3,FALSE()),"mã đơn chưa có"))</f>
        <v/>
      </c>
      <c r="D983" s="14"/>
      <c r="E983" s="8"/>
      <c r="F983" s="8"/>
      <c r="G983" s="8"/>
    </row>
    <row r="984" customFormat="false" ht="15" hidden="false" customHeight="false" outlineLevel="0" collapsed="false">
      <c r="A984" s="9"/>
      <c r="B984" s="8"/>
      <c r="C984" s="10" t="str">
        <f aca="false">IF(B984="","",IFERROR(VLOOKUP(B984,DonHang!$A$2:$C$500,3,FALSE()),"mã đơn chưa có"))</f>
        <v/>
      </c>
      <c r="D984" s="14"/>
      <c r="E984" s="8"/>
      <c r="F984" s="8"/>
      <c r="G984" s="8"/>
    </row>
    <row r="985" customFormat="false" ht="15" hidden="false" customHeight="false" outlineLevel="0" collapsed="false">
      <c r="A985" s="9"/>
      <c r="B985" s="8"/>
      <c r="C985" s="10" t="str">
        <f aca="false">IF(B985="","",IFERROR(VLOOKUP(B985,DonHang!$A$2:$C$500,3,FALSE()),"mã đơn chưa có"))</f>
        <v/>
      </c>
      <c r="D985" s="14"/>
      <c r="E985" s="8"/>
      <c r="F985" s="8"/>
      <c r="G985" s="8"/>
    </row>
    <row r="986" customFormat="false" ht="15" hidden="false" customHeight="false" outlineLevel="0" collapsed="false">
      <c r="A986" s="9"/>
      <c r="B986" s="8"/>
      <c r="C986" s="10" t="str">
        <f aca="false">IF(B986="","",IFERROR(VLOOKUP(B986,DonHang!$A$2:$C$500,3,FALSE()),"mã đơn chưa có"))</f>
        <v/>
      </c>
      <c r="D986" s="14"/>
      <c r="E986" s="8"/>
      <c r="F986" s="8"/>
      <c r="G986" s="8"/>
    </row>
    <row r="987" customFormat="false" ht="15" hidden="false" customHeight="false" outlineLevel="0" collapsed="false">
      <c r="A987" s="9"/>
      <c r="B987" s="8"/>
      <c r="C987" s="10" t="str">
        <f aca="false">IF(B987="","",IFERROR(VLOOKUP(B987,DonHang!$A$2:$C$500,3,FALSE()),"mã đơn chưa có"))</f>
        <v/>
      </c>
      <c r="D987" s="14"/>
      <c r="E987" s="8"/>
      <c r="F987" s="8"/>
      <c r="G987" s="8"/>
    </row>
    <row r="988" customFormat="false" ht="15" hidden="false" customHeight="false" outlineLevel="0" collapsed="false">
      <c r="A988" s="9"/>
      <c r="B988" s="8"/>
      <c r="C988" s="10" t="str">
        <f aca="false">IF(B988="","",IFERROR(VLOOKUP(B988,DonHang!$A$2:$C$500,3,FALSE()),"mã đơn chưa có"))</f>
        <v/>
      </c>
      <c r="D988" s="14"/>
      <c r="E988" s="8"/>
      <c r="F988" s="8"/>
      <c r="G988" s="8"/>
    </row>
    <row r="989" customFormat="false" ht="15" hidden="false" customHeight="false" outlineLevel="0" collapsed="false">
      <c r="A989" s="9"/>
      <c r="B989" s="8"/>
      <c r="C989" s="10" t="str">
        <f aca="false">IF(B989="","",IFERROR(VLOOKUP(B989,DonHang!$A$2:$C$500,3,FALSE()),"mã đơn chưa có"))</f>
        <v/>
      </c>
      <c r="D989" s="14"/>
      <c r="E989" s="8"/>
      <c r="F989" s="8"/>
      <c r="G989" s="8"/>
    </row>
    <row r="990" customFormat="false" ht="15" hidden="false" customHeight="false" outlineLevel="0" collapsed="false">
      <c r="A990" s="9"/>
      <c r="B990" s="8"/>
      <c r="C990" s="10" t="str">
        <f aca="false">IF(B990="","",IFERROR(VLOOKUP(B990,DonHang!$A$2:$C$500,3,FALSE()),"mã đơn chưa có"))</f>
        <v/>
      </c>
      <c r="D990" s="14"/>
      <c r="E990" s="8"/>
      <c r="F990" s="8"/>
      <c r="G990" s="8"/>
    </row>
    <row r="991" customFormat="false" ht="15" hidden="false" customHeight="false" outlineLevel="0" collapsed="false">
      <c r="A991" s="9"/>
      <c r="B991" s="8"/>
      <c r="C991" s="10" t="str">
        <f aca="false">IF(B991="","",IFERROR(VLOOKUP(B991,DonHang!$A$2:$C$500,3,FALSE()),"mã đơn chưa có"))</f>
        <v/>
      </c>
      <c r="D991" s="14"/>
      <c r="E991" s="8"/>
      <c r="F991" s="8"/>
      <c r="G991" s="8"/>
    </row>
    <row r="992" customFormat="false" ht="15" hidden="false" customHeight="false" outlineLevel="0" collapsed="false">
      <c r="A992" s="9"/>
      <c r="B992" s="8"/>
      <c r="C992" s="10" t="str">
        <f aca="false">IF(B992="","",IFERROR(VLOOKUP(B992,DonHang!$A$2:$C$500,3,FALSE()),"mã đơn chưa có"))</f>
        <v/>
      </c>
      <c r="D992" s="14"/>
      <c r="E992" s="8"/>
      <c r="F992" s="8"/>
      <c r="G992" s="8"/>
    </row>
    <row r="993" customFormat="false" ht="15" hidden="false" customHeight="false" outlineLevel="0" collapsed="false">
      <c r="A993" s="9"/>
      <c r="B993" s="8"/>
      <c r="C993" s="10" t="str">
        <f aca="false">IF(B993="","",IFERROR(VLOOKUP(B993,DonHang!$A$2:$C$500,3,FALSE()),"mã đơn chưa có"))</f>
        <v/>
      </c>
      <c r="D993" s="14"/>
      <c r="E993" s="8"/>
      <c r="F993" s="8"/>
      <c r="G993" s="8"/>
    </row>
    <row r="994" customFormat="false" ht="15" hidden="false" customHeight="false" outlineLevel="0" collapsed="false">
      <c r="A994" s="9"/>
      <c r="B994" s="8"/>
      <c r="C994" s="10" t="str">
        <f aca="false">IF(B994="","",IFERROR(VLOOKUP(B994,DonHang!$A$2:$C$500,3,FALSE()),"mã đơn chưa có"))</f>
        <v/>
      </c>
      <c r="D994" s="14"/>
      <c r="E994" s="8"/>
      <c r="F994" s="8"/>
      <c r="G994" s="8"/>
    </row>
    <row r="995" customFormat="false" ht="15" hidden="false" customHeight="false" outlineLevel="0" collapsed="false">
      <c r="A995" s="9"/>
      <c r="B995" s="8"/>
      <c r="C995" s="10" t="str">
        <f aca="false">IF(B995="","",IFERROR(VLOOKUP(B995,DonHang!$A$2:$C$500,3,FALSE()),"mã đơn chưa có"))</f>
        <v/>
      </c>
      <c r="D995" s="14"/>
      <c r="E995" s="8"/>
      <c r="F995" s="8"/>
      <c r="G995" s="8"/>
    </row>
    <row r="996" customFormat="false" ht="15" hidden="false" customHeight="false" outlineLevel="0" collapsed="false">
      <c r="A996" s="9"/>
      <c r="B996" s="8"/>
      <c r="C996" s="10" t="str">
        <f aca="false">IF(B996="","",IFERROR(VLOOKUP(B996,DonHang!$A$2:$C$500,3,FALSE()),"mã đơn chưa có"))</f>
        <v/>
      </c>
      <c r="D996" s="14"/>
      <c r="E996" s="8"/>
      <c r="F996" s="8"/>
      <c r="G996" s="8"/>
    </row>
    <row r="997" customFormat="false" ht="15" hidden="false" customHeight="false" outlineLevel="0" collapsed="false">
      <c r="A997" s="9"/>
      <c r="B997" s="8"/>
      <c r="C997" s="10" t="str">
        <f aca="false">IF(B997="","",IFERROR(VLOOKUP(B997,DonHang!$A$2:$C$500,3,FALSE()),"mã đơn chưa có"))</f>
        <v/>
      </c>
      <c r="D997" s="14"/>
      <c r="E997" s="8"/>
      <c r="F997" s="8"/>
      <c r="G997" s="8"/>
    </row>
    <row r="998" customFormat="false" ht="15" hidden="false" customHeight="false" outlineLevel="0" collapsed="false">
      <c r="A998" s="9"/>
      <c r="B998" s="8"/>
      <c r="C998" s="10" t="str">
        <f aca="false">IF(B998="","",IFERROR(VLOOKUP(B998,DonHang!$A$2:$C$500,3,FALSE()),"mã đơn chưa có"))</f>
        <v/>
      </c>
      <c r="D998" s="14"/>
      <c r="E998" s="8"/>
      <c r="F998" s="8"/>
      <c r="G998" s="8"/>
    </row>
    <row r="999" customFormat="false" ht="15" hidden="false" customHeight="false" outlineLevel="0" collapsed="false">
      <c r="A999" s="9"/>
      <c r="B999" s="8"/>
      <c r="C999" s="10" t="str">
        <f aca="false">IF(B999="","",IFERROR(VLOOKUP(B999,DonHang!$A$2:$C$500,3,FALSE()),"mã đơn chưa có"))</f>
        <v/>
      </c>
      <c r="D999" s="14"/>
      <c r="E999" s="8"/>
      <c r="F999" s="8"/>
      <c r="G999" s="8"/>
    </row>
    <row r="1000" customFormat="false" ht="15" hidden="false" customHeight="false" outlineLevel="0" collapsed="false">
      <c r="A1000" s="9"/>
      <c r="B1000" s="8"/>
      <c r="C1000" s="10" t="str">
        <f aca="false">IF(B1000="","",IFERROR(VLOOKUP(B1000,DonHang!$A$2:$C$500,3,FALSE()),"mã đơn chưa có"))</f>
        <v/>
      </c>
      <c r="D1000" s="14"/>
      <c r="E1000" s="8"/>
      <c r="F1000" s="8"/>
      <c r="G1000" s="8"/>
    </row>
    <row r="1001" customFormat="false" ht="15" hidden="false" customHeight="false" outlineLevel="0" collapsed="false">
      <c r="A1001" s="9"/>
      <c r="B1001" s="8"/>
      <c r="C1001" s="10" t="str">
        <f aca="false">IF(B1001="","",IFERROR(VLOOKUP(B1001,DonHang!$A$2:$C$500,3,FALSE()),"mã đơn chưa có"))</f>
        <v/>
      </c>
      <c r="D1001" s="14"/>
      <c r="E1001" s="8"/>
      <c r="F1001" s="8"/>
      <c r="G1001" s="8"/>
    </row>
    <row r="1002" customFormat="false" ht="15" hidden="false" customHeight="false" outlineLevel="0" collapsed="false">
      <c r="A1002" s="9"/>
      <c r="B1002" s="8"/>
      <c r="C1002" s="10" t="str">
        <f aca="false">IF(B1002="","",IFERROR(VLOOKUP(B1002,DonHang!$A$2:$C$500,3,FALSE()),"mã đơn chưa có"))</f>
        <v/>
      </c>
      <c r="D1002" s="14"/>
      <c r="E1002" s="8"/>
      <c r="F1002" s="8"/>
      <c r="G1002" s="8"/>
    </row>
    <row r="1003" customFormat="false" ht="15" hidden="false" customHeight="false" outlineLevel="0" collapsed="false">
      <c r="A1003" s="9"/>
      <c r="B1003" s="8"/>
      <c r="C1003" s="10" t="str">
        <f aca="false">IF(B1003="","",IFERROR(VLOOKUP(B1003,DonHang!$A$2:$C$500,3,FALSE()),"mã đơn chưa có"))</f>
        <v/>
      </c>
      <c r="D1003" s="14"/>
      <c r="E1003" s="8"/>
      <c r="F1003" s="8"/>
      <c r="G1003" s="8"/>
    </row>
    <row r="1004" customFormat="false" ht="15" hidden="false" customHeight="false" outlineLevel="0" collapsed="false">
      <c r="A1004" s="9"/>
      <c r="B1004" s="8"/>
      <c r="C1004" s="10" t="str">
        <f aca="false">IF(B1004="","",IFERROR(VLOOKUP(B1004,DonHang!$A$2:$C$500,3,FALSE()),"mã đơn chưa có"))</f>
        <v/>
      </c>
      <c r="D1004" s="14"/>
      <c r="E1004" s="8"/>
      <c r="F1004" s="8"/>
      <c r="G1004" s="8"/>
    </row>
    <row r="1005" customFormat="false" ht="15" hidden="false" customHeight="false" outlineLevel="0" collapsed="false">
      <c r="A1005" s="9"/>
      <c r="B1005" s="8"/>
      <c r="C1005" s="10" t="str">
        <f aca="false">IF(B1005="","",IFERROR(VLOOKUP(B1005,DonHang!$A$2:$C$500,3,FALSE()),"mã đơn chưa có"))</f>
        <v/>
      </c>
      <c r="D1005" s="14"/>
      <c r="E1005" s="8"/>
      <c r="F1005" s="8"/>
      <c r="G1005" s="8"/>
    </row>
    <row r="1006" customFormat="false" ht="15" hidden="false" customHeight="false" outlineLevel="0" collapsed="false">
      <c r="A1006" s="9"/>
      <c r="B1006" s="8"/>
      <c r="C1006" s="10" t="str">
        <f aca="false">IF(B1006="","",IFERROR(VLOOKUP(B1006,DonHang!$A$2:$C$500,3,FALSE()),"mã đơn chưa có"))</f>
        <v/>
      </c>
      <c r="D1006" s="14"/>
      <c r="E1006" s="8"/>
      <c r="F1006" s="8"/>
      <c r="G1006" s="8"/>
    </row>
    <row r="1007" customFormat="false" ht="15" hidden="false" customHeight="false" outlineLevel="0" collapsed="false">
      <c r="A1007" s="9"/>
      <c r="B1007" s="8"/>
      <c r="C1007" s="10" t="str">
        <f aca="false">IF(B1007="","",IFERROR(VLOOKUP(B1007,DonHang!$A$2:$C$500,3,FALSE()),"mã đơn chưa có"))</f>
        <v/>
      </c>
      <c r="D1007" s="14"/>
      <c r="E1007" s="8"/>
      <c r="F1007" s="8"/>
      <c r="G1007" s="8"/>
    </row>
    <row r="1008" customFormat="false" ht="15" hidden="false" customHeight="false" outlineLevel="0" collapsed="false">
      <c r="A1008" s="9"/>
      <c r="B1008" s="8"/>
      <c r="C1008" s="10" t="str">
        <f aca="false">IF(B1008="","",IFERROR(VLOOKUP(B1008,DonHang!$A$2:$C$500,3,FALSE()),"mã đơn chưa có"))</f>
        <v/>
      </c>
      <c r="D1008" s="14"/>
      <c r="E1008" s="8"/>
      <c r="F1008" s="8"/>
      <c r="G1008" s="8"/>
    </row>
    <row r="1009" customFormat="false" ht="15" hidden="false" customHeight="false" outlineLevel="0" collapsed="false">
      <c r="A1009" s="9"/>
      <c r="B1009" s="8"/>
      <c r="C1009" s="10" t="str">
        <f aca="false">IF(B1009="","",IFERROR(VLOOKUP(B1009,DonHang!$A$2:$C$500,3,FALSE()),"mã đơn chưa có"))</f>
        <v/>
      </c>
      <c r="D1009" s="14"/>
      <c r="E1009" s="8"/>
      <c r="F1009" s="8"/>
      <c r="G1009" s="8"/>
    </row>
    <row r="1010" customFormat="false" ht="15" hidden="false" customHeight="false" outlineLevel="0" collapsed="false">
      <c r="A1010" s="9"/>
      <c r="B1010" s="8"/>
      <c r="C1010" s="10" t="str">
        <f aca="false">IF(B1010="","",IFERROR(VLOOKUP(B1010,DonHang!$A$2:$C$500,3,FALSE()),"mã đơn chưa có"))</f>
        <v/>
      </c>
      <c r="D1010" s="14"/>
      <c r="E1010" s="8"/>
      <c r="F1010" s="8"/>
      <c r="G1010" s="8"/>
    </row>
    <row r="1011" customFormat="false" ht="15" hidden="false" customHeight="false" outlineLevel="0" collapsed="false">
      <c r="A1011" s="9"/>
      <c r="B1011" s="8"/>
      <c r="C1011" s="10" t="str">
        <f aca="false">IF(B1011="","",IFERROR(VLOOKUP(B1011,DonHang!$A$2:$C$500,3,FALSE()),"mã đơn chưa có"))</f>
        <v/>
      </c>
      <c r="D1011" s="14"/>
      <c r="E1011" s="8"/>
      <c r="F1011" s="8"/>
      <c r="G1011" s="8"/>
    </row>
    <row r="1012" customFormat="false" ht="15" hidden="false" customHeight="false" outlineLevel="0" collapsed="false">
      <c r="A1012" s="9"/>
      <c r="B1012" s="8"/>
      <c r="C1012" s="10" t="str">
        <f aca="false">IF(B1012="","",IFERROR(VLOOKUP(B1012,DonHang!$A$2:$C$500,3,FALSE()),"mã đơn chưa có"))</f>
        <v/>
      </c>
      <c r="D1012" s="14"/>
      <c r="E1012" s="8"/>
      <c r="F1012" s="8"/>
      <c r="G1012" s="8"/>
    </row>
    <row r="1013" customFormat="false" ht="15" hidden="false" customHeight="false" outlineLevel="0" collapsed="false">
      <c r="A1013" s="9"/>
      <c r="B1013" s="8"/>
      <c r="C1013" s="10" t="str">
        <f aca="false">IF(B1013="","",IFERROR(VLOOKUP(B1013,DonHang!$A$2:$C$500,3,FALSE()),"mã đơn chưa có"))</f>
        <v/>
      </c>
      <c r="D1013" s="14"/>
      <c r="E1013" s="8"/>
      <c r="F1013" s="8"/>
      <c r="G1013" s="8"/>
    </row>
    <row r="1014" customFormat="false" ht="15" hidden="false" customHeight="false" outlineLevel="0" collapsed="false">
      <c r="A1014" s="9"/>
      <c r="B1014" s="8"/>
      <c r="C1014" s="10" t="str">
        <f aca="false">IF(B1014="","",IFERROR(VLOOKUP(B1014,DonHang!$A$2:$C$500,3,FALSE()),"mã đơn chưa có"))</f>
        <v/>
      </c>
      <c r="D1014" s="14"/>
      <c r="E1014" s="8"/>
      <c r="F1014" s="8"/>
      <c r="G1014" s="8"/>
    </row>
    <row r="1015" customFormat="false" ht="15" hidden="false" customHeight="false" outlineLevel="0" collapsed="false">
      <c r="A1015" s="9"/>
      <c r="B1015" s="8"/>
      <c r="C1015" s="10" t="str">
        <f aca="false">IF(B1015="","",IFERROR(VLOOKUP(B1015,DonHang!$A$2:$C$500,3,FALSE()),"mã đơn chưa có"))</f>
        <v/>
      </c>
      <c r="D1015" s="14"/>
      <c r="E1015" s="8"/>
      <c r="F1015" s="8"/>
      <c r="G1015" s="8"/>
    </row>
    <row r="1016" customFormat="false" ht="15" hidden="false" customHeight="false" outlineLevel="0" collapsed="false">
      <c r="A1016" s="9"/>
      <c r="B1016" s="8"/>
      <c r="C1016" s="10" t="str">
        <f aca="false">IF(B1016="","",IFERROR(VLOOKUP(B1016,DonHang!$A$2:$C$500,3,FALSE()),"mã đơn chưa có"))</f>
        <v/>
      </c>
      <c r="D1016" s="14"/>
      <c r="E1016" s="8"/>
      <c r="F1016" s="8"/>
      <c r="G1016" s="8"/>
    </row>
    <row r="1017" customFormat="false" ht="15" hidden="false" customHeight="false" outlineLevel="0" collapsed="false">
      <c r="A1017" s="9"/>
      <c r="B1017" s="8"/>
      <c r="C1017" s="10" t="str">
        <f aca="false">IF(B1017="","",IFERROR(VLOOKUP(B1017,DonHang!$A$2:$C$500,3,FALSE()),"mã đơn chưa có"))</f>
        <v/>
      </c>
      <c r="D1017" s="14"/>
      <c r="E1017" s="8"/>
      <c r="F1017" s="8"/>
      <c r="G1017" s="8"/>
    </row>
    <row r="1018" customFormat="false" ht="15" hidden="false" customHeight="false" outlineLevel="0" collapsed="false">
      <c r="A1018" s="9"/>
      <c r="B1018" s="8"/>
      <c r="C1018" s="10" t="str">
        <f aca="false">IF(B1018="","",IFERROR(VLOOKUP(B1018,DonHang!$A$2:$C$500,3,FALSE()),"mã đơn chưa có"))</f>
        <v/>
      </c>
      <c r="D1018" s="14"/>
      <c r="E1018" s="8"/>
      <c r="F1018" s="8"/>
      <c r="G1018" s="8"/>
    </row>
    <row r="1019" customFormat="false" ht="15" hidden="false" customHeight="false" outlineLevel="0" collapsed="false">
      <c r="A1019" s="9"/>
      <c r="B1019" s="8"/>
      <c r="C1019" s="10" t="str">
        <f aca="false">IF(B1019="","",IFERROR(VLOOKUP(B1019,DonHang!$A$2:$C$500,3,FALSE()),"mã đơn chưa có"))</f>
        <v/>
      </c>
      <c r="D1019" s="14"/>
      <c r="E1019" s="8"/>
      <c r="F1019" s="8"/>
      <c r="G1019" s="8"/>
    </row>
    <row r="1020" customFormat="false" ht="15" hidden="false" customHeight="false" outlineLevel="0" collapsed="false">
      <c r="A1020" s="9"/>
      <c r="B1020" s="8"/>
      <c r="C1020" s="10" t="str">
        <f aca="false">IF(B1020="","",IFERROR(VLOOKUP(B1020,DonHang!$A$2:$C$500,3,FALSE()),"mã đơn chưa có"))</f>
        <v/>
      </c>
      <c r="D1020" s="14"/>
      <c r="E1020" s="8"/>
      <c r="F1020" s="8"/>
      <c r="G1020" s="8"/>
    </row>
    <row r="1021" customFormat="false" ht="15" hidden="false" customHeight="false" outlineLevel="0" collapsed="false">
      <c r="A1021" s="9"/>
      <c r="B1021" s="8"/>
      <c r="C1021" s="10" t="str">
        <f aca="false">IF(B1021="","",IFERROR(VLOOKUP(B1021,DonHang!$A$2:$C$500,3,FALSE()),"mã đơn chưa có"))</f>
        <v/>
      </c>
      <c r="D1021" s="14"/>
      <c r="E1021" s="8"/>
      <c r="F1021" s="8"/>
      <c r="G1021" s="8"/>
    </row>
    <row r="1022" customFormat="false" ht="15" hidden="false" customHeight="false" outlineLevel="0" collapsed="false">
      <c r="A1022" s="9"/>
      <c r="B1022" s="8"/>
      <c r="C1022" s="10" t="str">
        <f aca="false">IF(B1022="","",IFERROR(VLOOKUP(B1022,DonHang!$A$2:$C$500,3,FALSE()),"mã đơn chưa có"))</f>
        <v/>
      </c>
      <c r="D1022" s="14"/>
      <c r="E1022" s="8"/>
      <c r="F1022" s="8"/>
      <c r="G1022" s="8"/>
    </row>
    <row r="1023" customFormat="false" ht="15" hidden="false" customHeight="false" outlineLevel="0" collapsed="false">
      <c r="A1023" s="9"/>
      <c r="B1023" s="8"/>
      <c r="C1023" s="10" t="str">
        <f aca="false">IF(B1023="","",IFERROR(VLOOKUP(B1023,DonHang!$A$2:$C$500,3,FALSE()),"mã đơn chưa có"))</f>
        <v/>
      </c>
      <c r="D1023" s="14"/>
      <c r="E1023" s="8"/>
      <c r="F1023" s="8"/>
      <c r="G1023" s="8"/>
    </row>
    <row r="1024" customFormat="false" ht="15" hidden="false" customHeight="false" outlineLevel="0" collapsed="false">
      <c r="A1024" s="9"/>
      <c r="B1024" s="8"/>
      <c r="C1024" s="10" t="str">
        <f aca="false">IF(B1024="","",IFERROR(VLOOKUP(B1024,DonHang!$A$2:$C$500,3,FALSE()),"mã đơn chưa có"))</f>
        <v/>
      </c>
      <c r="D1024" s="14"/>
      <c r="E1024" s="8"/>
      <c r="F1024" s="8"/>
      <c r="G1024" s="8"/>
    </row>
    <row r="1025" customFormat="false" ht="15" hidden="false" customHeight="false" outlineLevel="0" collapsed="false">
      <c r="A1025" s="9"/>
      <c r="B1025" s="8"/>
      <c r="C1025" s="10" t="str">
        <f aca="false">IF(B1025="","",IFERROR(VLOOKUP(B1025,DonHang!$A$2:$C$500,3,FALSE()),"mã đơn chưa có"))</f>
        <v/>
      </c>
      <c r="D1025" s="14"/>
      <c r="E1025" s="8"/>
      <c r="F1025" s="8"/>
      <c r="G1025" s="8"/>
    </row>
    <row r="1026" customFormat="false" ht="15" hidden="false" customHeight="false" outlineLevel="0" collapsed="false">
      <c r="A1026" s="9"/>
      <c r="B1026" s="8"/>
      <c r="C1026" s="10" t="str">
        <f aca="false">IF(B1026="","",IFERROR(VLOOKUP(B1026,DonHang!$A$2:$C$500,3,FALSE()),"mã đơn chưa có"))</f>
        <v/>
      </c>
      <c r="D1026" s="14"/>
      <c r="E1026" s="8"/>
      <c r="F1026" s="8"/>
      <c r="G1026" s="8"/>
    </row>
    <row r="1027" customFormat="false" ht="15" hidden="false" customHeight="false" outlineLevel="0" collapsed="false">
      <c r="A1027" s="9"/>
      <c r="B1027" s="8"/>
      <c r="C1027" s="10" t="str">
        <f aca="false">IF(B1027="","",IFERROR(VLOOKUP(B1027,DonHang!$A$2:$C$500,3,FALSE()),"mã đơn chưa có"))</f>
        <v/>
      </c>
      <c r="D1027" s="14"/>
      <c r="E1027" s="8"/>
      <c r="F1027" s="8"/>
      <c r="G1027" s="8"/>
    </row>
    <row r="1028" customFormat="false" ht="15" hidden="false" customHeight="false" outlineLevel="0" collapsed="false">
      <c r="A1028" s="9"/>
      <c r="B1028" s="8"/>
      <c r="C1028" s="10" t="str">
        <f aca="false">IF(B1028="","",IFERROR(VLOOKUP(B1028,DonHang!$A$2:$C$500,3,FALSE()),"mã đơn chưa có"))</f>
        <v/>
      </c>
      <c r="D1028" s="14"/>
      <c r="E1028" s="8"/>
      <c r="F1028" s="8"/>
      <c r="G1028" s="8"/>
    </row>
    <row r="1029" customFormat="false" ht="15" hidden="false" customHeight="false" outlineLevel="0" collapsed="false">
      <c r="A1029" s="9"/>
      <c r="B1029" s="8"/>
      <c r="C1029" s="10" t="str">
        <f aca="false">IF(B1029="","",IFERROR(VLOOKUP(B1029,DonHang!$A$2:$C$500,3,FALSE()),"mã đơn chưa có"))</f>
        <v/>
      </c>
      <c r="D1029" s="14"/>
      <c r="E1029" s="8"/>
      <c r="F1029" s="8"/>
      <c r="G1029" s="8"/>
    </row>
    <row r="1030" customFormat="false" ht="15" hidden="false" customHeight="false" outlineLevel="0" collapsed="false">
      <c r="A1030" s="9"/>
      <c r="B1030" s="8"/>
      <c r="C1030" s="10" t="str">
        <f aca="false">IF(B1030="","",IFERROR(VLOOKUP(B1030,DonHang!$A$2:$C$500,3,FALSE()),"mã đơn chưa có"))</f>
        <v/>
      </c>
      <c r="D1030" s="14"/>
      <c r="E1030" s="8"/>
      <c r="F1030" s="8"/>
      <c r="G1030" s="8"/>
    </row>
    <row r="1031" customFormat="false" ht="15" hidden="false" customHeight="false" outlineLevel="0" collapsed="false">
      <c r="A1031" s="9"/>
      <c r="B1031" s="8"/>
      <c r="C1031" s="10" t="str">
        <f aca="false">IF(B1031="","",IFERROR(VLOOKUP(B1031,DonHang!$A$2:$C$500,3,FALSE()),"mã đơn chưa có"))</f>
        <v/>
      </c>
      <c r="D1031" s="14"/>
      <c r="E1031" s="8"/>
      <c r="F1031" s="8"/>
      <c r="G1031" s="8"/>
    </row>
    <row r="1032" customFormat="false" ht="15" hidden="false" customHeight="false" outlineLevel="0" collapsed="false">
      <c r="A1032" s="9"/>
      <c r="B1032" s="8"/>
      <c r="C1032" s="10" t="str">
        <f aca="false">IF(B1032="","",IFERROR(VLOOKUP(B1032,DonHang!$A$2:$C$500,3,FALSE()),"mã đơn chưa có"))</f>
        <v/>
      </c>
      <c r="D1032" s="14"/>
      <c r="E1032" s="8"/>
      <c r="F1032" s="8"/>
      <c r="G1032" s="8"/>
    </row>
    <row r="1033" customFormat="false" ht="15" hidden="false" customHeight="false" outlineLevel="0" collapsed="false">
      <c r="A1033" s="9"/>
      <c r="B1033" s="8"/>
      <c r="C1033" s="10" t="str">
        <f aca="false">IF(B1033="","",IFERROR(VLOOKUP(B1033,DonHang!$A$2:$C$500,3,FALSE()),"mã đơn chưa có"))</f>
        <v/>
      </c>
      <c r="D1033" s="14"/>
      <c r="E1033" s="8"/>
      <c r="F1033" s="8"/>
      <c r="G1033" s="8"/>
    </row>
    <row r="1034" customFormat="false" ht="15" hidden="false" customHeight="false" outlineLevel="0" collapsed="false">
      <c r="A1034" s="9"/>
      <c r="B1034" s="8"/>
      <c r="C1034" s="10" t="str">
        <f aca="false">IF(B1034="","",IFERROR(VLOOKUP(B1034,DonHang!$A$2:$C$500,3,FALSE()),"mã đơn chưa có"))</f>
        <v/>
      </c>
      <c r="D1034" s="14"/>
      <c r="E1034" s="8"/>
      <c r="F1034" s="8"/>
      <c r="G1034" s="8"/>
    </row>
    <row r="1035" customFormat="false" ht="15" hidden="false" customHeight="false" outlineLevel="0" collapsed="false">
      <c r="A1035" s="9"/>
      <c r="B1035" s="8"/>
      <c r="C1035" s="10" t="str">
        <f aca="false">IF(B1035="","",IFERROR(VLOOKUP(B1035,DonHang!$A$2:$C$500,3,FALSE()),"mã đơn chưa có"))</f>
        <v/>
      </c>
      <c r="D1035" s="14"/>
      <c r="E1035" s="8"/>
      <c r="F1035" s="8"/>
      <c r="G1035" s="8"/>
    </row>
    <row r="1036" customFormat="false" ht="15" hidden="false" customHeight="false" outlineLevel="0" collapsed="false">
      <c r="A1036" s="9"/>
      <c r="B1036" s="8"/>
      <c r="C1036" s="10" t="str">
        <f aca="false">IF(B1036="","",IFERROR(VLOOKUP(B1036,DonHang!$A$2:$C$500,3,FALSE()),"mã đơn chưa có"))</f>
        <v/>
      </c>
      <c r="D1036" s="14"/>
      <c r="E1036" s="8"/>
      <c r="F1036" s="8"/>
      <c r="G1036" s="8"/>
    </row>
    <row r="1037" customFormat="false" ht="15" hidden="false" customHeight="false" outlineLevel="0" collapsed="false">
      <c r="A1037" s="9"/>
      <c r="B1037" s="8"/>
      <c r="C1037" s="10" t="str">
        <f aca="false">IF(B1037="","",IFERROR(VLOOKUP(B1037,DonHang!$A$2:$C$500,3,FALSE()),"mã đơn chưa có"))</f>
        <v/>
      </c>
      <c r="D1037" s="14"/>
      <c r="E1037" s="8"/>
      <c r="F1037" s="8"/>
      <c r="G1037" s="8"/>
    </row>
    <row r="1038" customFormat="false" ht="15" hidden="false" customHeight="false" outlineLevel="0" collapsed="false">
      <c r="A1038" s="9"/>
      <c r="B1038" s="8"/>
      <c r="C1038" s="10" t="str">
        <f aca="false">IF(B1038="","",IFERROR(VLOOKUP(B1038,DonHang!$A$2:$C$500,3,FALSE()),"mã đơn chưa có"))</f>
        <v/>
      </c>
      <c r="D1038" s="14"/>
      <c r="E1038" s="8"/>
      <c r="F1038" s="8"/>
      <c r="G1038" s="8"/>
    </row>
    <row r="1039" customFormat="false" ht="15" hidden="false" customHeight="false" outlineLevel="0" collapsed="false">
      <c r="A1039" s="9"/>
      <c r="B1039" s="8"/>
      <c r="C1039" s="10" t="str">
        <f aca="false">IF(B1039="","",IFERROR(VLOOKUP(B1039,DonHang!$A$2:$C$500,3,FALSE()),"mã đơn chưa có"))</f>
        <v/>
      </c>
      <c r="D1039" s="14"/>
      <c r="E1039" s="8"/>
      <c r="F1039" s="8"/>
      <c r="G1039" s="8"/>
    </row>
    <row r="1040" customFormat="false" ht="15" hidden="false" customHeight="false" outlineLevel="0" collapsed="false">
      <c r="A1040" s="9"/>
      <c r="B1040" s="8"/>
      <c r="C1040" s="10" t="str">
        <f aca="false">IF(B1040="","",IFERROR(VLOOKUP(B1040,DonHang!$A$2:$C$500,3,FALSE()),"mã đơn chưa có"))</f>
        <v/>
      </c>
      <c r="D1040" s="14"/>
      <c r="E1040" s="8"/>
      <c r="F1040" s="8"/>
      <c r="G1040" s="8"/>
    </row>
    <row r="1041" customFormat="false" ht="15" hidden="false" customHeight="false" outlineLevel="0" collapsed="false">
      <c r="A1041" s="9"/>
      <c r="B1041" s="8"/>
      <c r="C1041" s="10" t="str">
        <f aca="false">IF(B1041="","",IFERROR(VLOOKUP(B1041,DonHang!$A$2:$C$500,3,FALSE()),"mã đơn chưa có"))</f>
        <v/>
      </c>
      <c r="D1041" s="14"/>
      <c r="E1041" s="8"/>
      <c r="F1041" s="8"/>
      <c r="G1041" s="8"/>
    </row>
    <row r="1042" customFormat="false" ht="15" hidden="false" customHeight="false" outlineLevel="0" collapsed="false">
      <c r="A1042" s="9"/>
      <c r="B1042" s="8"/>
      <c r="C1042" s="10" t="str">
        <f aca="false">IF(B1042="","",IFERROR(VLOOKUP(B1042,DonHang!$A$2:$C$500,3,FALSE()),"mã đơn chưa có"))</f>
        <v/>
      </c>
      <c r="D1042" s="14"/>
      <c r="E1042" s="8"/>
      <c r="F1042" s="8"/>
      <c r="G1042" s="8"/>
    </row>
    <row r="1043" customFormat="false" ht="15" hidden="false" customHeight="false" outlineLevel="0" collapsed="false">
      <c r="A1043" s="9"/>
      <c r="B1043" s="8"/>
      <c r="C1043" s="10" t="str">
        <f aca="false">IF(B1043="","",IFERROR(VLOOKUP(B1043,DonHang!$A$2:$C$500,3,FALSE()),"mã đơn chưa có"))</f>
        <v/>
      </c>
      <c r="D1043" s="14"/>
      <c r="E1043" s="8"/>
      <c r="F1043" s="8"/>
      <c r="G1043" s="8"/>
    </row>
    <row r="1044" customFormat="false" ht="15" hidden="false" customHeight="false" outlineLevel="0" collapsed="false">
      <c r="A1044" s="9"/>
      <c r="B1044" s="8"/>
      <c r="C1044" s="10" t="str">
        <f aca="false">IF(B1044="","",IFERROR(VLOOKUP(B1044,DonHang!$A$2:$C$500,3,FALSE()),"mã đơn chưa có"))</f>
        <v/>
      </c>
      <c r="D1044" s="14"/>
      <c r="E1044" s="8"/>
      <c r="F1044" s="8"/>
      <c r="G1044" s="8"/>
    </row>
    <row r="1045" customFormat="false" ht="15" hidden="false" customHeight="false" outlineLevel="0" collapsed="false">
      <c r="A1045" s="9"/>
      <c r="B1045" s="8"/>
      <c r="C1045" s="10" t="str">
        <f aca="false">IF(B1045="","",IFERROR(VLOOKUP(B1045,DonHang!$A$2:$C$500,3,FALSE()),"mã đơn chưa có"))</f>
        <v/>
      </c>
      <c r="D1045" s="14"/>
      <c r="E1045" s="8"/>
      <c r="F1045" s="8"/>
      <c r="G1045" s="8"/>
    </row>
    <row r="1046" customFormat="false" ht="15" hidden="false" customHeight="false" outlineLevel="0" collapsed="false">
      <c r="A1046" s="9"/>
      <c r="B1046" s="8"/>
      <c r="C1046" s="10" t="str">
        <f aca="false">IF(B1046="","",IFERROR(VLOOKUP(B1046,DonHang!$A$2:$C$500,3,FALSE()),"mã đơn chưa có"))</f>
        <v/>
      </c>
      <c r="D1046" s="14"/>
      <c r="E1046" s="8"/>
      <c r="F1046" s="8"/>
      <c r="G1046" s="8"/>
    </row>
    <row r="1047" customFormat="false" ht="15" hidden="false" customHeight="false" outlineLevel="0" collapsed="false">
      <c r="A1047" s="9"/>
      <c r="B1047" s="8"/>
      <c r="C1047" s="10" t="str">
        <f aca="false">IF(B1047="","",IFERROR(VLOOKUP(B1047,DonHang!$A$2:$C$500,3,FALSE()),"mã đơn chưa có"))</f>
        <v/>
      </c>
      <c r="D1047" s="14"/>
      <c r="E1047" s="8"/>
      <c r="F1047" s="8"/>
      <c r="G1047" s="8"/>
    </row>
    <row r="1048" customFormat="false" ht="15" hidden="false" customHeight="false" outlineLevel="0" collapsed="false">
      <c r="A1048" s="9"/>
      <c r="B1048" s="8"/>
      <c r="C1048" s="10" t="str">
        <f aca="false">IF(B1048="","",IFERROR(VLOOKUP(B1048,DonHang!$A$2:$C$500,3,FALSE()),"mã đơn chưa có"))</f>
        <v/>
      </c>
      <c r="D1048" s="14"/>
      <c r="E1048" s="8"/>
      <c r="F1048" s="8"/>
      <c r="G1048" s="8"/>
    </row>
    <row r="1049" customFormat="false" ht="15" hidden="false" customHeight="false" outlineLevel="0" collapsed="false">
      <c r="A1049" s="9"/>
      <c r="B1049" s="8"/>
      <c r="C1049" s="10" t="str">
        <f aca="false">IF(B1049="","",IFERROR(VLOOKUP(B1049,DonHang!$A$2:$C$500,3,FALSE()),"mã đơn chưa có"))</f>
        <v/>
      </c>
      <c r="D1049" s="14"/>
      <c r="E1049" s="8"/>
      <c r="F1049" s="8"/>
      <c r="G1049" s="8"/>
    </row>
    <row r="1050" customFormat="false" ht="15" hidden="false" customHeight="false" outlineLevel="0" collapsed="false">
      <c r="A1050" s="9"/>
      <c r="B1050" s="8"/>
      <c r="C1050" s="10" t="str">
        <f aca="false">IF(B1050="","",IFERROR(VLOOKUP(B1050,DonHang!$A$2:$C$500,3,FALSE()),"mã đơn chưa có"))</f>
        <v/>
      </c>
      <c r="D1050" s="14"/>
      <c r="E1050" s="8"/>
      <c r="F1050" s="8"/>
      <c r="G1050" s="8"/>
    </row>
    <row r="1051" customFormat="false" ht="15" hidden="false" customHeight="false" outlineLevel="0" collapsed="false">
      <c r="A1051" s="9"/>
      <c r="B1051" s="8"/>
      <c r="C1051" s="10" t="str">
        <f aca="false">IF(B1051="","",IFERROR(VLOOKUP(B1051,DonHang!$A$2:$C$500,3,FALSE()),"mã đơn chưa có"))</f>
        <v/>
      </c>
      <c r="D1051" s="14"/>
      <c r="E1051" s="8"/>
      <c r="F1051" s="8"/>
      <c r="G1051" s="8"/>
    </row>
    <row r="1052" customFormat="false" ht="15" hidden="false" customHeight="false" outlineLevel="0" collapsed="false">
      <c r="A1052" s="9"/>
      <c r="B1052" s="8"/>
      <c r="C1052" s="10" t="str">
        <f aca="false">IF(B1052="","",IFERROR(VLOOKUP(B1052,DonHang!$A$2:$C$500,3,FALSE()),"mã đơn chưa có"))</f>
        <v/>
      </c>
      <c r="D1052" s="14"/>
      <c r="E1052" s="8"/>
      <c r="F1052" s="8"/>
      <c r="G1052" s="8"/>
    </row>
    <row r="1053" customFormat="false" ht="15" hidden="false" customHeight="false" outlineLevel="0" collapsed="false">
      <c r="A1053" s="9"/>
      <c r="B1053" s="8"/>
      <c r="C1053" s="10" t="str">
        <f aca="false">IF(B1053="","",IFERROR(VLOOKUP(B1053,DonHang!$A$2:$C$500,3,FALSE()),"mã đơn chưa có"))</f>
        <v/>
      </c>
      <c r="D1053" s="14"/>
      <c r="E1053" s="8"/>
      <c r="F1053" s="8"/>
      <c r="G1053" s="8"/>
    </row>
    <row r="1054" customFormat="false" ht="15" hidden="false" customHeight="false" outlineLevel="0" collapsed="false">
      <c r="A1054" s="9"/>
      <c r="B1054" s="8"/>
      <c r="C1054" s="10" t="str">
        <f aca="false">IF(B1054="","",IFERROR(VLOOKUP(B1054,DonHang!$A$2:$C$500,3,FALSE()),"mã đơn chưa có"))</f>
        <v/>
      </c>
      <c r="D1054" s="14"/>
      <c r="E1054" s="8"/>
      <c r="F1054" s="8"/>
      <c r="G1054" s="8"/>
    </row>
    <row r="1055" customFormat="false" ht="15" hidden="false" customHeight="false" outlineLevel="0" collapsed="false">
      <c r="A1055" s="9"/>
      <c r="B1055" s="8"/>
      <c r="C1055" s="10" t="str">
        <f aca="false">IF(B1055="","",IFERROR(VLOOKUP(B1055,DonHang!$A$2:$C$500,3,FALSE()),"mã đơn chưa có"))</f>
        <v/>
      </c>
      <c r="D1055" s="14"/>
      <c r="E1055" s="8"/>
      <c r="F1055" s="8"/>
      <c r="G1055" s="8"/>
    </row>
    <row r="1056" customFormat="false" ht="15" hidden="false" customHeight="false" outlineLevel="0" collapsed="false">
      <c r="A1056" s="9"/>
      <c r="B1056" s="8"/>
      <c r="C1056" s="10" t="str">
        <f aca="false">IF(B1056="","",IFERROR(VLOOKUP(B1056,DonHang!$A$2:$C$500,3,FALSE()),"mã đơn chưa có"))</f>
        <v/>
      </c>
      <c r="D1056" s="14"/>
      <c r="E1056" s="8"/>
      <c r="F1056" s="8"/>
      <c r="G1056" s="8"/>
    </row>
    <row r="1057" customFormat="false" ht="15" hidden="false" customHeight="false" outlineLevel="0" collapsed="false">
      <c r="A1057" s="9"/>
      <c r="B1057" s="8"/>
      <c r="C1057" s="10" t="str">
        <f aca="false">IF(B1057="","",IFERROR(VLOOKUP(B1057,DonHang!$A$2:$C$500,3,FALSE()),"mã đơn chưa có"))</f>
        <v/>
      </c>
      <c r="D1057" s="14"/>
      <c r="E1057" s="8"/>
      <c r="F1057" s="8"/>
      <c r="G1057" s="8"/>
    </row>
    <row r="1058" customFormat="false" ht="15" hidden="false" customHeight="false" outlineLevel="0" collapsed="false">
      <c r="A1058" s="9"/>
      <c r="B1058" s="8"/>
      <c r="C1058" s="10" t="str">
        <f aca="false">IF(B1058="","",IFERROR(VLOOKUP(B1058,DonHang!$A$2:$C$500,3,FALSE()),"mã đơn chưa có"))</f>
        <v/>
      </c>
      <c r="D1058" s="14"/>
      <c r="E1058" s="8"/>
      <c r="F1058" s="8"/>
      <c r="G1058" s="8"/>
    </row>
    <row r="1059" customFormat="false" ht="15" hidden="false" customHeight="false" outlineLevel="0" collapsed="false">
      <c r="A1059" s="9"/>
      <c r="B1059" s="8"/>
      <c r="C1059" s="10" t="str">
        <f aca="false">IF(B1059="","",IFERROR(VLOOKUP(B1059,DonHang!$A$2:$C$500,3,FALSE()),"mã đơn chưa có"))</f>
        <v/>
      </c>
      <c r="D1059" s="14"/>
      <c r="E1059" s="8"/>
      <c r="F1059" s="8"/>
      <c r="G1059" s="8"/>
    </row>
    <row r="1060" customFormat="false" ht="15" hidden="false" customHeight="false" outlineLevel="0" collapsed="false">
      <c r="A1060" s="9"/>
      <c r="B1060" s="8"/>
      <c r="C1060" s="10" t="str">
        <f aca="false">IF(B1060="","",IFERROR(VLOOKUP(B1060,DonHang!$A$2:$C$500,3,FALSE()),"mã đơn chưa có"))</f>
        <v/>
      </c>
      <c r="D1060" s="14"/>
      <c r="E1060" s="8"/>
      <c r="F1060" s="8"/>
      <c r="G1060" s="8"/>
    </row>
    <row r="1061" customFormat="false" ht="15" hidden="false" customHeight="false" outlineLevel="0" collapsed="false">
      <c r="A1061" s="9"/>
      <c r="B1061" s="8"/>
      <c r="C1061" s="10" t="str">
        <f aca="false">IF(B1061="","",IFERROR(VLOOKUP(B1061,DonHang!$A$2:$C$500,3,FALSE()),"mã đơn chưa có"))</f>
        <v/>
      </c>
      <c r="D1061" s="14"/>
      <c r="E1061" s="8"/>
      <c r="F1061" s="8"/>
      <c r="G1061" s="8"/>
    </row>
    <row r="1062" customFormat="false" ht="15" hidden="false" customHeight="false" outlineLevel="0" collapsed="false">
      <c r="A1062" s="9"/>
      <c r="B1062" s="8"/>
      <c r="C1062" s="10" t="str">
        <f aca="false">IF(B1062="","",IFERROR(VLOOKUP(B1062,DonHang!$A$2:$C$500,3,FALSE()),"mã đơn chưa có"))</f>
        <v/>
      </c>
      <c r="D1062" s="14"/>
      <c r="E1062" s="8"/>
      <c r="F1062" s="8"/>
      <c r="G1062" s="8"/>
    </row>
    <row r="1063" customFormat="false" ht="15" hidden="false" customHeight="false" outlineLevel="0" collapsed="false">
      <c r="A1063" s="9"/>
      <c r="B1063" s="8"/>
      <c r="C1063" s="10" t="str">
        <f aca="false">IF(B1063="","",IFERROR(VLOOKUP(B1063,DonHang!$A$2:$C$500,3,FALSE()),"mã đơn chưa có"))</f>
        <v/>
      </c>
      <c r="D1063" s="14"/>
      <c r="E1063" s="8"/>
      <c r="F1063" s="8"/>
      <c r="G1063" s="8"/>
    </row>
    <row r="1064" customFormat="false" ht="15" hidden="false" customHeight="false" outlineLevel="0" collapsed="false">
      <c r="A1064" s="9"/>
      <c r="B1064" s="8"/>
      <c r="C1064" s="10" t="str">
        <f aca="false">IF(B1064="","",IFERROR(VLOOKUP(B1064,DonHang!$A$2:$C$500,3,FALSE()),"mã đơn chưa có"))</f>
        <v/>
      </c>
      <c r="D1064" s="14"/>
      <c r="E1064" s="8"/>
      <c r="F1064" s="8"/>
      <c r="G1064" s="8"/>
    </row>
    <row r="1065" customFormat="false" ht="15" hidden="false" customHeight="false" outlineLevel="0" collapsed="false">
      <c r="A1065" s="9"/>
      <c r="B1065" s="8"/>
      <c r="C1065" s="10" t="str">
        <f aca="false">IF(B1065="","",IFERROR(VLOOKUP(B1065,DonHang!$A$2:$C$500,3,FALSE()),"mã đơn chưa có"))</f>
        <v/>
      </c>
      <c r="D1065" s="14"/>
      <c r="E1065" s="8"/>
      <c r="F1065" s="8"/>
      <c r="G1065" s="8"/>
    </row>
    <row r="1066" customFormat="false" ht="15" hidden="false" customHeight="false" outlineLevel="0" collapsed="false">
      <c r="A1066" s="9"/>
      <c r="B1066" s="8"/>
      <c r="C1066" s="10" t="str">
        <f aca="false">IF(B1066="","",IFERROR(VLOOKUP(B1066,DonHang!$A$2:$C$500,3,FALSE()),"mã đơn chưa có"))</f>
        <v/>
      </c>
      <c r="D1066" s="14"/>
      <c r="E1066" s="8"/>
      <c r="F1066" s="8"/>
      <c r="G1066" s="8"/>
    </row>
    <row r="1067" customFormat="false" ht="15" hidden="false" customHeight="false" outlineLevel="0" collapsed="false">
      <c r="A1067" s="9"/>
      <c r="B1067" s="8"/>
      <c r="C1067" s="10" t="str">
        <f aca="false">IF(B1067="","",IFERROR(VLOOKUP(B1067,DonHang!$A$2:$C$500,3,FALSE()),"mã đơn chưa có"))</f>
        <v/>
      </c>
      <c r="D1067" s="14"/>
      <c r="E1067" s="8"/>
      <c r="F1067" s="8"/>
      <c r="G1067" s="8"/>
    </row>
    <row r="1068" customFormat="false" ht="15" hidden="false" customHeight="false" outlineLevel="0" collapsed="false">
      <c r="A1068" s="9"/>
      <c r="B1068" s="8"/>
      <c r="C1068" s="10" t="str">
        <f aca="false">IF(B1068="","",IFERROR(VLOOKUP(B1068,DonHang!$A$2:$C$500,3,FALSE()),"mã đơn chưa có"))</f>
        <v/>
      </c>
      <c r="D1068" s="14"/>
      <c r="E1068" s="8"/>
      <c r="F1068" s="8"/>
      <c r="G1068" s="8"/>
    </row>
    <row r="1069" customFormat="false" ht="15" hidden="false" customHeight="false" outlineLevel="0" collapsed="false">
      <c r="A1069" s="9"/>
      <c r="B1069" s="8"/>
      <c r="C1069" s="10" t="str">
        <f aca="false">IF(B1069="","",IFERROR(VLOOKUP(B1069,DonHang!$A$2:$C$500,3,FALSE()),"mã đơn chưa có"))</f>
        <v/>
      </c>
      <c r="D1069" s="14"/>
      <c r="E1069" s="8"/>
      <c r="F1069" s="8"/>
      <c r="G1069" s="8"/>
    </row>
    <row r="1070" customFormat="false" ht="15" hidden="false" customHeight="false" outlineLevel="0" collapsed="false">
      <c r="A1070" s="9"/>
      <c r="B1070" s="8"/>
      <c r="C1070" s="10" t="str">
        <f aca="false">IF(B1070="","",IFERROR(VLOOKUP(B1070,DonHang!$A$2:$C$500,3,FALSE()),"mã đơn chưa có"))</f>
        <v/>
      </c>
      <c r="D1070" s="14"/>
      <c r="E1070" s="8"/>
      <c r="F1070" s="8"/>
      <c r="G1070" s="8"/>
    </row>
    <row r="1071" customFormat="false" ht="15" hidden="false" customHeight="false" outlineLevel="0" collapsed="false">
      <c r="A1071" s="9"/>
      <c r="B1071" s="8"/>
      <c r="C1071" s="10" t="str">
        <f aca="false">IF(B1071="","",IFERROR(VLOOKUP(B1071,DonHang!$A$2:$C$500,3,FALSE()),"mã đơn chưa có"))</f>
        <v/>
      </c>
      <c r="D1071" s="14"/>
      <c r="E1071" s="8"/>
      <c r="F1071" s="8"/>
      <c r="G1071" s="8"/>
    </row>
    <row r="1072" customFormat="false" ht="15" hidden="false" customHeight="false" outlineLevel="0" collapsed="false">
      <c r="A1072" s="9"/>
      <c r="B1072" s="8"/>
      <c r="C1072" s="10" t="str">
        <f aca="false">IF(B1072="","",IFERROR(VLOOKUP(B1072,DonHang!$A$2:$C$500,3,FALSE()),"mã đơn chưa có"))</f>
        <v/>
      </c>
      <c r="D1072" s="14"/>
      <c r="E1072" s="8"/>
      <c r="F1072" s="8"/>
      <c r="G1072" s="8"/>
    </row>
    <row r="1073" customFormat="false" ht="15" hidden="false" customHeight="false" outlineLevel="0" collapsed="false">
      <c r="A1073" s="9"/>
      <c r="B1073" s="8"/>
      <c r="C1073" s="10" t="str">
        <f aca="false">IF(B1073="","",IFERROR(VLOOKUP(B1073,DonHang!$A$2:$C$500,3,FALSE()),"mã đơn chưa có"))</f>
        <v/>
      </c>
      <c r="D1073" s="14"/>
      <c r="E1073" s="8"/>
      <c r="F1073" s="8"/>
      <c r="G1073" s="8"/>
    </row>
    <row r="1074" customFormat="false" ht="15" hidden="false" customHeight="false" outlineLevel="0" collapsed="false">
      <c r="A1074" s="9"/>
      <c r="B1074" s="8"/>
      <c r="C1074" s="10" t="str">
        <f aca="false">IF(B1074="","",IFERROR(VLOOKUP(B1074,DonHang!$A$2:$C$500,3,FALSE()),"mã đơn chưa có"))</f>
        <v/>
      </c>
      <c r="D1074" s="14"/>
      <c r="E1074" s="8"/>
      <c r="F1074" s="8"/>
      <c r="G1074" s="8"/>
    </row>
    <row r="1075" customFormat="false" ht="15" hidden="false" customHeight="false" outlineLevel="0" collapsed="false">
      <c r="A1075" s="9"/>
      <c r="B1075" s="8"/>
      <c r="C1075" s="10" t="str">
        <f aca="false">IF(B1075="","",IFERROR(VLOOKUP(B1075,DonHang!$A$2:$C$500,3,FALSE()),"mã đơn chưa có"))</f>
        <v/>
      </c>
      <c r="D1075" s="14"/>
      <c r="E1075" s="8"/>
      <c r="F1075" s="8"/>
      <c r="G1075" s="8"/>
    </row>
    <row r="1076" customFormat="false" ht="15" hidden="false" customHeight="false" outlineLevel="0" collapsed="false">
      <c r="A1076" s="9"/>
      <c r="B1076" s="8"/>
      <c r="C1076" s="10" t="str">
        <f aca="false">IF(B1076="","",IFERROR(VLOOKUP(B1076,DonHang!$A$2:$C$500,3,FALSE()),"mã đơn chưa có"))</f>
        <v/>
      </c>
      <c r="D1076" s="14"/>
      <c r="E1076" s="8"/>
      <c r="F1076" s="8"/>
      <c r="G1076" s="8"/>
    </row>
    <row r="1077" customFormat="false" ht="15" hidden="false" customHeight="false" outlineLevel="0" collapsed="false">
      <c r="A1077" s="9"/>
      <c r="B1077" s="8"/>
      <c r="C1077" s="10" t="str">
        <f aca="false">IF(B1077="","",IFERROR(VLOOKUP(B1077,DonHang!$A$2:$C$500,3,FALSE()),"mã đơn chưa có"))</f>
        <v/>
      </c>
      <c r="D1077" s="14"/>
      <c r="E1077" s="8"/>
      <c r="F1077" s="8"/>
      <c r="G1077" s="8"/>
    </row>
    <row r="1078" customFormat="false" ht="15" hidden="false" customHeight="false" outlineLevel="0" collapsed="false">
      <c r="A1078" s="9"/>
      <c r="B1078" s="8"/>
      <c r="C1078" s="10" t="str">
        <f aca="false">IF(B1078="","",IFERROR(VLOOKUP(B1078,DonHang!$A$2:$C$500,3,FALSE()),"mã đơn chưa có"))</f>
        <v/>
      </c>
      <c r="D1078" s="14"/>
      <c r="E1078" s="8"/>
      <c r="F1078" s="8"/>
      <c r="G1078" s="8"/>
    </row>
    <row r="1079" customFormat="false" ht="15" hidden="false" customHeight="false" outlineLevel="0" collapsed="false">
      <c r="A1079" s="9"/>
      <c r="B1079" s="8"/>
      <c r="C1079" s="10" t="str">
        <f aca="false">IF(B1079="","",IFERROR(VLOOKUP(B1079,DonHang!$A$2:$C$500,3,FALSE()),"mã đơn chưa có"))</f>
        <v/>
      </c>
      <c r="D1079" s="14"/>
      <c r="E1079" s="8"/>
      <c r="F1079" s="8"/>
      <c r="G1079" s="8"/>
    </row>
    <row r="1080" customFormat="false" ht="15" hidden="false" customHeight="false" outlineLevel="0" collapsed="false">
      <c r="A1080" s="9"/>
      <c r="B1080" s="8"/>
      <c r="C1080" s="10" t="str">
        <f aca="false">IF(B1080="","",IFERROR(VLOOKUP(B1080,DonHang!$A$2:$C$500,3,FALSE()),"mã đơn chưa có"))</f>
        <v/>
      </c>
      <c r="D1080" s="14"/>
      <c r="E1080" s="8"/>
      <c r="F1080" s="8"/>
      <c r="G1080" s="8"/>
    </row>
    <row r="1081" customFormat="false" ht="15" hidden="false" customHeight="false" outlineLevel="0" collapsed="false">
      <c r="A1081" s="9"/>
      <c r="B1081" s="8"/>
      <c r="C1081" s="10" t="str">
        <f aca="false">IF(B1081="","",IFERROR(VLOOKUP(B1081,DonHang!$A$2:$C$500,3,FALSE()),"mã đơn chưa có"))</f>
        <v/>
      </c>
      <c r="D1081" s="14"/>
      <c r="E1081" s="8"/>
      <c r="F1081" s="8"/>
      <c r="G1081" s="8"/>
    </row>
    <row r="1082" customFormat="false" ht="15" hidden="false" customHeight="false" outlineLevel="0" collapsed="false">
      <c r="A1082" s="9"/>
      <c r="B1082" s="8"/>
      <c r="C1082" s="10" t="str">
        <f aca="false">IF(B1082="","",IFERROR(VLOOKUP(B1082,DonHang!$A$2:$C$500,3,FALSE()),"mã đơn chưa có"))</f>
        <v/>
      </c>
      <c r="D1082" s="14"/>
      <c r="E1082" s="8"/>
      <c r="F1082" s="8"/>
      <c r="G1082" s="8"/>
    </row>
    <row r="1083" customFormat="false" ht="15" hidden="false" customHeight="false" outlineLevel="0" collapsed="false">
      <c r="A1083" s="9"/>
      <c r="B1083" s="8"/>
      <c r="C1083" s="10" t="str">
        <f aca="false">IF(B1083="","",IFERROR(VLOOKUP(B1083,DonHang!$A$2:$C$500,3,FALSE()),"mã đơn chưa có"))</f>
        <v/>
      </c>
      <c r="D1083" s="14"/>
      <c r="E1083" s="8"/>
      <c r="F1083" s="8"/>
      <c r="G1083" s="8"/>
    </row>
    <row r="1084" customFormat="false" ht="15" hidden="false" customHeight="false" outlineLevel="0" collapsed="false">
      <c r="A1084" s="9"/>
      <c r="B1084" s="8"/>
      <c r="C1084" s="10" t="str">
        <f aca="false">IF(B1084="","",IFERROR(VLOOKUP(B1084,DonHang!$A$2:$C$500,3,FALSE()),"mã đơn chưa có"))</f>
        <v/>
      </c>
      <c r="D1084" s="14"/>
      <c r="E1084" s="8"/>
      <c r="F1084" s="8"/>
      <c r="G1084" s="8"/>
    </row>
    <row r="1085" customFormat="false" ht="15" hidden="false" customHeight="false" outlineLevel="0" collapsed="false">
      <c r="A1085" s="9"/>
      <c r="B1085" s="8"/>
      <c r="C1085" s="10" t="str">
        <f aca="false">IF(B1085="","",IFERROR(VLOOKUP(B1085,DonHang!$A$2:$C$500,3,FALSE()),"mã đơn chưa có"))</f>
        <v/>
      </c>
      <c r="D1085" s="14"/>
      <c r="E1085" s="8"/>
      <c r="F1085" s="8"/>
      <c r="G1085" s="8"/>
    </row>
    <row r="1086" customFormat="false" ht="15" hidden="false" customHeight="false" outlineLevel="0" collapsed="false">
      <c r="A1086" s="9"/>
      <c r="B1086" s="8"/>
      <c r="C1086" s="10" t="str">
        <f aca="false">IF(B1086="","",IFERROR(VLOOKUP(B1086,DonHang!$A$2:$C$500,3,FALSE()),"mã đơn chưa có"))</f>
        <v/>
      </c>
      <c r="D1086" s="14"/>
      <c r="E1086" s="8"/>
      <c r="F1086" s="8"/>
      <c r="G1086" s="8"/>
    </row>
    <row r="1087" customFormat="false" ht="15" hidden="false" customHeight="false" outlineLevel="0" collapsed="false">
      <c r="A1087" s="9"/>
      <c r="B1087" s="8"/>
      <c r="C1087" s="10" t="str">
        <f aca="false">IF(B1087="","",IFERROR(VLOOKUP(B1087,DonHang!$A$2:$C$500,3,FALSE()),"mã đơn chưa có"))</f>
        <v/>
      </c>
      <c r="D1087" s="14"/>
      <c r="E1087" s="8"/>
      <c r="F1087" s="8"/>
      <c r="G1087" s="8"/>
    </row>
    <row r="1088" customFormat="false" ht="15" hidden="false" customHeight="false" outlineLevel="0" collapsed="false">
      <c r="A1088" s="9"/>
      <c r="B1088" s="8"/>
      <c r="C1088" s="10" t="str">
        <f aca="false">IF(B1088="","",IFERROR(VLOOKUP(B1088,DonHang!$A$2:$C$500,3,FALSE()),"mã đơn chưa có"))</f>
        <v/>
      </c>
      <c r="D1088" s="14"/>
      <c r="E1088" s="8"/>
      <c r="F1088" s="8"/>
      <c r="G1088" s="8"/>
    </row>
    <row r="1089" customFormat="false" ht="15" hidden="false" customHeight="false" outlineLevel="0" collapsed="false">
      <c r="A1089" s="9"/>
      <c r="B1089" s="8"/>
      <c r="C1089" s="10" t="str">
        <f aca="false">IF(B1089="","",IFERROR(VLOOKUP(B1089,DonHang!$A$2:$C$500,3,FALSE()),"mã đơn chưa có"))</f>
        <v/>
      </c>
      <c r="D1089" s="14"/>
      <c r="E1089" s="8"/>
      <c r="F1089" s="8"/>
      <c r="G1089" s="8"/>
    </row>
    <row r="1090" customFormat="false" ht="15" hidden="false" customHeight="false" outlineLevel="0" collapsed="false">
      <c r="A1090" s="9"/>
      <c r="B1090" s="8"/>
      <c r="C1090" s="10" t="str">
        <f aca="false">IF(B1090="","",IFERROR(VLOOKUP(B1090,DonHang!$A$2:$C$500,3,FALSE()),"mã đơn chưa có"))</f>
        <v/>
      </c>
      <c r="D1090" s="14"/>
      <c r="E1090" s="8"/>
      <c r="F1090" s="8"/>
      <c r="G1090" s="8"/>
    </row>
    <row r="1091" customFormat="false" ht="15" hidden="false" customHeight="false" outlineLevel="0" collapsed="false">
      <c r="A1091" s="9"/>
      <c r="B1091" s="8"/>
      <c r="C1091" s="10" t="str">
        <f aca="false">IF(B1091="","",IFERROR(VLOOKUP(B1091,DonHang!$A$2:$C$500,3,FALSE()),"mã đơn chưa có"))</f>
        <v/>
      </c>
      <c r="D1091" s="14"/>
      <c r="E1091" s="8"/>
      <c r="F1091" s="8"/>
      <c r="G1091" s="8"/>
    </row>
    <row r="1092" customFormat="false" ht="15" hidden="false" customHeight="false" outlineLevel="0" collapsed="false">
      <c r="A1092" s="9"/>
      <c r="B1092" s="8"/>
      <c r="C1092" s="10" t="str">
        <f aca="false">IF(B1092="","",IFERROR(VLOOKUP(B1092,DonHang!$A$2:$C$500,3,FALSE()),"mã đơn chưa có"))</f>
        <v/>
      </c>
      <c r="D1092" s="14"/>
      <c r="E1092" s="8"/>
      <c r="F1092" s="8"/>
      <c r="G1092" s="8"/>
    </row>
    <row r="1093" customFormat="false" ht="15" hidden="false" customHeight="false" outlineLevel="0" collapsed="false">
      <c r="A1093" s="9"/>
      <c r="B1093" s="8"/>
      <c r="C1093" s="10" t="str">
        <f aca="false">IF(B1093="","",IFERROR(VLOOKUP(B1093,DonHang!$A$2:$C$500,3,FALSE()),"mã đơn chưa có"))</f>
        <v/>
      </c>
      <c r="D1093" s="14"/>
      <c r="E1093" s="8"/>
      <c r="F1093" s="8"/>
      <c r="G1093" s="8"/>
    </row>
    <row r="1094" customFormat="false" ht="15" hidden="false" customHeight="false" outlineLevel="0" collapsed="false">
      <c r="A1094" s="9"/>
      <c r="B1094" s="8"/>
      <c r="C1094" s="10" t="str">
        <f aca="false">IF(B1094="","",IFERROR(VLOOKUP(B1094,DonHang!$A$2:$C$500,3,FALSE()),"mã đơn chưa có"))</f>
        <v/>
      </c>
      <c r="D1094" s="14"/>
      <c r="E1094" s="8"/>
      <c r="F1094" s="8"/>
      <c r="G1094" s="8"/>
    </row>
    <row r="1095" customFormat="false" ht="15" hidden="false" customHeight="false" outlineLevel="0" collapsed="false">
      <c r="A1095" s="9"/>
      <c r="B1095" s="8"/>
      <c r="C1095" s="10" t="str">
        <f aca="false">IF(B1095="","",IFERROR(VLOOKUP(B1095,DonHang!$A$2:$C$500,3,FALSE()),"mã đơn chưa có"))</f>
        <v/>
      </c>
      <c r="D1095" s="14"/>
      <c r="E1095" s="8"/>
      <c r="F1095" s="8"/>
      <c r="G1095" s="8"/>
    </row>
    <row r="1096" customFormat="false" ht="15" hidden="false" customHeight="false" outlineLevel="0" collapsed="false">
      <c r="A1096" s="9"/>
      <c r="B1096" s="8"/>
      <c r="C1096" s="10" t="str">
        <f aca="false">IF(B1096="","",IFERROR(VLOOKUP(B1096,DonHang!$A$2:$C$500,3,FALSE()),"mã đơn chưa có"))</f>
        <v/>
      </c>
      <c r="D1096" s="14"/>
      <c r="E1096" s="8"/>
      <c r="F1096" s="8"/>
      <c r="G1096" s="8"/>
    </row>
    <row r="1097" customFormat="false" ht="15" hidden="false" customHeight="false" outlineLevel="0" collapsed="false">
      <c r="A1097" s="9"/>
      <c r="B1097" s="8"/>
      <c r="C1097" s="10" t="str">
        <f aca="false">IF(B1097="","",IFERROR(VLOOKUP(B1097,DonHang!$A$2:$C$500,3,FALSE()),"mã đơn chưa có"))</f>
        <v/>
      </c>
      <c r="D1097" s="14"/>
      <c r="E1097" s="8"/>
      <c r="F1097" s="8"/>
      <c r="G1097" s="8"/>
    </row>
    <row r="1098" customFormat="false" ht="15" hidden="false" customHeight="false" outlineLevel="0" collapsed="false">
      <c r="A1098" s="9"/>
      <c r="B1098" s="8"/>
      <c r="C1098" s="10" t="str">
        <f aca="false">IF(B1098="","",IFERROR(VLOOKUP(B1098,DonHang!$A$2:$C$500,3,FALSE()),"mã đơn chưa có"))</f>
        <v/>
      </c>
      <c r="D1098" s="14"/>
      <c r="E1098" s="8"/>
      <c r="F1098" s="8"/>
      <c r="G1098" s="8"/>
    </row>
    <row r="1099" customFormat="false" ht="15" hidden="false" customHeight="false" outlineLevel="0" collapsed="false">
      <c r="A1099" s="9"/>
      <c r="B1099" s="8"/>
      <c r="C1099" s="10" t="str">
        <f aca="false">IF(B1099="","",IFERROR(VLOOKUP(B1099,DonHang!$A$2:$C$500,3,FALSE()),"mã đơn chưa có"))</f>
        <v/>
      </c>
      <c r="D1099" s="14"/>
      <c r="E1099" s="8"/>
      <c r="F1099" s="8"/>
      <c r="G1099" s="8"/>
    </row>
    <row r="1100" customFormat="false" ht="15" hidden="false" customHeight="false" outlineLevel="0" collapsed="false">
      <c r="A1100" s="9"/>
      <c r="B1100" s="8"/>
      <c r="C1100" s="10" t="str">
        <f aca="false">IF(B1100="","",IFERROR(VLOOKUP(B1100,DonHang!$A$2:$C$500,3,FALSE()),"mã đơn chưa có"))</f>
        <v/>
      </c>
      <c r="D1100" s="14"/>
      <c r="E1100" s="8"/>
      <c r="F1100" s="8"/>
      <c r="G1100" s="8"/>
    </row>
    <row r="1101" customFormat="false" ht="15" hidden="false" customHeight="false" outlineLevel="0" collapsed="false">
      <c r="A1101" s="9"/>
      <c r="B1101" s="8"/>
      <c r="C1101" s="10" t="str">
        <f aca="false">IF(B1101="","",IFERROR(VLOOKUP(B1101,DonHang!$A$2:$C$500,3,FALSE()),"mã đơn chưa có"))</f>
        <v/>
      </c>
      <c r="D1101" s="14"/>
      <c r="E1101" s="8"/>
      <c r="F1101" s="8"/>
      <c r="G1101" s="8"/>
    </row>
    <row r="1102" customFormat="false" ht="15" hidden="false" customHeight="false" outlineLevel="0" collapsed="false">
      <c r="A1102" s="9"/>
      <c r="B1102" s="8"/>
      <c r="C1102" s="10" t="str">
        <f aca="false">IF(B1102="","",IFERROR(VLOOKUP(B1102,DonHang!$A$2:$C$500,3,FALSE()),"mã đơn chưa có"))</f>
        <v/>
      </c>
      <c r="D1102" s="14"/>
      <c r="E1102" s="8"/>
      <c r="F1102" s="8"/>
      <c r="G1102" s="8"/>
    </row>
    <row r="1103" customFormat="false" ht="15" hidden="false" customHeight="false" outlineLevel="0" collapsed="false">
      <c r="A1103" s="9"/>
      <c r="B1103" s="8"/>
      <c r="C1103" s="10" t="str">
        <f aca="false">IF(B1103="","",IFERROR(VLOOKUP(B1103,DonHang!$A$2:$C$500,3,FALSE()),"mã đơn chưa có"))</f>
        <v/>
      </c>
      <c r="D1103" s="14"/>
      <c r="E1103" s="8"/>
      <c r="F1103" s="8"/>
      <c r="G1103" s="8"/>
    </row>
    <row r="1104" customFormat="false" ht="15" hidden="false" customHeight="false" outlineLevel="0" collapsed="false">
      <c r="A1104" s="9"/>
      <c r="B1104" s="8"/>
      <c r="C1104" s="10" t="str">
        <f aca="false">IF(B1104="","",IFERROR(VLOOKUP(B1104,DonHang!$A$2:$C$500,3,FALSE()),"mã đơn chưa có"))</f>
        <v/>
      </c>
      <c r="D1104" s="14"/>
      <c r="E1104" s="8"/>
      <c r="F1104" s="8"/>
      <c r="G1104" s="8"/>
    </row>
    <row r="1105" customFormat="false" ht="15" hidden="false" customHeight="false" outlineLevel="0" collapsed="false">
      <c r="A1105" s="9"/>
      <c r="B1105" s="8"/>
      <c r="C1105" s="10" t="str">
        <f aca="false">IF(B1105="","",IFERROR(VLOOKUP(B1105,DonHang!$A$2:$C$500,3,FALSE()),"mã đơn chưa có"))</f>
        <v/>
      </c>
      <c r="D1105" s="14"/>
      <c r="E1105" s="8"/>
      <c r="F1105" s="8"/>
      <c r="G1105" s="8"/>
    </row>
    <row r="1106" customFormat="false" ht="15" hidden="false" customHeight="false" outlineLevel="0" collapsed="false">
      <c r="A1106" s="9"/>
      <c r="B1106" s="8"/>
      <c r="C1106" s="10" t="str">
        <f aca="false">IF(B1106="","",IFERROR(VLOOKUP(B1106,DonHang!$A$2:$C$500,3,FALSE()),"mã đơn chưa có"))</f>
        <v/>
      </c>
      <c r="D1106" s="14"/>
      <c r="E1106" s="8"/>
      <c r="F1106" s="8"/>
      <c r="G1106" s="8"/>
    </row>
    <row r="1107" customFormat="false" ht="15" hidden="false" customHeight="false" outlineLevel="0" collapsed="false">
      <c r="A1107" s="9"/>
      <c r="B1107" s="8"/>
      <c r="C1107" s="10" t="str">
        <f aca="false">IF(B1107="","",IFERROR(VLOOKUP(B1107,DonHang!$A$2:$C$500,3,FALSE()),"mã đơn chưa có"))</f>
        <v/>
      </c>
      <c r="D1107" s="14"/>
      <c r="E1107" s="8"/>
      <c r="F1107" s="8"/>
      <c r="G1107" s="8"/>
    </row>
    <row r="1108" customFormat="false" ht="15" hidden="false" customHeight="false" outlineLevel="0" collapsed="false">
      <c r="A1108" s="9"/>
      <c r="B1108" s="8"/>
      <c r="C1108" s="10" t="str">
        <f aca="false">IF(B1108="","",IFERROR(VLOOKUP(B1108,DonHang!$A$2:$C$500,3,FALSE()),"mã đơn chưa có"))</f>
        <v/>
      </c>
      <c r="D1108" s="14"/>
      <c r="E1108" s="8"/>
      <c r="F1108" s="8"/>
      <c r="G1108" s="8"/>
    </row>
    <row r="1109" customFormat="false" ht="15" hidden="false" customHeight="false" outlineLevel="0" collapsed="false">
      <c r="A1109" s="9"/>
      <c r="B1109" s="8"/>
      <c r="C1109" s="10" t="str">
        <f aca="false">IF(B1109="","",IFERROR(VLOOKUP(B1109,DonHang!$A$2:$C$500,3,FALSE()),"mã đơn chưa có"))</f>
        <v/>
      </c>
      <c r="D1109" s="14"/>
      <c r="E1109" s="8"/>
      <c r="F1109" s="8"/>
      <c r="G1109" s="8"/>
    </row>
    <row r="1110" customFormat="false" ht="15" hidden="false" customHeight="false" outlineLevel="0" collapsed="false">
      <c r="A1110" s="9"/>
      <c r="B1110" s="8"/>
      <c r="C1110" s="10" t="str">
        <f aca="false">IF(B1110="","",IFERROR(VLOOKUP(B1110,DonHang!$A$2:$C$500,3,FALSE()),"mã đơn chưa có"))</f>
        <v/>
      </c>
      <c r="D1110" s="14"/>
      <c r="E1110" s="8"/>
      <c r="F1110" s="8"/>
      <c r="G1110" s="8"/>
    </row>
    <row r="1111" customFormat="false" ht="15" hidden="false" customHeight="false" outlineLevel="0" collapsed="false">
      <c r="A1111" s="9"/>
      <c r="B1111" s="8"/>
      <c r="C1111" s="10" t="str">
        <f aca="false">IF(B1111="","",IFERROR(VLOOKUP(B1111,DonHang!$A$2:$C$500,3,FALSE()),"mã đơn chưa có"))</f>
        <v/>
      </c>
      <c r="D1111" s="14"/>
      <c r="E1111" s="8"/>
      <c r="F1111" s="8"/>
      <c r="G1111" s="8"/>
    </row>
    <row r="1112" customFormat="false" ht="15" hidden="false" customHeight="false" outlineLevel="0" collapsed="false">
      <c r="A1112" s="9"/>
      <c r="B1112" s="8"/>
      <c r="C1112" s="10" t="str">
        <f aca="false">IF(B1112="","",IFERROR(VLOOKUP(B1112,DonHang!$A$2:$C$500,3,FALSE()),"mã đơn chưa có"))</f>
        <v/>
      </c>
      <c r="D1112" s="14"/>
      <c r="E1112" s="8"/>
      <c r="F1112" s="8"/>
      <c r="G1112" s="8"/>
    </row>
    <row r="1113" customFormat="false" ht="15" hidden="false" customHeight="false" outlineLevel="0" collapsed="false">
      <c r="A1113" s="9"/>
      <c r="B1113" s="8"/>
      <c r="C1113" s="10" t="str">
        <f aca="false">IF(B1113="","",IFERROR(VLOOKUP(B1113,DonHang!$A$2:$C$500,3,FALSE()),"mã đơn chưa có"))</f>
        <v/>
      </c>
      <c r="D1113" s="14"/>
      <c r="E1113" s="8"/>
      <c r="F1113" s="8"/>
      <c r="G1113" s="8"/>
    </row>
    <row r="1114" customFormat="false" ht="15" hidden="false" customHeight="false" outlineLevel="0" collapsed="false">
      <c r="A1114" s="9"/>
      <c r="B1114" s="8"/>
      <c r="C1114" s="10" t="str">
        <f aca="false">IF(B1114="","",IFERROR(VLOOKUP(B1114,DonHang!$A$2:$C$500,3,FALSE()),"mã đơn chưa có"))</f>
        <v/>
      </c>
      <c r="D1114" s="14"/>
      <c r="E1114" s="8"/>
      <c r="F1114" s="8"/>
      <c r="G1114" s="8"/>
    </row>
    <row r="1115" customFormat="false" ht="15" hidden="false" customHeight="false" outlineLevel="0" collapsed="false">
      <c r="A1115" s="9"/>
      <c r="B1115" s="8"/>
      <c r="C1115" s="10" t="str">
        <f aca="false">IF(B1115="","",IFERROR(VLOOKUP(B1115,DonHang!$A$2:$C$500,3,FALSE()),"mã đơn chưa có"))</f>
        <v/>
      </c>
      <c r="D1115" s="14"/>
      <c r="E1115" s="8"/>
      <c r="F1115" s="8"/>
      <c r="G1115" s="8"/>
    </row>
    <row r="1116" customFormat="false" ht="15" hidden="false" customHeight="false" outlineLevel="0" collapsed="false">
      <c r="A1116" s="9"/>
      <c r="B1116" s="8"/>
      <c r="C1116" s="10" t="str">
        <f aca="false">IF(B1116="","",IFERROR(VLOOKUP(B1116,DonHang!$A$2:$C$500,3,FALSE()),"mã đơn chưa có"))</f>
        <v/>
      </c>
      <c r="D1116" s="14"/>
      <c r="E1116" s="8"/>
      <c r="F1116" s="8"/>
      <c r="G1116" s="8"/>
    </row>
    <row r="1117" customFormat="false" ht="15" hidden="false" customHeight="false" outlineLevel="0" collapsed="false">
      <c r="A1117" s="9"/>
      <c r="B1117" s="8"/>
      <c r="C1117" s="10" t="str">
        <f aca="false">IF(B1117="","",IFERROR(VLOOKUP(B1117,DonHang!$A$2:$C$500,3,FALSE()),"mã đơn chưa có"))</f>
        <v/>
      </c>
      <c r="D1117" s="14"/>
      <c r="E1117" s="8"/>
      <c r="F1117" s="8"/>
      <c r="G1117" s="8"/>
    </row>
    <row r="1118" customFormat="false" ht="15" hidden="false" customHeight="false" outlineLevel="0" collapsed="false">
      <c r="A1118" s="9"/>
      <c r="B1118" s="8"/>
      <c r="C1118" s="10" t="str">
        <f aca="false">IF(B1118="","",IFERROR(VLOOKUP(B1118,DonHang!$A$2:$C$500,3,FALSE()),"mã đơn chưa có"))</f>
        <v/>
      </c>
      <c r="D1118" s="14"/>
      <c r="E1118" s="8"/>
      <c r="F1118" s="8"/>
      <c r="G1118" s="8"/>
    </row>
    <row r="1119" customFormat="false" ht="15" hidden="false" customHeight="false" outlineLevel="0" collapsed="false">
      <c r="A1119" s="9"/>
      <c r="B1119" s="8"/>
      <c r="C1119" s="10" t="str">
        <f aca="false">IF(B1119="","",IFERROR(VLOOKUP(B1119,DonHang!$A$2:$C$500,3,FALSE()),"mã đơn chưa có"))</f>
        <v/>
      </c>
      <c r="D1119" s="14"/>
      <c r="E1119" s="8"/>
      <c r="F1119" s="8"/>
      <c r="G1119" s="8"/>
    </row>
    <row r="1120" customFormat="false" ht="15" hidden="false" customHeight="false" outlineLevel="0" collapsed="false">
      <c r="A1120" s="9"/>
      <c r="B1120" s="8"/>
      <c r="C1120" s="10" t="str">
        <f aca="false">IF(B1120="","",IFERROR(VLOOKUP(B1120,DonHang!$A$2:$C$500,3,FALSE()),"mã đơn chưa có"))</f>
        <v/>
      </c>
      <c r="D1120" s="14"/>
      <c r="E1120" s="8"/>
      <c r="F1120" s="8"/>
      <c r="G1120" s="8"/>
    </row>
    <row r="1121" customFormat="false" ht="15" hidden="false" customHeight="false" outlineLevel="0" collapsed="false">
      <c r="A1121" s="9"/>
      <c r="B1121" s="8"/>
      <c r="C1121" s="10" t="str">
        <f aca="false">IF(B1121="","",IFERROR(VLOOKUP(B1121,DonHang!$A$2:$C$500,3,FALSE()),"mã đơn chưa có"))</f>
        <v/>
      </c>
      <c r="D1121" s="14"/>
      <c r="E1121" s="8"/>
      <c r="F1121" s="8"/>
      <c r="G1121" s="8"/>
    </row>
    <row r="1122" customFormat="false" ht="15" hidden="false" customHeight="false" outlineLevel="0" collapsed="false">
      <c r="A1122" s="9"/>
      <c r="B1122" s="8"/>
      <c r="C1122" s="10" t="str">
        <f aca="false">IF(B1122="","",IFERROR(VLOOKUP(B1122,DonHang!$A$2:$C$500,3,FALSE()),"mã đơn chưa có"))</f>
        <v/>
      </c>
      <c r="D1122" s="14"/>
      <c r="E1122" s="8"/>
      <c r="F1122" s="8"/>
      <c r="G1122" s="8"/>
    </row>
    <row r="1123" customFormat="false" ht="15" hidden="false" customHeight="false" outlineLevel="0" collapsed="false">
      <c r="A1123" s="9"/>
      <c r="B1123" s="8"/>
      <c r="C1123" s="10" t="str">
        <f aca="false">IF(B1123="","",IFERROR(VLOOKUP(B1123,DonHang!$A$2:$C$500,3,FALSE()),"mã đơn chưa có"))</f>
        <v/>
      </c>
      <c r="D1123" s="14"/>
      <c r="E1123" s="8"/>
      <c r="F1123" s="8"/>
      <c r="G1123" s="8"/>
    </row>
    <row r="1124" customFormat="false" ht="15" hidden="false" customHeight="false" outlineLevel="0" collapsed="false">
      <c r="A1124" s="9"/>
      <c r="B1124" s="8"/>
      <c r="C1124" s="10" t="str">
        <f aca="false">IF(B1124="","",IFERROR(VLOOKUP(B1124,DonHang!$A$2:$C$500,3,FALSE()),"mã đơn chưa có"))</f>
        <v/>
      </c>
      <c r="D1124" s="14"/>
      <c r="E1124" s="8"/>
      <c r="F1124" s="8"/>
      <c r="G1124" s="8"/>
    </row>
    <row r="1125" customFormat="false" ht="15" hidden="false" customHeight="false" outlineLevel="0" collapsed="false">
      <c r="A1125" s="9"/>
      <c r="B1125" s="8"/>
      <c r="C1125" s="10" t="str">
        <f aca="false">IF(B1125="","",IFERROR(VLOOKUP(B1125,DonHang!$A$2:$C$500,3,FALSE()),"mã đơn chưa có"))</f>
        <v/>
      </c>
      <c r="D1125" s="14"/>
      <c r="E1125" s="8"/>
      <c r="F1125" s="8"/>
      <c r="G1125" s="8"/>
    </row>
    <row r="1126" customFormat="false" ht="15" hidden="false" customHeight="false" outlineLevel="0" collapsed="false">
      <c r="A1126" s="9"/>
      <c r="B1126" s="8"/>
      <c r="C1126" s="10" t="str">
        <f aca="false">IF(B1126="","",IFERROR(VLOOKUP(B1126,DonHang!$A$2:$C$500,3,FALSE()),"mã đơn chưa có"))</f>
        <v/>
      </c>
      <c r="D1126" s="14"/>
      <c r="E1126" s="8"/>
      <c r="F1126" s="8"/>
      <c r="G1126" s="8"/>
    </row>
    <row r="1127" customFormat="false" ht="15" hidden="false" customHeight="false" outlineLevel="0" collapsed="false">
      <c r="A1127" s="9"/>
      <c r="B1127" s="8"/>
      <c r="C1127" s="10" t="str">
        <f aca="false">IF(B1127="","",IFERROR(VLOOKUP(B1127,DonHang!$A$2:$C$500,3,FALSE()),"mã đơn chưa có"))</f>
        <v/>
      </c>
      <c r="D1127" s="14"/>
      <c r="E1127" s="8"/>
      <c r="F1127" s="8"/>
      <c r="G1127" s="8"/>
    </row>
    <row r="1128" customFormat="false" ht="15" hidden="false" customHeight="false" outlineLevel="0" collapsed="false">
      <c r="A1128" s="9"/>
      <c r="B1128" s="8"/>
      <c r="C1128" s="10" t="str">
        <f aca="false">IF(B1128="","",IFERROR(VLOOKUP(B1128,DonHang!$A$2:$C$500,3,FALSE()),"mã đơn chưa có"))</f>
        <v/>
      </c>
      <c r="D1128" s="14"/>
      <c r="E1128" s="8"/>
      <c r="F1128" s="8"/>
      <c r="G1128" s="8"/>
    </row>
    <row r="1129" customFormat="false" ht="15" hidden="false" customHeight="false" outlineLevel="0" collapsed="false">
      <c r="A1129" s="9"/>
      <c r="B1129" s="8"/>
      <c r="C1129" s="10" t="str">
        <f aca="false">IF(B1129="","",IFERROR(VLOOKUP(B1129,DonHang!$A$2:$C$500,3,FALSE()),"mã đơn chưa có"))</f>
        <v/>
      </c>
      <c r="D1129" s="14"/>
      <c r="E1129" s="8"/>
      <c r="F1129" s="8"/>
      <c r="G1129" s="8"/>
    </row>
    <row r="1130" customFormat="false" ht="15" hidden="false" customHeight="false" outlineLevel="0" collapsed="false">
      <c r="A1130" s="9"/>
      <c r="B1130" s="8"/>
      <c r="C1130" s="10" t="str">
        <f aca="false">IF(B1130="","",IFERROR(VLOOKUP(B1130,DonHang!$A$2:$C$500,3,FALSE()),"mã đơn chưa có"))</f>
        <v/>
      </c>
      <c r="D1130" s="14"/>
      <c r="E1130" s="8"/>
      <c r="F1130" s="8"/>
      <c r="G1130" s="8"/>
    </row>
    <row r="1131" customFormat="false" ht="15" hidden="false" customHeight="false" outlineLevel="0" collapsed="false">
      <c r="A1131" s="9"/>
      <c r="B1131" s="8"/>
      <c r="C1131" s="10" t="str">
        <f aca="false">IF(B1131="","",IFERROR(VLOOKUP(B1131,DonHang!$A$2:$C$500,3,FALSE()),"mã đơn chưa có"))</f>
        <v/>
      </c>
      <c r="D1131" s="14"/>
      <c r="E1131" s="8"/>
      <c r="F1131" s="8"/>
      <c r="G1131" s="8"/>
    </row>
    <row r="1132" customFormat="false" ht="15" hidden="false" customHeight="false" outlineLevel="0" collapsed="false">
      <c r="A1132" s="9"/>
      <c r="B1132" s="8"/>
      <c r="C1132" s="10" t="str">
        <f aca="false">IF(B1132="","",IFERROR(VLOOKUP(B1132,DonHang!$A$2:$C$500,3,FALSE()),"mã đơn chưa có"))</f>
        <v/>
      </c>
      <c r="D1132" s="14"/>
      <c r="E1132" s="8"/>
      <c r="F1132" s="8"/>
      <c r="G1132" s="8"/>
    </row>
    <row r="1133" customFormat="false" ht="15" hidden="false" customHeight="false" outlineLevel="0" collapsed="false">
      <c r="A1133" s="9"/>
      <c r="B1133" s="8"/>
      <c r="C1133" s="10" t="str">
        <f aca="false">IF(B1133="","",IFERROR(VLOOKUP(B1133,DonHang!$A$2:$C$500,3,FALSE()),"mã đơn chưa có"))</f>
        <v/>
      </c>
      <c r="D1133" s="14"/>
      <c r="E1133" s="8"/>
      <c r="F1133" s="8"/>
      <c r="G1133" s="8"/>
    </row>
    <row r="1134" customFormat="false" ht="15" hidden="false" customHeight="false" outlineLevel="0" collapsed="false">
      <c r="A1134" s="9"/>
      <c r="B1134" s="8"/>
      <c r="C1134" s="10" t="str">
        <f aca="false">IF(B1134="","",IFERROR(VLOOKUP(B1134,DonHang!$A$2:$C$500,3,FALSE()),"mã đơn chưa có"))</f>
        <v/>
      </c>
      <c r="D1134" s="14"/>
      <c r="E1134" s="8"/>
      <c r="F1134" s="8"/>
      <c r="G1134" s="8"/>
    </row>
    <row r="1135" customFormat="false" ht="15" hidden="false" customHeight="false" outlineLevel="0" collapsed="false">
      <c r="A1135" s="9"/>
      <c r="B1135" s="8"/>
      <c r="C1135" s="10" t="str">
        <f aca="false">IF(B1135="","",IFERROR(VLOOKUP(B1135,DonHang!$A$2:$C$500,3,FALSE()),"mã đơn chưa có"))</f>
        <v/>
      </c>
      <c r="D1135" s="14"/>
      <c r="E1135" s="8"/>
      <c r="F1135" s="8"/>
      <c r="G1135" s="8"/>
    </row>
    <row r="1136" customFormat="false" ht="15" hidden="false" customHeight="false" outlineLevel="0" collapsed="false">
      <c r="A1136" s="9"/>
      <c r="B1136" s="8"/>
      <c r="C1136" s="10" t="str">
        <f aca="false">IF(B1136="","",IFERROR(VLOOKUP(B1136,DonHang!$A$2:$C$500,3,FALSE()),"mã đơn chưa có"))</f>
        <v/>
      </c>
      <c r="D1136" s="14"/>
      <c r="E1136" s="8"/>
      <c r="F1136" s="8"/>
      <c r="G1136" s="8"/>
    </row>
    <row r="1137" customFormat="false" ht="15" hidden="false" customHeight="false" outlineLevel="0" collapsed="false">
      <c r="A1137" s="9"/>
      <c r="B1137" s="8"/>
      <c r="C1137" s="10" t="str">
        <f aca="false">IF(B1137="","",IFERROR(VLOOKUP(B1137,DonHang!$A$2:$C$500,3,FALSE()),"mã đơn chưa có"))</f>
        <v/>
      </c>
      <c r="D1137" s="14"/>
      <c r="E1137" s="8"/>
      <c r="F1137" s="8"/>
      <c r="G1137" s="8"/>
    </row>
    <row r="1138" customFormat="false" ht="15" hidden="false" customHeight="false" outlineLevel="0" collapsed="false">
      <c r="A1138" s="9"/>
      <c r="B1138" s="8"/>
      <c r="C1138" s="10" t="str">
        <f aca="false">IF(B1138="","",IFERROR(VLOOKUP(B1138,DonHang!$A$2:$C$500,3,FALSE()),"mã đơn chưa có"))</f>
        <v/>
      </c>
      <c r="D1138" s="14"/>
      <c r="E1138" s="8"/>
      <c r="F1138" s="8"/>
      <c r="G1138" s="8"/>
    </row>
    <row r="1139" customFormat="false" ht="15" hidden="false" customHeight="false" outlineLevel="0" collapsed="false">
      <c r="A1139" s="9"/>
      <c r="B1139" s="8"/>
      <c r="C1139" s="10" t="str">
        <f aca="false">IF(B1139="","",IFERROR(VLOOKUP(B1139,DonHang!$A$2:$C$500,3,FALSE()),"mã đơn chưa có"))</f>
        <v/>
      </c>
      <c r="D1139" s="14"/>
      <c r="E1139" s="8"/>
      <c r="F1139" s="8"/>
      <c r="G1139" s="8"/>
    </row>
    <row r="1140" customFormat="false" ht="15" hidden="false" customHeight="false" outlineLevel="0" collapsed="false">
      <c r="A1140" s="9"/>
      <c r="B1140" s="8"/>
      <c r="C1140" s="10" t="str">
        <f aca="false">IF(B1140="","",IFERROR(VLOOKUP(B1140,DonHang!$A$2:$C$500,3,FALSE()),"mã đơn chưa có"))</f>
        <v/>
      </c>
      <c r="D1140" s="14"/>
      <c r="E1140" s="8"/>
      <c r="F1140" s="8"/>
      <c r="G1140" s="8"/>
    </row>
    <row r="1141" customFormat="false" ht="15" hidden="false" customHeight="false" outlineLevel="0" collapsed="false">
      <c r="A1141" s="9"/>
      <c r="B1141" s="8"/>
      <c r="C1141" s="10" t="str">
        <f aca="false">IF(B1141="","",IFERROR(VLOOKUP(B1141,DonHang!$A$2:$C$500,3,FALSE()),"mã đơn chưa có"))</f>
        <v/>
      </c>
      <c r="D1141" s="14"/>
      <c r="E1141" s="8"/>
      <c r="F1141" s="8"/>
      <c r="G1141" s="8"/>
    </row>
    <row r="1142" customFormat="false" ht="15" hidden="false" customHeight="false" outlineLevel="0" collapsed="false">
      <c r="A1142" s="9"/>
      <c r="B1142" s="8"/>
      <c r="C1142" s="10" t="str">
        <f aca="false">IF(B1142="","",IFERROR(VLOOKUP(B1142,DonHang!$A$2:$C$500,3,FALSE()),"mã đơn chưa có"))</f>
        <v/>
      </c>
      <c r="D1142" s="14"/>
      <c r="E1142" s="8"/>
      <c r="F1142" s="8"/>
      <c r="G1142" s="8"/>
    </row>
    <row r="1143" customFormat="false" ht="15" hidden="false" customHeight="false" outlineLevel="0" collapsed="false">
      <c r="A1143" s="9"/>
      <c r="B1143" s="8"/>
      <c r="C1143" s="10" t="str">
        <f aca="false">IF(B1143="","",IFERROR(VLOOKUP(B1143,DonHang!$A$2:$C$500,3,FALSE()),"mã đơn chưa có"))</f>
        <v/>
      </c>
      <c r="D1143" s="14"/>
      <c r="E1143" s="8"/>
      <c r="F1143" s="8"/>
      <c r="G1143" s="8"/>
    </row>
    <row r="1144" customFormat="false" ht="15" hidden="false" customHeight="false" outlineLevel="0" collapsed="false">
      <c r="A1144" s="9"/>
      <c r="B1144" s="8"/>
      <c r="C1144" s="10" t="str">
        <f aca="false">IF(B1144="","",IFERROR(VLOOKUP(B1144,DonHang!$A$2:$C$500,3,FALSE()),"mã đơn chưa có"))</f>
        <v/>
      </c>
      <c r="D1144" s="14"/>
      <c r="E1144" s="8"/>
      <c r="F1144" s="8"/>
      <c r="G1144" s="8"/>
    </row>
    <row r="1145" customFormat="false" ht="15" hidden="false" customHeight="false" outlineLevel="0" collapsed="false">
      <c r="A1145" s="9"/>
      <c r="B1145" s="8"/>
      <c r="C1145" s="10" t="str">
        <f aca="false">IF(B1145="","",IFERROR(VLOOKUP(B1145,DonHang!$A$2:$C$500,3,FALSE()),"mã đơn chưa có"))</f>
        <v/>
      </c>
      <c r="D1145" s="14"/>
      <c r="E1145" s="8"/>
      <c r="F1145" s="8"/>
      <c r="G1145" s="8"/>
    </row>
    <row r="1146" customFormat="false" ht="15" hidden="false" customHeight="false" outlineLevel="0" collapsed="false">
      <c r="A1146" s="9"/>
      <c r="B1146" s="8"/>
      <c r="C1146" s="10" t="str">
        <f aca="false">IF(B1146="","",IFERROR(VLOOKUP(B1146,DonHang!$A$2:$C$500,3,FALSE()),"mã đơn chưa có"))</f>
        <v/>
      </c>
      <c r="D1146" s="14"/>
      <c r="E1146" s="8"/>
      <c r="F1146" s="8"/>
      <c r="G1146" s="8"/>
    </row>
    <row r="1147" customFormat="false" ht="15" hidden="false" customHeight="false" outlineLevel="0" collapsed="false">
      <c r="A1147" s="9"/>
      <c r="B1147" s="8"/>
      <c r="C1147" s="10" t="str">
        <f aca="false">IF(B1147="","",IFERROR(VLOOKUP(B1147,DonHang!$A$2:$C$500,3,FALSE()),"mã đơn chưa có"))</f>
        <v/>
      </c>
      <c r="D1147" s="14"/>
      <c r="E1147" s="8"/>
      <c r="F1147" s="8"/>
      <c r="G1147" s="8"/>
    </row>
    <row r="1148" customFormat="false" ht="15" hidden="false" customHeight="false" outlineLevel="0" collapsed="false">
      <c r="A1148" s="9"/>
      <c r="B1148" s="8"/>
      <c r="C1148" s="10" t="str">
        <f aca="false">IF(B1148="","",IFERROR(VLOOKUP(B1148,DonHang!$A$2:$C$500,3,FALSE()),"mã đơn chưa có"))</f>
        <v/>
      </c>
      <c r="D1148" s="14"/>
      <c r="E1148" s="8"/>
      <c r="F1148" s="8"/>
      <c r="G1148" s="8"/>
    </row>
    <row r="1149" customFormat="false" ht="15" hidden="false" customHeight="false" outlineLevel="0" collapsed="false">
      <c r="A1149" s="9"/>
      <c r="B1149" s="8"/>
      <c r="C1149" s="10" t="str">
        <f aca="false">IF(B1149="","",IFERROR(VLOOKUP(B1149,DonHang!$A$2:$C$500,3,FALSE()),"mã đơn chưa có"))</f>
        <v/>
      </c>
      <c r="D1149" s="14"/>
      <c r="E1149" s="8"/>
      <c r="F1149" s="8"/>
      <c r="G1149" s="8"/>
    </row>
    <row r="1150" customFormat="false" ht="15" hidden="false" customHeight="false" outlineLevel="0" collapsed="false">
      <c r="A1150" s="9"/>
      <c r="B1150" s="8"/>
      <c r="C1150" s="10" t="str">
        <f aca="false">IF(B1150="","",IFERROR(VLOOKUP(B1150,DonHang!$A$2:$C$500,3,FALSE()),"mã đơn chưa có"))</f>
        <v/>
      </c>
      <c r="D1150" s="14"/>
      <c r="E1150" s="8"/>
      <c r="F1150" s="8"/>
      <c r="G1150" s="8"/>
    </row>
    <row r="1151" customFormat="false" ht="15" hidden="false" customHeight="false" outlineLevel="0" collapsed="false">
      <c r="A1151" s="9"/>
      <c r="B1151" s="8"/>
      <c r="C1151" s="10" t="str">
        <f aca="false">IF(B1151="","",IFERROR(VLOOKUP(B1151,DonHang!$A$2:$C$500,3,FALSE()),"mã đơn chưa có"))</f>
        <v/>
      </c>
      <c r="D1151" s="14"/>
      <c r="E1151" s="8"/>
      <c r="F1151" s="8"/>
      <c r="G1151" s="8"/>
    </row>
    <row r="1152" customFormat="false" ht="15" hidden="false" customHeight="false" outlineLevel="0" collapsed="false">
      <c r="A1152" s="9"/>
      <c r="B1152" s="8"/>
      <c r="C1152" s="10" t="str">
        <f aca="false">IF(B1152="","",IFERROR(VLOOKUP(B1152,DonHang!$A$2:$C$500,3,FALSE()),"mã đơn chưa có"))</f>
        <v/>
      </c>
      <c r="D1152" s="14"/>
      <c r="E1152" s="8"/>
      <c r="F1152" s="8"/>
      <c r="G1152" s="8"/>
    </row>
    <row r="1153" customFormat="false" ht="15" hidden="false" customHeight="false" outlineLevel="0" collapsed="false">
      <c r="A1153" s="9"/>
      <c r="B1153" s="8"/>
      <c r="C1153" s="10" t="str">
        <f aca="false">IF(B1153="","",IFERROR(VLOOKUP(B1153,DonHang!$A$2:$C$500,3,FALSE()),"mã đơn chưa có"))</f>
        <v/>
      </c>
      <c r="D1153" s="14"/>
      <c r="E1153" s="8"/>
      <c r="F1153" s="8"/>
      <c r="G1153" s="8"/>
    </row>
    <row r="1154" customFormat="false" ht="15" hidden="false" customHeight="false" outlineLevel="0" collapsed="false">
      <c r="A1154" s="9"/>
      <c r="B1154" s="8"/>
      <c r="C1154" s="10" t="str">
        <f aca="false">IF(B1154="","",IFERROR(VLOOKUP(B1154,DonHang!$A$2:$C$500,3,FALSE()),"mã đơn chưa có"))</f>
        <v/>
      </c>
      <c r="D1154" s="14"/>
      <c r="E1154" s="8"/>
      <c r="F1154" s="8"/>
      <c r="G1154" s="8"/>
    </row>
    <row r="1155" customFormat="false" ht="15" hidden="false" customHeight="false" outlineLevel="0" collapsed="false">
      <c r="A1155" s="9"/>
      <c r="B1155" s="8"/>
      <c r="C1155" s="10" t="str">
        <f aca="false">IF(B1155="","",IFERROR(VLOOKUP(B1155,DonHang!$A$2:$C$500,3,FALSE()),"mã đơn chưa có"))</f>
        <v/>
      </c>
      <c r="D1155" s="14"/>
      <c r="E1155" s="8"/>
      <c r="F1155" s="8"/>
      <c r="G1155" s="8"/>
    </row>
    <row r="1156" customFormat="false" ht="15" hidden="false" customHeight="false" outlineLevel="0" collapsed="false">
      <c r="A1156" s="9"/>
      <c r="B1156" s="8"/>
      <c r="C1156" s="10" t="str">
        <f aca="false">IF(B1156="","",IFERROR(VLOOKUP(B1156,DonHang!$A$2:$C$500,3,FALSE()),"mã đơn chưa có"))</f>
        <v/>
      </c>
      <c r="D1156" s="14"/>
      <c r="E1156" s="8"/>
      <c r="F1156" s="8"/>
      <c r="G1156" s="8"/>
    </row>
    <row r="1157" customFormat="false" ht="15" hidden="false" customHeight="false" outlineLevel="0" collapsed="false">
      <c r="A1157" s="9"/>
      <c r="B1157" s="8"/>
      <c r="C1157" s="10" t="str">
        <f aca="false">IF(B1157="","",IFERROR(VLOOKUP(B1157,DonHang!$A$2:$C$500,3,FALSE()),"mã đơn chưa có"))</f>
        <v/>
      </c>
      <c r="D1157" s="14"/>
      <c r="E1157" s="8"/>
      <c r="F1157" s="8"/>
      <c r="G1157" s="8"/>
    </row>
    <row r="1158" customFormat="false" ht="15" hidden="false" customHeight="false" outlineLevel="0" collapsed="false">
      <c r="A1158" s="9"/>
      <c r="B1158" s="8"/>
      <c r="C1158" s="10" t="str">
        <f aca="false">IF(B1158="","",IFERROR(VLOOKUP(B1158,DonHang!$A$2:$C$500,3,FALSE()),"mã đơn chưa có"))</f>
        <v/>
      </c>
      <c r="D1158" s="14"/>
      <c r="E1158" s="8"/>
      <c r="F1158" s="8"/>
      <c r="G1158" s="8"/>
    </row>
    <row r="1159" customFormat="false" ht="15" hidden="false" customHeight="false" outlineLevel="0" collapsed="false">
      <c r="A1159" s="9"/>
      <c r="B1159" s="8"/>
      <c r="C1159" s="10" t="str">
        <f aca="false">IF(B1159="","",IFERROR(VLOOKUP(B1159,DonHang!$A$2:$C$500,3,FALSE()),"mã đơn chưa có"))</f>
        <v/>
      </c>
      <c r="D1159" s="14"/>
      <c r="E1159" s="8"/>
      <c r="F1159" s="8"/>
      <c r="G1159" s="8"/>
    </row>
    <row r="1160" customFormat="false" ht="15" hidden="false" customHeight="false" outlineLevel="0" collapsed="false">
      <c r="A1160" s="9"/>
      <c r="B1160" s="8"/>
      <c r="C1160" s="10" t="str">
        <f aca="false">IF(B1160="","",IFERROR(VLOOKUP(B1160,DonHang!$A$2:$C$500,3,FALSE()),"mã đơn chưa có"))</f>
        <v/>
      </c>
      <c r="D1160" s="14"/>
      <c r="E1160" s="8"/>
      <c r="F1160" s="8"/>
      <c r="G1160" s="8"/>
    </row>
    <row r="1161" customFormat="false" ht="15" hidden="false" customHeight="false" outlineLevel="0" collapsed="false">
      <c r="A1161" s="9"/>
      <c r="B1161" s="8"/>
      <c r="C1161" s="10" t="str">
        <f aca="false">IF(B1161="","",IFERROR(VLOOKUP(B1161,DonHang!$A$2:$C$500,3,FALSE()),"mã đơn chưa có"))</f>
        <v/>
      </c>
      <c r="D1161" s="14"/>
      <c r="E1161" s="8"/>
      <c r="F1161" s="8"/>
      <c r="G1161" s="8"/>
    </row>
    <row r="1162" customFormat="false" ht="15" hidden="false" customHeight="false" outlineLevel="0" collapsed="false">
      <c r="A1162" s="9"/>
      <c r="B1162" s="8"/>
      <c r="C1162" s="10" t="str">
        <f aca="false">IF(B1162="","",IFERROR(VLOOKUP(B1162,DonHang!$A$2:$C$500,3,FALSE()),"mã đơn chưa có"))</f>
        <v/>
      </c>
      <c r="D1162" s="14"/>
      <c r="E1162" s="8"/>
      <c r="F1162" s="8"/>
      <c r="G1162" s="8"/>
    </row>
    <row r="1163" customFormat="false" ht="15" hidden="false" customHeight="false" outlineLevel="0" collapsed="false">
      <c r="A1163" s="9"/>
      <c r="B1163" s="8"/>
      <c r="C1163" s="10" t="str">
        <f aca="false">IF(B1163="","",IFERROR(VLOOKUP(B1163,DonHang!$A$2:$C$500,3,FALSE()),"mã đơn chưa có"))</f>
        <v/>
      </c>
      <c r="D1163" s="14"/>
      <c r="E1163" s="8"/>
      <c r="F1163" s="8"/>
      <c r="G1163" s="8"/>
    </row>
    <row r="1164" customFormat="false" ht="15" hidden="false" customHeight="false" outlineLevel="0" collapsed="false">
      <c r="A1164" s="9"/>
      <c r="B1164" s="8"/>
      <c r="C1164" s="10" t="str">
        <f aca="false">IF(B1164="","",IFERROR(VLOOKUP(B1164,DonHang!$A$2:$C$500,3,FALSE()),"mã đơn chưa có"))</f>
        <v/>
      </c>
      <c r="D1164" s="14"/>
      <c r="E1164" s="8"/>
      <c r="F1164" s="8"/>
      <c r="G1164" s="8"/>
    </row>
    <row r="1165" customFormat="false" ht="15" hidden="false" customHeight="false" outlineLevel="0" collapsed="false">
      <c r="A1165" s="9"/>
      <c r="B1165" s="8"/>
      <c r="C1165" s="10" t="str">
        <f aca="false">IF(B1165="","",IFERROR(VLOOKUP(B1165,DonHang!$A$2:$C$500,3,FALSE()),"mã đơn chưa có"))</f>
        <v/>
      </c>
      <c r="D1165" s="14"/>
      <c r="E1165" s="8"/>
      <c r="F1165" s="8"/>
      <c r="G1165" s="8"/>
    </row>
    <row r="1166" customFormat="false" ht="15" hidden="false" customHeight="false" outlineLevel="0" collapsed="false">
      <c r="A1166" s="9"/>
      <c r="B1166" s="8"/>
      <c r="C1166" s="10" t="str">
        <f aca="false">IF(B1166="","",IFERROR(VLOOKUP(B1166,DonHang!$A$2:$C$500,3,FALSE()),"mã đơn chưa có"))</f>
        <v/>
      </c>
      <c r="D1166" s="14"/>
      <c r="E1166" s="8"/>
      <c r="F1166" s="8"/>
      <c r="G1166" s="8"/>
    </row>
    <row r="1167" customFormat="false" ht="15" hidden="false" customHeight="false" outlineLevel="0" collapsed="false">
      <c r="A1167" s="9"/>
      <c r="B1167" s="8"/>
      <c r="C1167" s="10" t="str">
        <f aca="false">IF(B1167="","",IFERROR(VLOOKUP(B1167,DonHang!$A$2:$C$500,3,FALSE()),"mã đơn chưa có"))</f>
        <v/>
      </c>
      <c r="D1167" s="14"/>
      <c r="E1167" s="8"/>
      <c r="F1167" s="8"/>
      <c r="G1167" s="8"/>
    </row>
    <row r="1168" customFormat="false" ht="15" hidden="false" customHeight="false" outlineLevel="0" collapsed="false">
      <c r="A1168" s="9"/>
      <c r="B1168" s="8"/>
      <c r="C1168" s="10" t="str">
        <f aca="false">IF(B1168="","",IFERROR(VLOOKUP(B1168,DonHang!$A$2:$C$500,3,FALSE()),"mã đơn chưa có"))</f>
        <v/>
      </c>
      <c r="D1168" s="14"/>
      <c r="E1168" s="8"/>
      <c r="F1168" s="8"/>
      <c r="G1168" s="8"/>
    </row>
    <row r="1169" customFormat="false" ht="15" hidden="false" customHeight="false" outlineLevel="0" collapsed="false">
      <c r="A1169" s="9"/>
      <c r="B1169" s="8"/>
      <c r="C1169" s="10" t="str">
        <f aca="false">IF(B1169="","",IFERROR(VLOOKUP(B1169,DonHang!$A$2:$C$500,3,FALSE()),"mã đơn chưa có"))</f>
        <v/>
      </c>
      <c r="D1169" s="14"/>
      <c r="E1169" s="8"/>
      <c r="F1169" s="8"/>
      <c r="G1169" s="8"/>
    </row>
    <row r="1170" customFormat="false" ht="15" hidden="false" customHeight="false" outlineLevel="0" collapsed="false">
      <c r="A1170" s="9"/>
      <c r="B1170" s="8"/>
      <c r="C1170" s="10" t="str">
        <f aca="false">IF(B1170="","",IFERROR(VLOOKUP(B1170,DonHang!$A$2:$C$500,3,FALSE()),"mã đơn chưa có"))</f>
        <v/>
      </c>
      <c r="D1170" s="14"/>
      <c r="E1170" s="8"/>
      <c r="F1170" s="8"/>
      <c r="G1170" s="8"/>
    </row>
    <row r="1171" customFormat="false" ht="15" hidden="false" customHeight="false" outlineLevel="0" collapsed="false">
      <c r="A1171" s="9"/>
      <c r="B1171" s="8"/>
      <c r="C1171" s="10" t="str">
        <f aca="false">IF(B1171="","",IFERROR(VLOOKUP(B1171,DonHang!$A$2:$C$500,3,FALSE()),"mã đơn chưa có"))</f>
        <v/>
      </c>
      <c r="D1171" s="14"/>
      <c r="E1171" s="8"/>
      <c r="F1171" s="8"/>
      <c r="G1171" s="8"/>
    </row>
    <row r="1172" customFormat="false" ht="15" hidden="false" customHeight="false" outlineLevel="0" collapsed="false">
      <c r="A1172" s="9"/>
      <c r="B1172" s="8"/>
      <c r="C1172" s="10" t="str">
        <f aca="false">IF(B1172="","",IFERROR(VLOOKUP(B1172,DonHang!$A$2:$C$500,3,FALSE()),"mã đơn chưa có"))</f>
        <v/>
      </c>
      <c r="D1172" s="14"/>
      <c r="E1172" s="8"/>
      <c r="F1172" s="8"/>
      <c r="G1172" s="8"/>
    </row>
    <row r="1173" customFormat="false" ht="15" hidden="false" customHeight="false" outlineLevel="0" collapsed="false">
      <c r="A1173" s="9"/>
      <c r="B1173" s="8"/>
      <c r="C1173" s="10" t="str">
        <f aca="false">IF(B1173="","",IFERROR(VLOOKUP(B1173,DonHang!$A$2:$C$500,3,FALSE()),"mã đơn chưa có"))</f>
        <v/>
      </c>
      <c r="D1173" s="14"/>
      <c r="E1173" s="8"/>
      <c r="F1173" s="8"/>
      <c r="G1173" s="8"/>
    </row>
    <row r="1174" customFormat="false" ht="15" hidden="false" customHeight="false" outlineLevel="0" collapsed="false">
      <c r="A1174" s="9"/>
      <c r="B1174" s="8"/>
      <c r="C1174" s="10" t="str">
        <f aca="false">IF(B1174="","",IFERROR(VLOOKUP(B1174,DonHang!$A$2:$C$500,3,FALSE()),"mã đơn chưa có"))</f>
        <v/>
      </c>
      <c r="D1174" s="14"/>
      <c r="E1174" s="8"/>
      <c r="F1174" s="8"/>
      <c r="G1174" s="8"/>
    </row>
    <row r="1175" customFormat="false" ht="15" hidden="false" customHeight="false" outlineLevel="0" collapsed="false">
      <c r="A1175" s="9"/>
      <c r="B1175" s="8"/>
      <c r="C1175" s="10" t="str">
        <f aca="false">IF(B1175="","",IFERROR(VLOOKUP(B1175,DonHang!$A$2:$C$500,3,FALSE()),"mã đơn chưa có"))</f>
        <v/>
      </c>
      <c r="D1175" s="14"/>
      <c r="E1175" s="8"/>
      <c r="F1175" s="8"/>
      <c r="G1175" s="8"/>
    </row>
    <row r="1176" customFormat="false" ht="15" hidden="false" customHeight="false" outlineLevel="0" collapsed="false">
      <c r="A1176" s="9"/>
      <c r="B1176" s="8"/>
      <c r="C1176" s="10" t="str">
        <f aca="false">IF(B1176="","",IFERROR(VLOOKUP(B1176,DonHang!$A$2:$C$500,3,FALSE()),"mã đơn chưa có"))</f>
        <v/>
      </c>
      <c r="D1176" s="14"/>
      <c r="E1176" s="8"/>
      <c r="F1176" s="8"/>
      <c r="G1176" s="8"/>
    </row>
    <row r="1177" customFormat="false" ht="15" hidden="false" customHeight="false" outlineLevel="0" collapsed="false">
      <c r="A1177" s="9"/>
      <c r="B1177" s="8"/>
      <c r="C1177" s="10" t="str">
        <f aca="false">IF(B1177="","",IFERROR(VLOOKUP(B1177,DonHang!$A$2:$C$500,3,FALSE()),"mã đơn chưa có"))</f>
        <v/>
      </c>
      <c r="D1177" s="14"/>
      <c r="E1177" s="8"/>
      <c r="F1177" s="8"/>
      <c r="G1177" s="8"/>
    </row>
    <row r="1178" customFormat="false" ht="15" hidden="false" customHeight="false" outlineLevel="0" collapsed="false">
      <c r="A1178" s="9"/>
      <c r="B1178" s="8"/>
      <c r="C1178" s="10" t="str">
        <f aca="false">IF(B1178="","",IFERROR(VLOOKUP(B1178,DonHang!$A$2:$C$500,3,FALSE()),"mã đơn chưa có"))</f>
        <v/>
      </c>
      <c r="D1178" s="14"/>
      <c r="E1178" s="8"/>
      <c r="F1178" s="8"/>
      <c r="G1178" s="8"/>
    </row>
    <row r="1179" customFormat="false" ht="15" hidden="false" customHeight="false" outlineLevel="0" collapsed="false">
      <c r="A1179" s="9"/>
      <c r="B1179" s="8"/>
      <c r="C1179" s="10" t="str">
        <f aca="false">IF(B1179="","",IFERROR(VLOOKUP(B1179,DonHang!$A$2:$C$500,3,FALSE()),"mã đơn chưa có"))</f>
        <v/>
      </c>
      <c r="D1179" s="14"/>
      <c r="E1179" s="8"/>
      <c r="F1179" s="8"/>
      <c r="G1179" s="8"/>
    </row>
    <row r="1180" customFormat="false" ht="15" hidden="false" customHeight="false" outlineLevel="0" collapsed="false">
      <c r="A1180" s="9"/>
      <c r="B1180" s="8"/>
      <c r="C1180" s="10" t="str">
        <f aca="false">IF(B1180="","",IFERROR(VLOOKUP(B1180,DonHang!$A$2:$C$500,3,FALSE()),"mã đơn chưa có"))</f>
        <v/>
      </c>
      <c r="D1180" s="14"/>
      <c r="E1180" s="8"/>
      <c r="F1180" s="8"/>
      <c r="G1180" s="8"/>
    </row>
    <row r="1181" customFormat="false" ht="15" hidden="false" customHeight="false" outlineLevel="0" collapsed="false">
      <c r="A1181" s="9"/>
      <c r="B1181" s="8"/>
      <c r="C1181" s="10" t="str">
        <f aca="false">IF(B1181="","",IFERROR(VLOOKUP(B1181,DonHang!$A$2:$C$500,3,FALSE()),"mã đơn chưa có"))</f>
        <v/>
      </c>
      <c r="D1181" s="14"/>
      <c r="E1181" s="8"/>
      <c r="F1181" s="8"/>
      <c r="G1181" s="8"/>
    </row>
    <row r="1182" customFormat="false" ht="15" hidden="false" customHeight="false" outlineLevel="0" collapsed="false">
      <c r="A1182" s="9"/>
      <c r="B1182" s="8"/>
      <c r="C1182" s="10" t="str">
        <f aca="false">IF(B1182="","",IFERROR(VLOOKUP(B1182,DonHang!$A$2:$C$500,3,FALSE()),"mã đơn chưa có"))</f>
        <v/>
      </c>
      <c r="D1182" s="14"/>
      <c r="E1182" s="8"/>
      <c r="F1182" s="8"/>
      <c r="G1182" s="8"/>
    </row>
    <row r="1183" customFormat="false" ht="15" hidden="false" customHeight="false" outlineLevel="0" collapsed="false">
      <c r="A1183" s="9"/>
      <c r="B1183" s="8"/>
      <c r="C1183" s="10" t="str">
        <f aca="false">IF(B1183="","",IFERROR(VLOOKUP(B1183,DonHang!$A$2:$C$500,3,FALSE()),"mã đơn chưa có"))</f>
        <v/>
      </c>
      <c r="D1183" s="14"/>
      <c r="E1183" s="8"/>
      <c r="F1183" s="8"/>
      <c r="G1183" s="8"/>
    </row>
    <row r="1184" customFormat="false" ht="15" hidden="false" customHeight="false" outlineLevel="0" collapsed="false">
      <c r="A1184" s="9"/>
      <c r="B1184" s="8"/>
      <c r="C1184" s="10" t="str">
        <f aca="false">IF(B1184="","",IFERROR(VLOOKUP(B1184,DonHang!$A$2:$C$500,3,FALSE()),"mã đơn chưa có"))</f>
        <v/>
      </c>
      <c r="D1184" s="14"/>
      <c r="E1184" s="8"/>
      <c r="F1184" s="8"/>
      <c r="G1184" s="8"/>
    </row>
    <row r="1185" customFormat="false" ht="15" hidden="false" customHeight="false" outlineLevel="0" collapsed="false">
      <c r="A1185" s="9"/>
      <c r="B1185" s="8"/>
      <c r="C1185" s="10" t="str">
        <f aca="false">IF(B1185="","",IFERROR(VLOOKUP(B1185,DonHang!$A$2:$C$500,3,FALSE()),"mã đơn chưa có"))</f>
        <v/>
      </c>
      <c r="D1185" s="14"/>
      <c r="E1185" s="8"/>
      <c r="F1185" s="8"/>
      <c r="G1185" s="8"/>
    </row>
    <row r="1186" customFormat="false" ht="15" hidden="false" customHeight="false" outlineLevel="0" collapsed="false">
      <c r="A1186" s="9"/>
      <c r="B1186" s="8"/>
      <c r="C1186" s="10" t="str">
        <f aca="false">IF(B1186="","",IFERROR(VLOOKUP(B1186,DonHang!$A$2:$C$500,3,FALSE()),"mã đơn chưa có"))</f>
        <v/>
      </c>
      <c r="D1186" s="14"/>
      <c r="E1186" s="8"/>
      <c r="F1186" s="8"/>
      <c r="G1186" s="8"/>
    </row>
    <row r="1187" customFormat="false" ht="15" hidden="false" customHeight="false" outlineLevel="0" collapsed="false">
      <c r="A1187" s="9"/>
      <c r="B1187" s="8"/>
      <c r="C1187" s="10" t="str">
        <f aca="false">IF(B1187="","",IFERROR(VLOOKUP(B1187,DonHang!$A$2:$C$500,3,FALSE()),"mã đơn chưa có"))</f>
        <v/>
      </c>
      <c r="D1187" s="14"/>
      <c r="E1187" s="8"/>
      <c r="F1187" s="8"/>
      <c r="G1187" s="8"/>
    </row>
    <row r="1188" customFormat="false" ht="15" hidden="false" customHeight="false" outlineLevel="0" collapsed="false">
      <c r="A1188" s="9"/>
      <c r="B1188" s="8"/>
      <c r="C1188" s="10" t="str">
        <f aca="false">IF(B1188="","",IFERROR(VLOOKUP(B1188,DonHang!$A$2:$C$500,3,FALSE()),"mã đơn chưa có"))</f>
        <v/>
      </c>
      <c r="D1188" s="14"/>
      <c r="E1188" s="8"/>
      <c r="F1188" s="8"/>
      <c r="G1188" s="8"/>
    </row>
    <row r="1189" customFormat="false" ht="15" hidden="false" customHeight="false" outlineLevel="0" collapsed="false">
      <c r="A1189" s="9"/>
      <c r="B1189" s="8"/>
      <c r="C1189" s="10" t="str">
        <f aca="false">IF(B1189="","",IFERROR(VLOOKUP(B1189,DonHang!$A$2:$C$500,3,FALSE()),"mã đơn chưa có"))</f>
        <v/>
      </c>
      <c r="D1189" s="14"/>
      <c r="E1189" s="8"/>
      <c r="F1189" s="8"/>
      <c r="G1189" s="8"/>
    </row>
    <row r="1190" customFormat="false" ht="15" hidden="false" customHeight="false" outlineLevel="0" collapsed="false">
      <c r="A1190" s="9"/>
      <c r="B1190" s="8"/>
      <c r="C1190" s="10" t="str">
        <f aca="false">IF(B1190="","",IFERROR(VLOOKUP(B1190,DonHang!$A$2:$C$500,3,FALSE()),"mã đơn chưa có"))</f>
        <v/>
      </c>
      <c r="D1190" s="14"/>
      <c r="E1190" s="8"/>
      <c r="F1190" s="8"/>
      <c r="G1190" s="8"/>
    </row>
    <row r="1191" customFormat="false" ht="15" hidden="false" customHeight="false" outlineLevel="0" collapsed="false">
      <c r="A1191" s="9"/>
      <c r="B1191" s="8"/>
      <c r="C1191" s="10" t="str">
        <f aca="false">IF(B1191="","",IFERROR(VLOOKUP(B1191,DonHang!$A$2:$C$500,3,FALSE()),"mã đơn chưa có"))</f>
        <v/>
      </c>
      <c r="D1191" s="14"/>
      <c r="E1191" s="8"/>
      <c r="F1191" s="8"/>
      <c r="G1191" s="8"/>
    </row>
    <row r="1192" customFormat="false" ht="15" hidden="false" customHeight="false" outlineLevel="0" collapsed="false">
      <c r="A1192" s="9"/>
      <c r="B1192" s="8"/>
      <c r="C1192" s="10" t="str">
        <f aca="false">IF(B1192="","",IFERROR(VLOOKUP(B1192,DonHang!$A$2:$C$500,3,FALSE()),"mã đơn chưa có"))</f>
        <v/>
      </c>
      <c r="D1192" s="14"/>
      <c r="E1192" s="8"/>
      <c r="F1192" s="8"/>
      <c r="G1192" s="8"/>
    </row>
    <row r="1193" customFormat="false" ht="15" hidden="false" customHeight="false" outlineLevel="0" collapsed="false">
      <c r="A1193" s="9"/>
      <c r="B1193" s="8"/>
      <c r="C1193" s="10" t="str">
        <f aca="false">IF(B1193="","",IFERROR(VLOOKUP(B1193,DonHang!$A$2:$C$500,3,FALSE()),"mã đơn chưa có"))</f>
        <v/>
      </c>
      <c r="D1193" s="14"/>
      <c r="E1193" s="8"/>
      <c r="F1193" s="8"/>
      <c r="G1193" s="8"/>
    </row>
    <row r="1194" customFormat="false" ht="15" hidden="false" customHeight="false" outlineLevel="0" collapsed="false">
      <c r="A1194" s="9"/>
      <c r="B1194" s="8"/>
      <c r="C1194" s="10" t="str">
        <f aca="false">IF(B1194="","",IFERROR(VLOOKUP(B1194,DonHang!$A$2:$C$500,3,FALSE()),"mã đơn chưa có"))</f>
        <v/>
      </c>
      <c r="D1194" s="14"/>
      <c r="E1194" s="8"/>
      <c r="F1194" s="8"/>
      <c r="G1194" s="8"/>
    </row>
    <row r="1195" customFormat="false" ht="15" hidden="false" customHeight="false" outlineLevel="0" collapsed="false">
      <c r="A1195" s="9"/>
      <c r="B1195" s="8"/>
      <c r="C1195" s="10" t="str">
        <f aca="false">IF(B1195="","",IFERROR(VLOOKUP(B1195,DonHang!$A$2:$C$500,3,FALSE()),"mã đơn chưa có"))</f>
        <v/>
      </c>
      <c r="D1195" s="14"/>
      <c r="E1195" s="8"/>
      <c r="F1195" s="8"/>
      <c r="G1195" s="8"/>
    </row>
    <row r="1196" customFormat="false" ht="15" hidden="false" customHeight="false" outlineLevel="0" collapsed="false">
      <c r="A1196" s="9"/>
      <c r="B1196" s="8"/>
      <c r="C1196" s="10" t="str">
        <f aca="false">IF(B1196="","",IFERROR(VLOOKUP(B1196,DonHang!$A$2:$C$500,3,FALSE()),"mã đơn chưa có"))</f>
        <v/>
      </c>
      <c r="D1196" s="14"/>
      <c r="E1196" s="8"/>
      <c r="F1196" s="8"/>
      <c r="G1196" s="8"/>
    </row>
    <row r="1197" customFormat="false" ht="15" hidden="false" customHeight="false" outlineLevel="0" collapsed="false">
      <c r="A1197" s="9"/>
      <c r="B1197" s="8"/>
      <c r="C1197" s="10" t="str">
        <f aca="false">IF(B1197="","",IFERROR(VLOOKUP(B1197,DonHang!$A$2:$C$500,3,FALSE()),"mã đơn chưa có"))</f>
        <v/>
      </c>
      <c r="D1197" s="14"/>
      <c r="E1197" s="8"/>
      <c r="F1197" s="8"/>
      <c r="G1197" s="8"/>
    </row>
    <row r="1198" customFormat="false" ht="15" hidden="false" customHeight="false" outlineLevel="0" collapsed="false">
      <c r="A1198" s="9"/>
      <c r="B1198" s="8"/>
      <c r="C1198" s="10" t="str">
        <f aca="false">IF(B1198="","",IFERROR(VLOOKUP(B1198,DonHang!$A$2:$C$500,3,FALSE()),"mã đơn chưa có"))</f>
        <v/>
      </c>
      <c r="D1198" s="14"/>
      <c r="E1198" s="8"/>
      <c r="F1198" s="8"/>
      <c r="G1198" s="8"/>
    </row>
    <row r="1199" customFormat="false" ht="15" hidden="false" customHeight="false" outlineLevel="0" collapsed="false">
      <c r="A1199" s="9"/>
      <c r="B1199" s="8"/>
      <c r="C1199" s="10" t="str">
        <f aca="false">IF(B1199="","",IFERROR(VLOOKUP(B1199,DonHang!$A$2:$C$500,3,FALSE()),"mã đơn chưa có"))</f>
        <v/>
      </c>
      <c r="D1199" s="14"/>
      <c r="E1199" s="8"/>
      <c r="F1199" s="8"/>
      <c r="G1199" s="8"/>
    </row>
    <row r="1200" customFormat="false" ht="15" hidden="false" customHeight="false" outlineLevel="0" collapsed="false">
      <c r="A1200" s="9"/>
      <c r="B1200" s="8"/>
      <c r="C1200" s="10" t="str">
        <f aca="false">IF(B1200="","",IFERROR(VLOOKUP(B1200,DonHang!$A$2:$C$500,3,FALSE()),"mã đơn chưa có"))</f>
        <v/>
      </c>
      <c r="D1200" s="14"/>
      <c r="E1200" s="8"/>
      <c r="F1200" s="8"/>
      <c r="G1200" s="8"/>
    </row>
    <row r="1201" customFormat="false" ht="15" hidden="false" customHeight="false" outlineLevel="0" collapsed="false">
      <c r="A1201" s="9"/>
      <c r="B1201" s="8"/>
      <c r="C1201" s="10" t="str">
        <f aca="false">IF(B1201="","",IFERROR(VLOOKUP(B1201,DonHang!$A$2:$C$500,3,FALSE()),"mã đơn chưa có"))</f>
        <v/>
      </c>
      <c r="D1201" s="14"/>
      <c r="E1201" s="8"/>
      <c r="F1201" s="8"/>
      <c r="G1201" s="8"/>
    </row>
    <row r="1202" customFormat="false" ht="15" hidden="false" customHeight="false" outlineLevel="0" collapsed="false">
      <c r="A1202" s="9"/>
      <c r="B1202" s="8"/>
      <c r="C1202" s="10" t="str">
        <f aca="false">IF(B1202="","",IFERROR(VLOOKUP(B1202,DonHang!$A$2:$C$500,3,FALSE()),"mã đơn chưa có"))</f>
        <v/>
      </c>
      <c r="D1202" s="14"/>
      <c r="E1202" s="8"/>
      <c r="F1202" s="8"/>
      <c r="G1202" s="8"/>
    </row>
    <row r="1203" customFormat="false" ht="15" hidden="false" customHeight="false" outlineLevel="0" collapsed="false">
      <c r="A1203" s="9"/>
      <c r="B1203" s="8"/>
      <c r="C1203" s="10" t="str">
        <f aca="false">IF(B1203="","",IFERROR(VLOOKUP(B1203,DonHang!$A$2:$C$500,3,FALSE()),"mã đơn chưa có"))</f>
        <v/>
      </c>
      <c r="D1203" s="14"/>
      <c r="E1203" s="8"/>
      <c r="F1203" s="8"/>
      <c r="G1203" s="8"/>
    </row>
    <row r="1204" customFormat="false" ht="15" hidden="false" customHeight="false" outlineLevel="0" collapsed="false">
      <c r="A1204" s="9"/>
      <c r="B1204" s="8"/>
      <c r="C1204" s="10" t="str">
        <f aca="false">IF(B1204="","",IFERROR(VLOOKUP(B1204,DonHang!$A$2:$C$500,3,FALSE()),"mã đơn chưa có"))</f>
        <v/>
      </c>
      <c r="D1204" s="14"/>
      <c r="E1204" s="8"/>
      <c r="F1204" s="8"/>
      <c r="G1204" s="8"/>
    </row>
    <row r="1205" customFormat="false" ht="15" hidden="false" customHeight="false" outlineLevel="0" collapsed="false">
      <c r="A1205" s="9"/>
      <c r="B1205" s="8"/>
      <c r="C1205" s="10" t="str">
        <f aca="false">IF(B1205="","",IFERROR(VLOOKUP(B1205,DonHang!$A$2:$C$500,3,FALSE()),"mã đơn chưa có"))</f>
        <v/>
      </c>
      <c r="D1205" s="14"/>
      <c r="E1205" s="8"/>
      <c r="F1205" s="8"/>
      <c r="G1205" s="8"/>
    </row>
    <row r="1206" customFormat="false" ht="15" hidden="false" customHeight="false" outlineLevel="0" collapsed="false">
      <c r="A1206" s="9"/>
      <c r="B1206" s="8"/>
      <c r="C1206" s="10" t="str">
        <f aca="false">IF(B1206="","",IFERROR(VLOOKUP(B1206,DonHang!$A$2:$C$500,3,FALSE()),"mã đơn chưa có"))</f>
        <v/>
      </c>
      <c r="D1206" s="14"/>
      <c r="E1206" s="8"/>
      <c r="F1206" s="8"/>
      <c r="G1206" s="8"/>
    </row>
    <row r="1207" customFormat="false" ht="15" hidden="false" customHeight="false" outlineLevel="0" collapsed="false">
      <c r="A1207" s="9"/>
      <c r="B1207" s="8"/>
      <c r="C1207" s="10" t="str">
        <f aca="false">IF(B1207="","",IFERROR(VLOOKUP(B1207,DonHang!$A$2:$C$500,3,FALSE()),"mã đơn chưa có"))</f>
        <v/>
      </c>
      <c r="D1207" s="14"/>
      <c r="E1207" s="8"/>
      <c r="F1207" s="8"/>
      <c r="G1207" s="8"/>
    </row>
    <row r="1208" customFormat="false" ht="15" hidden="false" customHeight="false" outlineLevel="0" collapsed="false">
      <c r="A1208" s="9"/>
      <c r="B1208" s="8"/>
      <c r="C1208" s="10" t="str">
        <f aca="false">IF(B1208="","",IFERROR(VLOOKUP(B1208,DonHang!$A$2:$C$500,3,FALSE()),"mã đơn chưa có"))</f>
        <v/>
      </c>
      <c r="D1208" s="14"/>
      <c r="E1208" s="8"/>
      <c r="F1208" s="8"/>
      <c r="G1208" s="8"/>
    </row>
    <row r="1209" customFormat="false" ht="15" hidden="false" customHeight="false" outlineLevel="0" collapsed="false">
      <c r="A1209" s="9"/>
      <c r="B1209" s="8"/>
      <c r="C1209" s="10" t="str">
        <f aca="false">IF(B1209="","",IFERROR(VLOOKUP(B1209,DonHang!$A$2:$C$500,3,FALSE()),"mã đơn chưa có"))</f>
        <v/>
      </c>
      <c r="D1209" s="14"/>
      <c r="E1209" s="8"/>
      <c r="F1209" s="8"/>
      <c r="G1209" s="8"/>
    </row>
    <row r="1210" customFormat="false" ht="15" hidden="false" customHeight="false" outlineLevel="0" collapsed="false">
      <c r="A1210" s="9"/>
      <c r="B1210" s="8"/>
      <c r="C1210" s="10" t="str">
        <f aca="false">IF(B1210="","",IFERROR(VLOOKUP(B1210,DonHang!$A$2:$C$500,3,FALSE()),"mã đơn chưa có"))</f>
        <v/>
      </c>
      <c r="D1210" s="14"/>
      <c r="E1210" s="8"/>
      <c r="F1210" s="8"/>
      <c r="G1210" s="8"/>
    </row>
    <row r="1211" customFormat="false" ht="15" hidden="false" customHeight="false" outlineLevel="0" collapsed="false">
      <c r="A1211" s="9"/>
      <c r="B1211" s="8"/>
      <c r="C1211" s="10" t="str">
        <f aca="false">IF(B1211="","",IFERROR(VLOOKUP(B1211,DonHang!$A$2:$C$500,3,FALSE()),"mã đơn chưa có"))</f>
        <v/>
      </c>
      <c r="D1211" s="14"/>
      <c r="E1211" s="8"/>
      <c r="F1211" s="8"/>
      <c r="G1211" s="8"/>
    </row>
    <row r="1212" customFormat="false" ht="15" hidden="false" customHeight="false" outlineLevel="0" collapsed="false">
      <c r="A1212" s="9"/>
      <c r="B1212" s="8"/>
      <c r="C1212" s="10" t="str">
        <f aca="false">IF(B1212="","",IFERROR(VLOOKUP(B1212,DonHang!$A$2:$C$500,3,FALSE()),"mã đơn chưa có"))</f>
        <v/>
      </c>
      <c r="D1212" s="14"/>
      <c r="E1212" s="8"/>
      <c r="F1212" s="8"/>
      <c r="G1212" s="8"/>
    </row>
    <row r="1213" customFormat="false" ht="15" hidden="false" customHeight="false" outlineLevel="0" collapsed="false">
      <c r="A1213" s="9"/>
      <c r="B1213" s="8"/>
      <c r="C1213" s="10" t="str">
        <f aca="false">IF(B1213="","",IFERROR(VLOOKUP(B1213,DonHang!$A$2:$C$500,3,FALSE()),"mã đơn chưa có"))</f>
        <v/>
      </c>
      <c r="D1213" s="14"/>
      <c r="E1213" s="8"/>
      <c r="F1213" s="8"/>
      <c r="G1213" s="8"/>
    </row>
    <row r="1214" customFormat="false" ht="15" hidden="false" customHeight="false" outlineLevel="0" collapsed="false">
      <c r="A1214" s="9"/>
      <c r="B1214" s="8"/>
      <c r="C1214" s="10" t="str">
        <f aca="false">IF(B1214="","",IFERROR(VLOOKUP(B1214,DonHang!$A$2:$C$500,3,FALSE()),"mã đơn chưa có"))</f>
        <v/>
      </c>
      <c r="D1214" s="14"/>
      <c r="E1214" s="8"/>
      <c r="F1214" s="8"/>
      <c r="G1214" s="8"/>
    </row>
    <row r="1215" customFormat="false" ht="15" hidden="false" customHeight="false" outlineLevel="0" collapsed="false">
      <c r="A1215" s="9"/>
      <c r="B1215" s="8"/>
      <c r="C1215" s="10" t="str">
        <f aca="false">IF(B1215="","",IFERROR(VLOOKUP(B1215,DonHang!$A$2:$C$500,3,FALSE()),"mã đơn chưa có"))</f>
        <v/>
      </c>
      <c r="D1215" s="14"/>
      <c r="E1215" s="8"/>
      <c r="F1215" s="8"/>
      <c r="G1215" s="8"/>
    </row>
    <row r="1216" customFormat="false" ht="15" hidden="false" customHeight="false" outlineLevel="0" collapsed="false">
      <c r="A1216" s="9"/>
      <c r="B1216" s="8"/>
      <c r="C1216" s="10" t="str">
        <f aca="false">IF(B1216="","",IFERROR(VLOOKUP(B1216,DonHang!$A$2:$C$500,3,FALSE()),"mã đơn chưa có"))</f>
        <v/>
      </c>
      <c r="D1216" s="14"/>
      <c r="E1216" s="8"/>
      <c r="F1216" s="8"/>
      <c r="G1216" s="8"/>
    </row>
    <row r="1217" customFormat="false" ht="15" hidden="false" customHeight="false" outlineLevel="0" collapsed="false">
      <c r="A1217" s="9"/>
      <c r="B1217" s="8"/>
      <c r="C1217" s="10" t="str">
        <f aca="false">IF(B1217="","",IFERROR(VLOOKUP(B1217,DonHang!$A$2:$C$500,3,FALSE()),"mã đơn chưa có"))</f>
        <v/>
      </c>
      <c r="D1217" s="14"/>
      <c r="E1217" s="8"/>
      <c r="F1217" s="8"/>
      <c r="G1217" s="8"/>
    </row>
    <row r="1218" customFormat="false" ht="15" hidden="false" customHeight="false" outlineLevel="0" collapsed="false">
      <c r="A1218" s="9"/>
      <c r="B1218" s="8"/>
      <c r="C1218" s="10" t="str">
        <f aca="false">IF(B1218="","",IFERROR(VLOOKUP(B1218,DonHang!$A$2:$C$500,3,FALSE()),"mã đơn chưa có"))</f>
        <v/>
      </c>
      <c r="D1218" s="14"/>
      <c r="E1218" s="8"/>
      <c r="F1218" s="8"/>
      <c r="G1218" s="8"/>
    </row>
    <row r="1219" customFormat="false" ht="15" hidden="false" customHeight="false" outlineLevel="0" collapsed="false">
      <c r="A1219" s="9"/>
      <c r="B1219" s="8"/>
      <c r="C1219" s="10" t="str">
        <f aca="false">IF(B1219="","",IFERROR(VLOOKUP(B1219,DonHang!$A$2:$C$500,3,FALSE()),"mã đơn chưa có"))</f>
        <v/>
      </c>
      <c r="D1219" s="14"/>
      <c r="E1219" s="8"/>
      <c r="F1219" s="8"/>
      <c r="G1219" s="8"/>
    </row>
    <row r="1220" customFormat="false" ht="15" hidden="false" customHeight="false" outlineLevel="0" collapsed="false">
      <c r="A1220" s="9"/>
      <c r="B1220" s="8"/>
      <c r="C1220" s="10" t="str">
        <f aca="false">IF(B1220="","",IFERROR(VLOOKUP(B1220,DonHang!$A$2:$C$500,3,FALSE()),"mã đơn chưa có"))</f>
        <v/>
      </c>
      <c r="D1220" s="14"/>
      <c r="E1220" s="8"/>
      <c r="F1220" s="8"/>
      <c r="G1220" s="8"/>
    </row>
    <row r="1221" customFormat="false" ht="15" hidden="false" customHeight="false" outlineLevel="0" collapsed="false">
      <c r="A1221" s="9"/>
      <c r="B1221" s="8"/>
      <c r="C1221" s="10" t="str">
        <f aca="false">IF(B1221="","",IFERROR(VLOOKUP(B1221,DonHang!$A$2:$C$500,3,FALSE()),"mã đơn chưa có"))</f>
        <v/>
      </c>
      <c r="D1221" s="14"/>
      <c r="E1221" s="8"/>
      <c r="F1221" s="8"/>
      <c r="G1221" s="8"/>
    </row>
    <row r="1222" customFormat="false" ht="15" hidden="false" customHeight="false" outlineLevel="0" collapsed="false">
      <c r="A1222" s="9"/>
      <c r="B1222" s="8"/>
      <c r="C1222" s="10" t="str">
        <f aca="false">IF(B1222="","",IFERROR(VLOOKUP(B1222,DonHang!$A$2:$C$500,3,FALSE()),"mã đơn chưa có"))</f>
        <v/>
      </c>
      <c r="D1222" s="14"/>
      <c r="E1222" s="8"/>
      <c r="F1222" s="8"/>
      <c r="G1222" s="8"/>
    </row>
    <row r="1223" customFormat="false" ht="15" hidden="false" customHeight="false" outlineLevel="0" collapsed="false">
      <c r="A1223" s="9"/>
      <c r="B1223" s="8"/>
      <c r="C1223" s="10" t="str">
        <f aca="false">IF(B1223="","",IFERROR(VLOOKUP(B1223,DonHang!$A$2:$C$500,3,FALSE()),"mã đơn chưa có"))</f>
        <v/>
      </c>
      <c r="D1223" s="14"/>
      <c r="E1223" s="8"/>
      <c r="F1223" s="8"/>
      <c r="G1223" s="8"/>
    </row>
    <row r="1224" customFormat="false" ht="15" hidden="false" customHeight="false" outlineLevel="0" collapsed="false">
      <c r="A1224" s="9"/>
      <c r="B1224" s="8"/>
      <c r="C1224" s="10" t="str">
        <f aca="false">IF(B1224="","",IFERROR(VLOOKUP(B1224,DonHang!$A$2:$C$500,3,FALSE()),"mã đơn chưa có"))</f>
        <v/>
      </c>
      <c r="D1224" s="14"/>
      <c r="E1224" s="8"/>
      <c r="F1224" s="8"/>
      <c r="G1224" s="8"/>
    </row>
    <row r="1225" customFormat="false" ht="15" hidden="false" customHeight="false" outlineLevel="0" collapsed="false">
      <c r="A1225" s="9"/>
      <c r="B1225" s="8"/>
      <c r="C1225" s="10" t="str">
        <f aca="false">IF(B1225="","",IFERROR(VLOOKUP(B1225,DonHang!$A$2:$C$500,3,FALSE()),"mã đơn chưa có"))</f>
        <v/>
      </c>
      <c r="D1225" s="14"/>
      <c r="E1225" s="8"/>
      <c r="F1225" s="8"/>
      <c r="G1225" s="8"/>
    </row>
    <row r="1226" customFormat="false" ht="15" hidden="false" customHeight="false" outlineLevel="0" collapsed="false">
      <c r="A1226" s="9"/>
      <c r="B1226" s="8"/>
      <c r="C1226" s="10" t="str">
        <f aca="false">IF(B1226="","",IFERROR(VLOOKUP(B1226,DonHang!$A$2:$C$500,3,FALSE()),"mã đơn chưa có"))</f>
        <v/>
      </c>
      <c r="D1226" s="14"/>
      <c r="E1226" s="8"/>
      <c r="F1226" s="8"/>
      <c r="G1226" s="8"/>
    </row>
    <row r="1227" customFormat="false" ht="15" hidden="false" customHeight="false" outlineLevel="0" collapsed="false">
      <c r="A1227" s="9"/>
      <c r="B1227" s="8"/>
      <c r="C1227" s="10" t="str">
        <f aca="false">IF(B1227="","",IFERROR(VLOOKUP(B1227,DonHang!$A$2:$C$500,3,FALSE()),"mã đơn chưa có"))</f>
        <v/>
      </c>
      <c r="D1227" s="14"/>
      <c r="E1227" s="8"/>
      <c r="F1227" s="8"/>
      <c r="G1227" s="8"/>
    </row>
    <row r="1228" customFormat="false" ht="15" hidden="false" customHeight="false" outlineLevel="0" collapsed="false">
      <c r="A1228" s="9"/>
      <c r="B1228" s="8"/>
      <c r="C1228" s="10" t="str">
        <f aca="false">IF(B1228="","",IFERROR(VLOOKUP(B1228,DonHang!$A$2:$C$500,3,FALSE()),"mã đơn chưa có"))</f>
        <v/>
      </c>
      <c r="D1228" s="14"/>
      <c r="E1228" s="8"/>
      <c r="F1228" s="8"/>
      <c r="G1228" s="8"/>
    </row>
    <row r="1229" customFormat="false" ht="15" hidden="false" customHeight="false" outlineLevel="0" collapsed="false">
      <c r="A1229" s="9"/>
      <c r="B1229" s="8"/>
      <c r="C1229" s="10" t="str">
        <f aca="false">IF(B1229="","",IFERROR(VLOOKUP(B1229,DonHang!$A$2:$C$500,3,FALSE()),"mã đơn chưa có"))</f>
        <v/>
      </c>
      <c r="D1229" s="14"/>
      <c r="E1229" s="8"/>
      <c r="F1229" s="8"/>
      <c r="G1229" s="8"/>
    </row>
    <row r="1230" customFormat="false" ht="15" hidden="false" customHeight="false" outlineLevel="0" collapsed="false">
      <c r="A1230" s="9"/>
      <c r="B1230" s="8"/>
      <c r="C1230" s="10" t="str">
        <f aca="false">IF(B1230="","",IFERROR(VLOOKUP(B1230,DonHang!$A$2:$C$500,3,FALSE()),"mã đơn chưa có"))</f>
        <v/>
      </c>
      <c r="D1230" s="14"/>
      <c r="E1230" s="8"/>
      <c r="F1230" s="8"/>
      <c r="G1230" s="8"/>
    </row>
    <row r="1231" customFormat="false" ht="15" hidden="false" customHeight="false" outlineLevel="0" collapsed="false">
      <c r="A1231" s="9"/>
      <c r="B1231" s="8"/>
      <c r="C1231" s="10" t="str">
        <f aca="false">IF(B1231="","",IFERROR(VLOOKUP(B1231,DonHang!$A$2:$C$500,3,FALSE()),"mã đơn chưa có"))</f>
        <v/>
      </c>
      <c r="D1231" s="14"/>
      <c r="E1231" s="8"/>
      <c r="F1231" s="8"/>
      <c r="G1231" s="8"/>
    </row>
    <row r="1232" customFormat="false" ht="15" hidden="false" customHeight="false" outlineLevel="0" collapsed="false">
      <c r="A1232" s="9"/>
      <c r="B1232" s="8"/>
      <c r="C1232" s="10" t="str">
        <f aca="false">IF(B1232="","",IFERROR(VLOOKUP(B1232,DonHang!$A$2:$C$500,3,FALSE()),"mã đơn chưa có"))</f>
        <v/>
      </c>
      <c r="D1232" s="14"/>
      <c r="E1232" s="8"/>
      <c r="F1232" s="8"/>
      <c r="G1232" s="8"/>
    </row>
    <row r="1233" customFormat="false" ht="15" hidden="false" customHeight="false" outlineLevel="0" collapsed="false">
      <c r="A1233" s="9"/>
      <c r="B1233" s="8"/>
      <c r="C1233" s="10" t="str">
        <f aca="false">IF(B1233="","",IFERROR(VLOOKUP(B1233,DonHang!$A$2:$C$500,3,FALSE()),"mã đơn chưa có"))</f>
        <v/>
      </c>
      <c r="D1233" s="14"/>
      <c r="E1233" s="8"/>
      <c r="F1233" s="8"/>
      <c r="G1233" s="8"/>
    </row>
    <row r="1234" customFormat="false" ht="15" hidden="false" customHeight="false" outlineLevel="0" collapsed="false">
      <c r="A1234" s="9"/>
      <c r="B1234" s="8"/>
      <c r="C1234" s="10" t="str">
        <f aca="false">IF(B1234="","",IFERROR(VLOOKUP(B1234,DonHang!$A$2:$C$500,3,FALSE()),"mã đơn chưa có"))</f>
        <v/>
      </c>
      <c r="D1234" s="14"/>
      <c r="E1234" s="8"/>
      <c r="F1234" s="8"/>
      <c r="G1234" s="8"/>
    </row>
    <row r="1235" customFormat="false" ht="15" hidden="false" customHeight="false" outlineLevel="0" collapsed="false">
      <c r="A1235" s="9"/>
      <c r="B1235" s="8"/>
      <c r="C1235" s="10" t="str">
        <f aca="false">IF(B1235="","",IFERROR(VLOOKUP(B1235,DonHang!$A$2:$C$500,3,FALSE()),"mã đơn chưa có"))</f>
        <v/>
      </c>
      <c r="D1235" s="14"/>
      <c r="E1235" s="8"/>
      <c r="F1235" s="8"/>
      <c r="G1235" s="8"/>
    </row>
    <row r="1236" customFormat="false" ht="15" hidden="false" customHeight="false" outlineLevel="0" collapsed="false">
      <c r="A1236" s="9"/>
      <c r="B1236" s="8"/>
      <c r="C1236" s="10" t="str">
        <f aca="false">IF(B1236="","",IFERROR(VLOOKUP(B1236,DonHang!$A$2:$C$500,3,FALSE()),"mã đơn chưa có"))</f>
        <v/>
      </c>
      <c r="D1236" s="14"/>
      <c r="E1236" s="8"/>
      <c r="F1236" s="8"/>
      <c r="G1236" s="8"/>
    </row>
    <row r="1237" customFormat="false" ht="15" hidden="false" customHeight="false" outlineLevel="0" collapsed="false">
      <c r="A1237" s="9"/>
      <c r="B1237" s="8"/>
      <c r="C1237" s="10" t="str">
        <f aca="false">IF(B1237="","",IFERROR(VLOOKUP(B1237,DonHang!$A$2:$C$500,3,FALSE()),"mã đơn chưa có"))</f>
        <v/>
      </c>
      <c r="D1237" s="14"/>
      <c r="E1237" s="8"/>
      <c r="F1237" s="8"/>
      <c r="G1237" s="8"/>
    </row>
    <row r="1238" customFormat="false" ht="15" hidden="false" customHeight="false" outlineLevel="0" collapsed="false">
      <c r="A1238" s="9"/>
      <c r="B1238" s="8"/>
      <c r="C1238" s="10" t="str">
        <f aca="false">IF(B1238="","",IFERROR(VLOOKUP(B1238,DonHang!$A$2:$C$500,3,FALSE()),"mã đơn chưa có"))</f>
        <v/>
      </c>
      <c r="D1238" s="14"/>
      <c r="E1238" s="8"/>
      <c r="F1238" s="8"/>
      <c r="G1238" s="8"/>
    </row>
    <row r="1239" customFormat="false" ht="15" hidden="false" customHeight="false" outlineLevel="0" collapsed="false">
      <c r="A1239" s="9"/>
      <c r="B1239" s="8"/>
      <c r="C1239" s="10" t="str">
        <f aca="false">IF(B1239="","",IFERROR(VLOOKUP(B1239,DonHang!$A$2:$C$500,3,FALSE()),"mã đơn chưa có"))</f>
        <v/>
      </c>
      <c r="D1239" s="14"/>
      <c r="E1239" s="8"/>
      <c r="F1239" s="8"/>
      <c r="G1239" s="8"/>
    </row>
    <row r="1240" customFormat="false" ht="15" hidden="false" customHeight="false" outlineLevel="0" collapsed="false">
      <c r="A1240" s="9"/>
      <c r="B1240" s="8"/>
      <c r="C1240" s="10" t="str">
        <f aca="false">IF(B1240="","",IFERROR(VLOOKUP(B1240,DonHang!$A$2:$C$500,3,FALSE()),"mã đơn chưa có"))</f>
        <v/>
      </c>
      <c r="D1240" s="14"/>
      <c r="E1240" s="8"/>
      <c r="F1240" s="8"/>
      <c r="G1240" s="8"/>
    </row>
    <row r="1241" customFormat="false" ht="15" hidden="false" customHeight="false" outlineLevel="0" collapsed="false">
      <c r="A1241" s="9"/>
      <c r="B1241" s="8"/>
      <c r="C1241" s="10" t="str">
        <f aca="false">IF(B1241="","",IFERROR(VLOOKUP(B1241,DonHang!$A$2:$C$500,3,FALSE()),"mã đơn chưa có"))</f>
        <v/>
      </c>
      <c r="D1241" s="14"/>
      <c r="E1241" s="8"/>
      <c r="F1241" s="8"/>
      <c r="G1241" s="8"/>
    </row>
    <row r="1242" customFormat="false" ht="15" hidden="false" customHeight="false" outlineLevel="0" collapsed="false">
      <c r="A1242" s="9"/>
      <c r="B1242" s="8"/>
      <c r="C1242" s="10" t="str">
        <f aca="false">IF(B1242="","",IFERROR(VLOOKUP(B1242,DonHang!$A$2:$C$500,3,FALSE()),"mã đơn chưa có"))</f>
        <v/>
      </c>
      <c r="D1242" s="14"/>
      <c r="E1242" s="8"/>
      <c r="F1242" s="8"/>
      <c r="G1242" s="8"/>
    </row>
    <row r="1243" customFormat="false" ht="15" hidden="false" customHeight="false" outlineLevel="0" collapsed="false">
      <c r="A1243" s="9"/>
      <c r="B1243" s="8"/>
      <c r="C1243" s="10" t="str">
        <f aca="false">IF(B1243="","",IFERROR(VLOOKUP(B1243,DonHang!$A$2:$C$500,3,FALSE()),"mã đơn chưa có"))</f>
        <v/>
      </c>
      <c r="D1243" s="14"/>
      <c r="E1243" s="8"/>
      <c r="F1243" s="8"/>
      <c r="G1243" s="8"/>
    </row>
    <row r="1244" customFormat="false" ht="15" hidden="false" customHeight="false" outlineLevel="0" collapsed="false">
      <c r="A1244" s="9"/>
      <c r="B1244" s="8"/>
      <c r="C1244" s="10" t="str">
        <f aca="false">IF(B1244="","",IFERROR(VLOOKUP(B1244,DonHang!$A$2:$C$500,3,FALSE()),"mã đơn chưa có"))</f>
        <v/>
      </c>
      <c r="D1244" s="14"/>
      <c r="E1244" s="8"/>
      <c r="F1244" s="8"/>
      <c r="G1244" s="8"/>
    </row>
    <row r="1245" customFormat="false" ht="15" hidden="false" customHeight="false" outlineLevel="0" collapsed="false">
      <c r="A1245" s="9"/>
      <c r="B1245" s="8"/>
      <c r="C1245" s="10" t="str">
        <f aca="false">IF(B1245="","",IFERROR(VLOOKUP(B1245,DonHang!$A$2:$C$500,3,FALSE()),"mã đơn chưa có"))</f>
        <v/>
      </c>
      <c r="D1245" s="14"/>
      <c r="E1245" s="8"/>
      <c r="F1245" s="8"/>
      <c r="G1245" s="8"/>
    </row>
    <row r="1246" customFormat="false" ht="15" hidden="false" customHeight="false" outlineLevel="0" collapsed="false">
      <c r="A1246" s="9"/>
      <c r="B1246" s="8"/>
      <c r="C1246" s="10" t="str">
        <f aca="false">IF(B1246="","",IFERROR(VLOOKUP(B1246,DonHang!$A$2:$C$500,3,FALSE()),"mã đơn chưa có"))</f>
        <v/>
      </c>
      <c r="D1246" s="14"/>
      <c r="E1246" s="8"/>
      <c r="F1246" s="8"/>
      <c r="G1246" s="8"/>
    </row>
    <row r="1247" customFormat="false" ht="15" hidden="false" customHeight="false" outlineLevel="0" collapsed="false">
      <c r="A1247" s="9"/>
      <c r="B1247" s="8"/>
      <c r="C1247" s="10" t="str">
        <f aca="false">IF(B1247="","",IFERROR(VLOOKUP(B1247,DonHang!$A$2:$C$500,3,FALSE()),"mã đơn chưa có"))</f>
        <v/>
      </c>
      <c r="D1247" s="14"/>
      <c r="E1247" s="8"/>
      <c r="F1247" s="8"/>
      <c r="G1247" s="8"/>
    </row>
    <row r="1248" customFormat="false" ht="15" hidden="false" customHeight="false" outlineLevel="0" collapsed="false">
      <c r="A1248" s="9"/>
      <c r="B1248" s="8"/>
      <c r="C1248" s="10" t="str">
        <f aca="false">IF(B1248="","",IFERROR(VLOOKUP(B1248,DonHang!$A$2:$C$500,3,FALSE()),"mã đơn chưa có"))</f>
        <v/>
      </c>
      <c r="D1248" s="14"/>
      <c r="E1248" s="8"/>
      <c r="F1248" s="8"/>
      <c r="G1248" s="8"/>
    </row>
    <row r="1249" customFormat="false" ht="15" hidden="false" customHeight="false" outlineLevel="0" collapsed="false">
      <c r="A1249" s="9"/>
      <c r="B1249" s="8"/>
      <c r="C1249" s="10" t="str">
        <f aca="false">IF(B1249="","",IFERROR(VLOOKUP(B1249,DonHang!$A$2:$C$500,3,FALSE()),"mã đơn chưa có"))</f>
        <v/>
      </c>
      <c r="D1249" s="14"/>
      <c r="E1249" s="8"/>
      <c r="F1249" s="8"/>
      <c r="G1249" s="8"/>
    </row>
    <row r="1250" customFormat="false" ht="15" hidden="false" customHeight="false" outlineLevel="0" collapsed="false">
      <c r="A1250" s="9"/>
      <c r="B1250" s="8"/>
      <c r="C1250" s="10" t="str">
        <f aca="false">IF(B1250="","",IFERROR(VLOOKUP(B1250,DonHang!$A$2:$C$500,3,FALSE()),"mã đơn chưa có"))</f>
        <v/>
      </c>
      <c r="D1250" s="14"/>
      <c r="E1250" s="8"/>
      <c r="F1250" s="8"/>
      <c r="G1250" s="8"/>
    </row>
    <row r="1251" customFormat="false" ht="15" hidden="false" customHeight="false" outlineLevel="0" collapsed="false">
      <c r="A1251" s="9"/>
      <c r="B1251" s="8"/>
      <c r="C1251" s="10" t="str">
        <f aca="false">IF(B1251="","",IFERROR(VLOOKUP(B1251,DonHang!$A$2:$C$500,3,FALSE()),"mã đơn chưa có"))</f>
        <v/>
      </c>
      <c r="D1251" s="14"/>
      <c r="E1251" s="8"/>
      <c r="F1251" s="8"/>
      <c r="G1251" s="8"/>
    </row>
    <row r="1252" customFormat="false" ht="15" hidden="false" customHeight="false" outlineLevel="0" collapsed="false">
      <c r="A1252" s="9"/>
      <c r="B1252" s="8"/>
      <c r="C1252" s="10" t="str">
        <f aca="false">IF(B1252="","",IFERROR(VLOOKUP(B1252,DonHang!$A$2:$C$500,3,FALSE()),"mã đơn chưa có"))</f>
        <v/>
      </c>
      <c r="D1252" s="14"/>
      <c r="E1252" s="8"/>
      <c r="F1252" s="8"/>
      <c r="G1252" s="8"/>
    </row>
    <row r="1253" customFormat="false" ht="15" hidden="false" customHeight="false" outlineLevel="0" collapsed="false">
      <c r="A1253" s="9"/>
      <c r="B1253" s="8"/>
      <c r="C1253" s="10" t="str">
        <f aca="false">IF(B1253="","",IFERROR(VLOOKUP(B1253,DonHang!$A$2:$C$500,3,FALSE()),"mã đơn chưa có"))</f>
        <v/>
      </c>
      <c r="D1253" s="14"/>
      <c r="E1253" s="8"/>
      <c r="F1253" s="8"/>
      <c r="G1253" s="8"/>
    </row>
    <row r="1254" customFormat="false" ht="15" hidden="false" customHeight="false" outlineLevel="0" collapsed="false">
      <c r="A1254" s="9"/>
      <c r="B1254" s="8"/>
      <c r="C1254" s="10" t="str">
        <f aca="false">IF(B1254="","",IFERROR(VLOOKUP(B1254,DonHang!$A$2:$C$500,3,FALSE()),"mã đơn chưa có"))</f>
        <v/>
      </c>
      <c r="D1254" s="14"/>
      <c r="E1254" s="8"/>
      <c r="F1254" s="8"/>
      <c r="G1254" s="8"/>
    </row>
    <row r="1255" customFormat="false" ht="15" hidden="false" customHeight="false" outlineLevel="0" collapsed="false">
      <c r="A1255" s="9"/>
      <c r="B1255" s="8"/>
      <c r="C1255" s="10" t="str">
        <f aca="false">IF(B1255="","",IFERROR(VLOOKUP(B1255,DonHang!$A$2:$C$500,3,FALSE()),"mã đơn chưa có"))</f>
        <v/>
      </c>
      <c r="D1255" s="14"/>
      <c r="E1255" s="8"/>
      <c r="F1255" s="8"/>
      <c r="G1255" s="8"/>
    </row>
    <row r="1256" customFormat="false" ht="15" hidden="false" customHeight="false" outlineLevel="0" collapsed="false">
      <c r="A1256" s="9"/>
      <c r="B1256" s="8"/>
      <c r="C1256" s="10" t="str">
        <f aca="false">IF(B1256="","",IFERROR(VLOOKUP(B1256,DonHang!$A$2:$C$500,3,FALSE()),"mã đơn chưa có"))</f>
        <v/>
      </c>
      <c r="D1256" s="14"/>
      <c r="E1256" s="8"/>
      <c r="F1256" s="8"/>
      <c r="G1256" s="8"/>
    </row>
    <row r="1257" customFormat="false" ht="15" hidden="false" customHeight="false" outlineLevel="0" collapsed="false">
      <c r="A1257" s="9"/>
      <c r="B1257" s="8"/>
      <c r="C1257" s="10" t="str">
        <f aca="false">IF(B1257="","",IFERROR(VLOOKUP(B1257,DonHang!$A$2:$C$500,3,FALSE()),"mã đơn chưa có"))</f>
        <v/>
      </c>
      <c r="D1257" s="14"/>
      <c r="E1257" s="8"/>
      <c r="F1257" s="8"/>
      <c r="G1257" s="8"/>
    </row>
    <row r="1258" customFormat="false" ht="15" hidden="false" customHeight="false" outlineLevel="0" collapsed="false">
      <c r="A1258" s="9"/>
      <c r="B1258" s="8"/>
      <c r="C1258" s="10" t="str">
        <f aca="false">IF(B1258="","",IFERROR(VLOOKUP(B1258,DonHang!$A$2:$C$500,3,FALSE()),"mã đơn chưa có"))</f>
        <v/>
      </c>
      <c r="D1258" s="14"/>
      <c r="E1258" s="8"/>
      <c r="F1258" s="8"/>
      <c r="G1258" s="8"/>
    </row>
    <row r="1259" customFormat="false" ht="15" hidden="false" customHeight="false" outlineLevel="0" collapsed="false">
      <c r="A1259" s="9"/>
      <c r="B1259" s="8"/>
      <c r="C1259" s="10" t="str">
        <f aca="false">IF(B1259="","",IFERROR(VLOOKUP(B1259,DonHang!$A$2:$C$500,3,FALSE()),"mã đơn chưa có"))</f>
        <v/>
      </c>
      <c r="D1259" s="14"/>
      <c r="E1259" s="8"/>
      <c r="F1259" s="8"/>
      <c r="G1259" s="8"/>
    </row>
    <row r="1260" customFormat="false" ht="15" hidden="false" customHeight="false" outlineLevel="0" collapsed="false">
      <c r="A1260" s="9"/>
      <c r="B1260" s="8"/>
      <c r="C1260" s="10" t="str">
        <f aca="false">IF(B1260="","",IFERROR(VLOOKUP(B1260,DonHang!$A$2:$C$500,3,FALSE()),"mã đơn chưa có"))</f>
        <v/>
      </c>
      <c r="D1260" s="14"/>
      <c r="E1260" s="8"/>
      <c r="F1260" s="8"/>
      <c r="G1260" s="8"/>
    </row>
    <row r="1261" customFormat="false" ht="15" hidden="false" customHeight="false" outlineLevel="0" collapsed="false">
      <c r="A1261" s="9"/>
      <c r="B1261" s="8"/>
      <c r="C1261" s="10" t="str">
        <f aca="false">IF(B1261="","",IFERROR(VLOOKUP(B1261,DonHang!$A$2:$C$500,3,FALSE()),"mã đơn chưa có"))</f>
        <v/>
      </c>
      <c r="D1261" s="14"/>
      <c r="E1261" s="8"/>
      <c r="F1261" s="8"/>
      <c r="G1261" s="8"/>
    </row>
    <row r="1262" customFormat="false" ht="15" hidden="false" customHeight="false" outlineLevel="0" collapsed="false">
      <c r="A1262" s="9"/>
      <c r="B1262" s="8"/>
      <c r="C1262" s="10" t="str">
        <f aca="false">IF(B1262="","",IFERROR(VLOOKUP(B1262,DonHang!$A$2:$C$500,3,FALSE()),"mã đơn chưa có"))</f>
        <v/>
      </c>
      <c r="D1262" s="14"/>
      <c r="E1262" s="8"/>
      <c r="F1262" s="8"/>
      <c r="G1262" s="8"/>
    </row>
    <row r="1263" customFormat="false" ht="15" hidden="false" customHeight="false" outlineLevel="0" collapsed="false">
      <c r="A1263" s="9"/>
      <c r="B1263" s="8"/>
      <c r="C1263" s="10" t="str">
        <f aca="false">IF(B1263="","",IFERROR(VLOOKUP(B1263,DonHang!$A$2:$C$500,3,FALSE()),"mã đơn chưa có"))</f>
        <v/>
      </c>
      <c r="D1263" s="14"/>
      <c r="E1263" s="8"/>
      <c r="F1263" s="8"/>
      <c r="G1263" s="8"/>
    </row>
    <row r="1264" customFormat="false" ht="15" hidden="false" customHeight="false" outlineLevel="0" collapsed="false">
      <c r="A1264" s="9"/>
      <c r="B1264" s="8"/>
      <c r="C1264" s="10" t="str">
        <f aca="false">IF(B1264="","",IFERROR(VLOOKUP(B1264,DonHang!$A$2:$C$500,3,FALSE()),"mã đơn chưa có"))</f>
        <v/>
      </c>
      <c r="D1264" s="14"/>
      <c r="E1264" s="8"/>
      <c r="F1264" s="8"/>
      <c r="G1264" s="8"/>
    </row>
    <row r="1265" customFormat="false" ht="15" hidden="false" customHeight="false" outlineLevel="0" collapsed="false">
      <c r="A1265" s="9"/>
      <c r="B1265" s="8"/>
      <c r="C1265" s="10" t="str">
        <f aca="false">IF(B1265="","",IFERROR(VLOOKUP(B1265,DonHang!$A$2:$C$500,3,FALSE()),"mã đơn chưa có"))</f>
        <v/>
      </c>
      <c r="D1265" s="14"/>
      <c r="E1265" s="8"/>
      <c r="F1265" s="8"/>
      <c r="G1265" s="8"/>
    </row>
    <row r="1266" customFormat="false" ht="15" hidden="false" customHeight="false" outlineLevel="0" collapsed="false">
      <c r="A1266" s="9"/>
      <c r="B1266" s="8"/>
      <c r="C1266" s="10" t="str">
        <f aca="false">IF(B1266="","",IFERROR(VLOOKUP(B1266,DonHang!$A$2:$C$500,3,FALSE()),"mã đơn chưa có"))</f>
        <v/>
      </c>
      <c r="D1266" s="14"/>
      <c r="E1266" s="8"/>
      <c r="F1266" s="8"/>
      <c r="G1266" s="8"/>
    </row>
    <row r="1267" customFormat="false" ht="15" hidden="false" customHeight="false" outlineLevel="0" collapsed="false">
      <c r="A1267" s="9"/>
      <c r="B1267" s="8"/>
      <c r="C1267" s="10" t="str">
        <f aca="false">IF(B1267="","",IFERROR(VLOOKUP(B1267,DonHang!$A$2:$C$500,3,FALSE()),"mã đơn chưa có"))</f>
        <v/>
      </c>
      <c r="D1267" s="14"/>
      <c r="E1267" s="8"/>
      <c r="F1267" s="8"/>
      <c r="G1267" s="8"/>
    </row>
    <row r="1268" customFormat="false" ht="15" hidden="false" customHeight="false" outlineLevel="0" collapsed="false">
      <c r="A1268" s="9"/>
      <c r="B1268" s="8"/>
      <c r="C1268" s="10" t="str">
        <f aca="false">IF(B1268="","",IFERROR(VLOOKUP(B1268,DonHang!$A$2:$C$500,3,FALSE()),"mã đơn chưa có"))</f>
        <v/>
      </c>
      <c r="D1268" s="14"/>
      <c r="E1268" s="8"/>
      <c r="F1268" s="8"/>
      <c r="G1268" s="8"/>
    </row>
    <row r="1269" customFormat="false" ht="15" hidden="false" customHeight="false" outlineLevel="0" collapsed="false">
      <c r="A1269" s="9"/>
      <c r="B1269" s="8"/>
      <c r="C1269" s="10" t="str">
        <f aca="false">IF(B1269="","",IFERROR(VLOOKUP(B1269,DonHang!$A$2:$C$500,3,FALSE()),"mã đơn chưa có"))</f>
        <v/>
      </c>
      <c r="D1269" s="14"/>
      <c r="E1269" s="8"/>
      <c r="F1269" s="8"/>
      <c r="G1269" s="8"/>
    </row>
    <row r="1270" customFormat="false" ht="15" hidden="false" customHeight="false" outlineLevel="0" collapsed="false">
      <c r="A1270" s="9"/>
      <c r="B1270" s="8"/>
      <c r="C1270" s="10" t="str">
        <f aca="false">IF(B1270="","",IFERROR(VLOOKUP(B1270,DonHang!$A$2:$C$500,3,FALSE()),"mã đơn chưa có"))</f>
        <v/>
      </c>
      <c r="D1270" s="14"/>
      <c r="E1270" s="8"/>
      <c r="F1270" s="8"/>
      <c r="G1270" s="8"/>
    </row>
    <row r="1271" customFormat="false" ht="15" hidden="false" customHeight="false" outlineLevel="0" collapsed="false">
      <c r="A1271" s="9"/>
      <c r="B1271" s="8"/>
      <c r="C1271" s="10" t="str">
        <f aca="false">IF(B1271="","",IFERROR(VLOOKUP(B1271,DonHang!$A$2:$C$500,3,FALSE()),"mã đơn chưa có"))</f>
        <v/>
      </c>
      <c r="D1271" s="14"/>
      <c r="E1271" s="8"/>
      <c r="F1271" s="8"/>
      <c r="G1271" s="8"/>
    </row>
    <row r="1272" customFormat="false" ht="15" hidden="false" customHeight="false" outlineLevel="0" collapsed="false">
      <c r="A1272" s="9"/>
      <c r="B1272" s="8"/>
      <c r="C1272" s="10" t="str">
        <f aca="false">IF(B1272="","",IFERROR(VLOOKUP(B1272,DonHang!$A$2:$C$500,3,FALSE()),"mã đơn chưa có"))</f>
        <v/>
      </c>
      <c r="D1272" s="14"/>
      <c r="E1272" s="8"/>
      <c r="F1272" s="8"/>
      <c r="G1272" s="8"/>
    </row>
    <row r="1273" customFormat="false" ht="15" hidden="false" customHeight="false" outlineLevel="0" collapsed="false">
      <c r="A1273" s="9"/>
      <c r="B1273" s="8"/>
      <c r="C1273" s="10" t="str">
        <f aca="false">IF(B1273="","",IFERROR(VLOOKUP(B1273,DonHang!$A$2:$C$500,3,FALSE()),"mã đơn chưa có"))</f>
        <v/>
      </c>
      <c r="D1273" s="14"/>
      <c r="E1273" s="8"/>
      <c r="F1273" s="8"/>
      <c r="G1273" s="8"/>
    </row>
    <row r="1274" customFormat="false" ht="15" hidden="false" customHeight="false" outlineLevel="0" collapsed="false">
      <c r="A1274" s="9"/>
      <c r="B1274" s="8"/>
      <c r="C1274" s="10" t="str">
        <f aca="false">IF(B1274="","",IFERROR(VLOOKUP(B1274,DonHang!$A$2:$C$500,3,FALSE()),"mã đơn chưa có"))</f>
        <v/>
      </c>
      <c r="D1274" s="14"/>
      <c r="E1274" s="8"/>
      <c r="F1274" s="8"/>
      <c r="G1274" s="8"/>
    </row>
    <row r="1275" customFormat="false" ht="15" hidden="false" customHeight="false" outlineLevel="0" collapsed="false">
      <c r="A1275" s="9"/>
      <c r="B1275" s="8"/>
      <c r="C1275" s="10" t="str">
        <f aca="false">IF(B1275="","",IFERROR(VLOOKUP(B1275,DonHang!$A$2:$C$500,3,FALSE()),"mã đơn chưa có"))</f>
        <v/>
      </c>
      <c r="D1275" s="14"/>
      <c r="E1275" s="8"/>
      <c r="F1275" s="8"/>
      <c r="G1275" s="8"/>
    </row>
    <row r="1276" customFormat="false" ht="15" hidden="false" customHeight="false" outlineLevel="0" collapsed="false">
      <c r="A1276" s="9"/>
      <c r="B1276" s="8"/>
      <c r="C1276" s="10" t="str">
        <f aca="false">IF(B1276="","",IFERROR(VLOOKUP(B1276,DonHang!$A$2:$C$500,3,FALSE()),"mã đơn chưa có"))</f>
        <v/>
      </c>
      <c r="D1276" s="14"/>
      <c r="E1276" s="8"/>
      <c r="F1276" s="8"/>
      <c r="G1276" s="8"/>
    </row>
    <row r="1277" customFormat="false" ht="15" hidden="false" customHeight="false" outlineLevel="0" collapsed="false">
      <c r="A1277" s="9"/>
      <c r="B1277" s="8"/>
      <c r="C1277" s="10" t="str">
        <f aca="false">IF(B1277="","",IFERROR(VLOOKUP(B1277,DonHang!$A$2:$C$500,3,FALSE()),"mã đơn chưa có"))</f>
        <v/>
      </c>
      <c r="D1277" s="14"/>
      <c r="E1277" s="8"/>
      <c r="F1277" s="8"/>
      <c r="G1277" s="8"/>
    </row>
    <row r="1278" customFormat="false" ht="15" hidden="false" customHeight="false" outlineLevel="0" collapsed="false">
      <c r="A1278" s="9"/>
      <c r="B1278" s="8"/>
      <c r="C1278" s="10" t="str">
        <f aca="false">IF(B1278="","",IFERROR(VLOOKUP(B1278,DonHang!$A$2:$C$500,3,FALSE()),"mã đơn chưa có"))</f>
        <v/>
      </c>
      <c r="D1278" s="14"/>
      <c r="E1278" s="8"/>
      <c r="F1278" s="8"/>
      <c r="G1278" s="8"/>
    </row>
    <row r="1279" customFormat="false" ht="15" hidden="false" customHeight="false" outlineLevel="0" collapsed="false">
      <c r="A1279" s="9"/>
      <c r="B1279" s="8"/>
      <c r="C1279" s="10" t="str">
        <f aca="false">IF(B1279="","",IFERROR(VLOOKUP(B1279,DonHang!$A$2:$C$500,3,FALSE()),"mã đơn chưa có"))</f>
        <v/>
      </c>
      <c r="D1279" s="14"/>
      <c r="E1279" s="8"/>
      <c r="F1279" s="8"/>
      <c r="G1279" s="8"/>
    </row>
    <row r="1280" customFormat="false" ht="15" hidden="false" customHeight="false" outlineLevel="0" collapsed="false">
      <c r="A1280" s="9"/>
      <c r="B1280" s="8"/>
      <c r="C1280" s="10" t="str">
        <f aca="false">IF(B1280="","",IFERROR(VLOOKUP(B1280,DonHang!$A$2:$C$500,3,FALSE()),"mã đơn chưa có"))</f>
        <v/>
      </c>
      <c r="D1280" s="14"/>
      <c r="E1280" s="8"/>
      <c r="F1280" s="8"/>
      <c r="G1280" s="8"/>
    </row>
    <row r="1281" customFormat="false" ht="15" hidden="false" customHeight="false" outlineLevel="0" collapsed="false">
      <c r="A1281" s="9"/>
      <c r="B1281" s="8"/>
      <c r="C1281" s="10" t="str">
        <f aca="false">IF(B1281="","",IFERROR(VLOOKUP(B1281,DonHang!$A$2:$C$500,3,FALSE()),"mã đơn chưa có"))</f>
        <v/>
      </c>
      <c r="D1281" s="14"/>
      <c r="E1281" s="8"/>
      <c r="F1281" s="8"/>
      <c r="G1281" s="8"/>
    </row>
    <row r="1282" customFormat="false" ht="15" hidden="false" customHeight="false" outlineLevel="0" collapsed="false">
      <c r="A1282" s="9"/>
      <c r="B1282" s="8"/>
      <c r="C1282" s="10" t="str">
        <f aca="false">IF(B1282="","",IFERROR(VLOOKUP(B1282,DonHang!$A$2:$C$500,3,FALSE()),"mã đơn chưa có"))</f>
        <v/>
      </c>
      <c r="D1282" s="14"/>
      <c r="E1282" s="8"/>
      <c r="F1282" s="8"/>
      <c r="G1282" s="8"/>
    </row>
    <row r="1283" customFormat="false" ht="15" hidden="false" customHeight="false" outlineLevel="0" collapsed="false">
      <c r="A1283" s="9"/>
      <c r="B1283" s="8"/>
      <c r="C1283" s="10" t="str">
        <f aca="false">IF(B1283="","",IFERROR(VLOOKUP(B1283,DonHang!$A$2:$C$500,3,FALSE()),"mã đơn chưa có"))</f>
        <v/>
      </c>
      <c r="D1283" s="14"/>
      <c r="E1283" s="8"/>
      <c r="F1283" s="8"/>
      <c r="G1283" s="8"/>
    </row>
    <row r="1284" customFormat="false" ht="15" hidden="false" customHeight="false" outlineLevel="0" collapsed="false">
      <c r="A1284" s="9"/>
      <c r="B1284" s="8"/>
      <c r="C1284" s="10" t="str">
        <f aca="false">IF(B1284="","",IFERROR(VLOOKUP(B1284,DonHang!$A$2:$C$500,3,FALSE()),"mã đơn chưa có"))</f>
        <v/>
      </c>
      <c r="D1284" s="14"/>
      <c r="E1284" s="8"/>
      <c r="F1284" s="8"/>
      <c r="G1284" s="8"/>
    </row>
    <row r="1285" customFormat="false" ht="15" hidden="false" customHeight="false" outlineLevel="0" collapsed="false">
      <c r="A1285" s="9"/>
      <c r="B1285" s="8"/>
      <c r="C1285" s="10" t="str">
        <f aca="false">IF(B1285="","",IFERROR(VLOOKUP(B1285,DonHang!$A$2:$C$500,3,FALSE()),"mã đơn chưa có"))</f>
        <v/>
      </c>
      <c r="D1285" s="14"/>
      <c r="E1285" s="8"/>
      <c r="F1285" s="8"/>
      <c r="G1285" s="8"/>
    </row>
    <row r="1286" customFormat="false" ht="15" hidden="false" customHeight="false" outlineLevel="0" collapsed="false">
      <c r="A1286" s="9"/>
      <c r="B1286" s="8"/>
      <c r="C1286" s="10" t="str">
        <f aca="false">IF(B1286="","",IFERROR(VLOOKUP(B1286,DonHang!$A$2:$C$500,3,FALSE()),"mã đơn chưa có"))</f>
        <v/>
      </c>
      <c r="D1286" s="14"/>
      <c r="E1286" s="8"/>
      <c r="F1286" s="8"/>
      <c r="G1286" s="8"/>
    </row>
    <row r="1287" customFormat="false" ht="15" hidden="false" customHeight="false" outlineLevel="0" collapsed="false">
      <c r="A1287" s="9"/>
      <c r="B1287" s="8"/>
      <c r="C1287" s="10" t="str">
        <f aca="false">IF(B1287="","",IFERROR(VLOOKUP(B1287,DonHang!$A$2:$C$500,3,FALSE()),"mã đơn chưa có"))</f>
        <v/>
      </c>
      <c r="D1287" s="14"/>
      <c r="E1287" s="8"/>
      <c r="F1287" s="8"/>
      <c r="G1287" s="8"/>
    </row>
    <row r="1288" customFormat="false" ht="15" hidden="false" customHeight="false" outlineLevel="0" collapsed="false">
      <c r="A1288" s="9"/>
      <c r="B1288" s="8"/>
      <c r="C1288" s="10" t="str">
        <f aca="false">IF(B1288="","",IFERROR(VLOOKUP(B1288,DonHang!$A$2:$C$500,3,FALSE()),"mã đơn chưa có"))</f>
        <v/>
      </c>
      <c r="D1288" s="14"/>
      <c r="E1288" s="8"/>
      <c r="F1288" s="8"/>
      <c r="G1288" s="8"/>
    </row>
    <row r="1289" customFormat="false" ht="15" hidden="false" customHeight="false" outlineLevel="0" collapsed="false">
      <c r="A1289" s="9"/>
      <c r="B1289" s="8"/>
      <c r="C1289" s="10" t="str">
        <f aca="false">IF(B1289="","",IFERROR(VLOOKUP(B1289,DonHang!$A$2:$C$500,3,FALSE()),"mã đơn chưa có"))</f>
        <v/>
      </c>
      <c r="D1289" s="14"/>
      <c r="E1289" s="8"/>
      <c r="F1289" s="8"/>
      <c r="G1289" s="8"/>
    </row>
    <row r="1290" customFormat="false" ht="15" hidden="false" customHeight="false" outlineLevel="0" collapsed="false">
      <c r="A1290" s="9"/>
      <c r="B1290" s="8"/>
      <c r="C1290" s="10" t="str">
        <f aca="false">IF(B1290="","",IFERROR(VLOOKUP(B1290,DonHang!$A$2:$C$500,3,FALSE()),"mã đơn chưa có"))</f>
        <v/>
      </c>
      <c r="D1290" s="14"/>
      <c r="E1290" s="8"/>
      <c r="F1290" s="8"/>
      <c r="G1290" s="8"/>
    </row>
    <row r="1291" customFormat="false" ht="15" hidden="false" customHeight="false" outlineLevel="0" collapsed="false">
      <c r="A1291" s="9"/>
      <c r="B1291" s="8"/>
      <c r="C1291" s="10" t="str">
        <f aca="false">IF(B1291="","",IFERROR(VLOOKUP(B1291,DonHang!$A$2:$C$500,3,FALSE()),"mã đơn chưa có"))</f>
        <v/>
      </c>
      <c r="D1291" s="14"/>
      <c r="E1291" s="8"/>
      <c r="F1291" s="8"/>
      <c r="G1291" s="8"/>
    </row>
    <row r="1292" customFormat="false" ht="15" hidden="false" customHeight="false" outlineLevel="0" collapsed="false">
      <c r="A1292" s="9"/>
      <c r="B1292" s="8"/>
      <c r="C1292" s="10" t="str">
        <f aca="false">IF(B1292="","",IFERROR(VLOOKUP(B1292,DonHang!$A$2:$C$500,3,FALSE()),"mã đơn chưa có"))</f>
        <v/>
      </c>
      <c r="D1292" s="14"/>
      <c r="E1292" s="8"/>
      <c r="F1292" s="8"/>
      <c r="G1292" s="8"/>
    </row>
    <row r="1293" customFormat="false" ht="15" hidden="false" customHeight="false" outlineLevel="0" collapsed="false">
      <c r="A1293" s="9"/>
      <c r="B1293" s="8"/>
      <c r="C1293" s="10" t="str">
        <f aca="false">IF(B1293="","",IFERROR(VLOOKUP(B1293,DonHang!$A$2:$C$500,3,FALSE()),"mã đơn chưa có"))</f>
        <v/>
      </c>
      <c r="D1293" s="14"/>
      <c r="E1293" s="8"/>
      <c r="F1293" s="8"/>
      <c r="G1293" s="8"/>
    </row>
    <row r="1294" customFormat="false" ht="15" hidden="false" customHeight="false" outlineLevel="0" collapsed="false">
      <c r="A1294" s="9"/>
      <c r="B1294" s="8"/>
      <c r="C1294" s="10" t="str">
        <f aca="false">IF(B1294="","",IFERROR(VLOOKUP(B1294,DonHang!$A$2:$C$500,3,FALSE()),"mã đơn chưa có"))</f>
        <v/>
      </c>
      <c r="D1294" s="14"/>
      <c r="E1294" s="8"/>
      <c r="F1294" s="8"/>
      <c r="G1294" s="8"/>
    </row>
    <row r="1295" customFormat="false" ht="15" hidden="false" customHeight="false" outlineLevel="0" collapsed="false">
      <c r="A1295" s="9"/>
      <c r="B1295" s="8"/>
      <c r="C1295" s="10" t="str">
        <f aca="false">IF(B1295="","",IFERROR(VLOOKUP(B1295,DonHang!$A$2:$C$500,3,FALSE()),"mã đơn chưa có"))</f>
        <v/>
      </c>
      <c r="D1295" s="14"/>
      <c r="E1295" s="8"/>
      <c r="F1295" s="8"/>
      <c r="G1295" s="8"/>
    </row>
    <row r="1296" customFormat="false" ht="15" hidden="false" customHeight="false" outlineLevel="0" collapsed="false">
      <c r="A1296" s="9"/>
      <c r="B1296" s="8"/>
      <c r="C1296" s="10" t="str">
        <f aca="false">IF(B1296="","",IFERROR(VLOOKUP(B1296,DonHang!$A$2:$C$500,3,FALSE()),"mã đơn chưa có"))</f>
        <v/>
      </c>
      <c r="D1296" s="14"/>
      <c r="E1296" s="8"/>
      <c r="F1296" s="8"/>
      <c r="G1296" s="8"/>
    </row>
    <row r="1297" customFormat="false" ht="15" hidden="false" customHeight="false" outlineLevel="0" collapsed="false">
      <c r="A1297" s="9"/>
      <c r="B1297" s="8"/>
      <c r="C1297" s="10" t="str">
        <f aca="false">IF(B1297="","",IFERROR(VLOOKUP(B1297,DonHang!$A$2:$C$500,3,FALSE()),"mã đơn chưa có"))</f>
        <v/>
      </c>
      <c r="D1297" s="14"/>
      <c r="E1297" s="8"/>
      <c r="F1297" s="8"/>
      <c r="G1297" s="8"/>
    </row>
    <row r="1298" customFormat="false" ht="15" hidden="false" customHeight="false" outlineLevel="0" collapsed="false">
      <c r="A1298" s="9"/>
      <c r="B1298" s="8"/>
      <c r="C1298" s="10" t="str">
        <f aca="false">IF(B1298="","",IFERROR(VLOOKUP(B1298,DonHang!$A$2:$C$500,3,FALSE()),"mã đơn chưa có"))</f>
        <v/>
      </c>
      <c r="D1298" s="14"/>
      <c r="E1298" s="8"/>
      <c r="F1298" s="8"/>
      <c r="G1298" s="8"/>
    </row>
    <row r="1299" customFormat="false" ht="15" hidden="false" customHeight="false" outlineLevel="0" collapsed="false">
      <c r="A1299" s="9"/>
      <c r="B1299" s="8"/>
      <c r="C1299" s="10" t="str">
        <f aca="false">IF(B1299="","",IFERROR(VLOOKUP(B1299,DonHang!$A$2:$C$500,3,FALSE()),"mã đơn chưa có"))</f>
        <v/>
      </c>
      <c r="D1299" s="14"/>
      <c r="E1299" s="8"/>
      <c r="F1299" s="8"/>
      <c r="G1299" s="8"/>
    </row>
    <row r="1300" customFormat="false" ht="15" hidden="false" customHeight="false" outlineLevel="0" collapsed="false">
      <c r="A1300" s="9"/>
      <c r="B1300" s="8"/>
      <c r="C1300" s="10" t="str">
        <f aca="false">IF(B1300="","",IFERROR(VLOOKUP(B1300,DonHang!$A$2:$C$500,3,FALSE()),"mã đơn chưa có"))</f>
        <v/>
      </c>
      <c r="D1300" s="14"/>
      <c r="E1300" s="8"/>
      <c r="F1300" s="8"/>
      <c r="G1300" s="8"/>
    </row>
    <row r="1301" customFormat="false" ht="15" hidden="false" customHeight="false" outlineLevel="0" collapsed="false">
      <c r="A1301" s="9"/>
      <c r="B1301" s="8"/>
      <c r="C1301" s="10" t="str">
        <f aca="false">IF(B1301="","",IFERROR(VLOOKUP(B1301,DonHang!$A$2:$C$500,3,FALSE()),"mã đơn chưa có"))</f>
        <v/>
      </c>
      <c r="D1301" s="14"/>
      <c r="E1301" s="8"/>
      <c r="F1301" s="8"/>
      <c r="G1301" s="8"/>
    </row>
    <row r="1302" customFormat="false" ht="15" hidden="false" customHeight="false" outlineLevel="0" collapsed="false">
      <c r="A1302" s="9"/>
      <c r="B1302" s="8"/>
      <c r="C1302" s="10" t="str">
        <f aca="false">IF(B1302="","",IFERROR(VLOOKUP(B1302,DonHang!$A$2:$C$500,3,FALSE()),"mã đơn chưa có"))</f>
        <v/>
      </c>
      <c r="D1302" s="14"/>
      <c r="E1302" s="8"/>
      <c r="F1302" s="8"/>
      <c r="G1302" s="8"/>
    </row>
    <row r="1303" customFormat="false" ht="15" hidden="false" customHeight="false" outlineLevel="0" collapsed="false">
      <c r="A1303" s="9"/>
      <c r="B1303" s="8"/>
      <c r="C1303" s="10" t="str">
        <f aca="false">IF(B1303="","",IFERROR(VLOOKUP(B1303,DonHang!$A$2:$C$500,3,FALSE()),"mã đơn chưa có"))</f>
        <v/>
      </c>
      <c r="D1303" s="14"/>
      <c r="E1303" s="8"/>
      <c r="F1303" s="8"/>
      <c r="G1303" s="8"/>
    </row>
    <row r="1304" customFormat="false" ht="15" hidden="false" customHeight="false" outlineLevel="0" collapsed="false">
      <c r="A1304" s="9"/>
      <c r="B1304" s="8"/>
      <c r="C1304" s="10" t="str">
        <f aca="false">IF(B1304="","",IFERROR(VLOOKUP(B1304,DonHang!$A$2:$C$500,3,FALSE()),"mã đơn chưa có"))</f>
        <v/>
      </c>
      <c r="D1304" s="14"/>
      <c r="E1304" s="8"/>
      <c r="F1304" s="8"/>
      <c r="G1304" s="8"/>
    </row>
    <row r="1305" customFormat="false" ht="15" hidden="false" customHeight="false" outlineLevel="0" collapsed="false">
      <c r="A1305" s="9"/>
      <c r="B1305" s="8"/>
      <c r="C1305" s="10" t="str">
        <f aca="false">IF(B1305="","",IFERROR(VLOOKUP(B1305,DonHang!$A$2:$C$500,3,FALSE()),"mã đơn chưa có"))</f>
        <v/>
      </c>
      <c r="D1305" s="14"/>
      <c r="E1305" s="8"/>
      <c r="F1305" s="8"/>
      <c r="G1305" s="8"/>
    </row>
    <row r="1306" customFormat="false" ht="15" hidden="false" customHeight="false" outlineLevel="0" collapsed="false">
      <c r="A1306" s="9"/>
      <c r="B1306" s="8"/>
      <c r="C1306" s="10" t="str">
        <f aca="false">IF(B1306="","",IFERROR(VLOOKUP(B1306,DonHang!$A$2:$C$500,3,FALSE()),"mã đơn chưa có"))</f>
        <v/>
      </c>
      <c r="D1306" s="14"/>
      <c r="E1306" s="8"/>
      <c r="F1306" s="8"/>
      <c r="G1306" s="8"/>
    </row>
    <row r="1307" customFormat="false" ht="15" hidden="false" customHeight="false" outlineLevel="0" collapsed="false">
      <c r="A1307" s="9"/>
      <c r="B1307" s="8"/>
      <c r="C1307" s="10" t="str">
        <f aca="false">IF(B1307="","",IFERROR(VLOOKUP(B1307,DonHang!$A$2:$C$500,3,FALSE()),"mã đơn chưa có"))</f>
        <v/>
      </c>
      <c r="D1307" s="14"/>
      <c r="E1307" s="8"/>
      <c r="F1307" s="8"/>
      <c r="G1307" s="8"/>
    </row>
    <row r="1308" customFormat="false" ht="15" hidden="false" customHeight="false" outlineLevel="0" collapsed="false">
      <c r="A1308" s="9"/>
      <c r="B1308" s="8"/>
      <c r="C1308" s="10" t="str">
        <f aca="false">IF(B1308="","",IFERROR(VLOOKUP(B1308,DonHang!$A$2:$C$500,3,FALSE()),"mã đơn chưa có"))</f>
        <v/>
      </c>
      <c r="D1308" s="14"/>
      <c r="E1308" s="8"/>
      <c r="F1308" s="8"/>
      <c r="G1308" s="8"/>
    </row>
    <row r="1309" customFormat="false" ht="15" hidden="false" customHeight="false" outlineLevel="0" collapsed="false">
      <c r="A1309" s="9"/>
      <c r="B1309" s="8"/>
      <c r="C1309" s="10" t="str">
        <f aca="false">IF(B1309="","",IFERROR(VLOOKUP(B1309,DonHang!$A$2:$C$500,3,FALSE()),"mã đơn chưa có"))</f>
        <v/>
      </c>
      <c r="D1309" s="14"/>
      <c r="E1309" s="8"/>
      <c r="F1309" s="8"/>
      <c r="G1309" s="8"/>
    </row>
    <row r="1310" customFormat="false" ht="15" hidden="false" customHeight="false" outlineLevel="0" collapsed="false">
      <c r="A1310" s="9"/>
      <c r="B1310" s="8"/>
      <c r="C1310" s="10" t="str">
        <f aca="false">IF(B1310="","",IFERROR(VLOOKUP(B1310,DonHang!$A$2:$C$500,3,FALSE()),"mã đơn chưa có"))</f>
        <v/>
      </c>
      <c r="D1310" s="14"/>
      <c r="E1310" s="8"/>
      <c r="F1310" s="8"/>
      <c r="G1310" s="8"/>
    </row>
    <row r="1311" customFormat="false" ht="15" hidden="false" customHeight="false" outlineLevel="0" collapsed="false">
      <c r="A1311" s="9"/>
      <c r="B1311" s="8"/>
      <c r="C1311" s="10" t="str">
        <f aca="false">IF(B1311="","",IFERROR(VLOOKUP(B1311,DonHang!$A$2:$C$500,3,FALSE()),"mã đơn chưa có"))</f>
        <v/>
      </c>
      <c r="D1311" s="14"/>
      <c r="E1311" s="8"/>
      <c r="F1311" s="8"/>
      <c r="G1311" s="8"/>
    </row>
    <row r="1312" customFormat="false" ht="15" hidden="false" customHeight="false" outlineLevel="0" collapsed="false">
      <c r="A1312" s="9"/>
      <c r="B1312" s="8"/>
      <c r="C1312" s="10" t="str">
        <f aca="false">IF(B1312="","",IFERROR(VLOOKUP(B1312,DonHang!$A$2:$C$500,3,FALSE()),"mã đơn chưa có"))</f>
        <v/>
      </c>
      <c r="D1312" s="14"/>
      <c r="E1312" s="8"/>
      <c r="F1312" s="8"/>
      <c r="G1312" s="8"/>
    </row>
    <row r="1313" customFormat="false" ht="15" hidden="false" customHeight="false" outlineLevel="0" collapsed="false">
      <c r="A1313" s="9"/>
      <c r="B1313" s="8"/>
      <c r="C1313" s="10" t="str">
        <f aca="false">IF(B1313="","",IFERROR(VLOOKUP(B1313,DonHang!$A$2:$C$500,3,FALSE()),"mã đơn chưa có"))</f>
        <v/>
      </c>
      <c r="D1313" s="14"/>
      <c r="E1313" s="8"/>
      <c r="F1313" s="8"/>
      <c r="G1313" s="8"/>
    </row>
    <row r="1314" customFormat="false" ht="15" hidden="false" customHeight="false" outlineLevel="0" collapsed="false">
      <c r="A1314" s="9"/>
      <c r="B1314" s="8"/>
      <c r="C1314" s="10" t="str">
        <f aca="false">IF(B1314="","",IFERROR(VLOOKUP(B1314,DonHang!$A$2:$C$500,3,FALSE()),"mã đơn chưa có"))</f>
        <v/>
      </c>
      <c r="D1314" s="14"/>
      <c r="E1314" s="8"/>
      <c r="F1314" s="8"/>
      <c r="G1314" s="8"/>
    </row>
    <row r="1315" customFormat="false" ht="15" hidden="false" customHeight="false" outlineLevel="0" collapsed="false">
      <c r="A1315" s="9"/>
      <c r="B1315" s="8"/>
      <c r="C1315" s="10" t="str">
        <f aca="false">IF(B1315="","",IFERROR(VLOOKUP(B1315,DonHang!$A$2:$C$500,3,FALSE()),"mã đơn chưa có"))</f>
        <v/>
      </c>
      <c r="D1315" s="14"/>
      <c r="E1315" s="8"/>
      <c r="F1315" s="8"/>
      <c r="G1315" s="8"/>
    </row>
    <row r="1316" customFormat="false" ht="15" hidden="false" customHeight="false" outlineLevel="0" collapsed="false">
      <c r="A1316" s="9"/>
      <c r="B1316" s="8"/>
      <c r="C1316" s="10" t="str">
        <f aca="false">IF(B1316="","",IFERROR(VLOOKUP(B1316,DonHang!$A$2:$C$500,3,FALSE()),"mã đơn chưa có"))</f>
        <v/>
      </c>
      <c r="D1316" s="14"/>
      <c r="E1316" s="8"/>
      <c r="F1316" s="8"/>
      <c r="G1316" s="8"/>
    </row>
    <row r="1317" customFormat="false" ht="15" hidden="false" customHeight="false" outlineLevel="0" collapsed="false">
      <c r="A1317" s="9"/>
      <c r="B1317" s="8"/>
      <c r="C1317" s="10" t="str">
        <f aca="false">IF(B1317="","",IFERROR(VLOOKUP(B1317,DonHang!$A$2:$C$500,3,FALSE()),"mã đơn chưa có"))</f>
        <v/>
      </c>
      <c r="D1317" s="14"/>
      <c r="E1317" s="8"/>
      <c r="F1317" s="8"/>
      <c r="G1317" s="8"/>
    </row>
    <row r="1318" customFormat="false" ht="15" hidden="false" customHeight="false" outlineLevel="0" collapsed="false">
      <c r="A1318" s="9"/>
      <c r="B1318" s="8"/>
      <c r="C1318" s="10" t="str">
        <f aca="false">IF(B1318="","",IFERROR(VLOOKUP(B1318,DonHang!$A$2:$C$500,3,FALSE()),"mã đơn chưa có"))</f>
        <v/>
      </c>
      <c r="D1318" s="14"/>
      <c r="E1318" s="8"/>
      <c r="F1318" s="8"/>
      <c r="G1318" s="8"/>
    </row>
    <row r="1319" customFormat="false" ht="15" hidden="false" customHeight="false" outlineLevel="0" collapsed="false">
      <c r="A1319" s="9"/>
      <c r="B1319" s="8"/>
      <c r="C1319" s="10" t="str">
        <f aca="false">IF(B1319="","",IFERROR(VLOOKUP(B1319,DonHang!$A$2:$C$500,3,FALSE()),"mã đơn chưa có"))</f>
        <v/>
      </c>
      <c r="D1319" s="14"/>
      <c r="E1319" s="8"/>
      <c r="F1319" s="8"/>
      <c r="G1319" s="8"/>
    </row>
    <row r="1320" customFormat="false" ht="15" hidden="false" customHeight="false" outlineLevel="0" collapsed="false">
      <c r="A1320" s="9"/>
      <c r="B1320" s="8"/>
      <c r="C1320" s="10" t="str">
        <f aca="false">IF(B1320="","",IFERROR(VLOOKUP(B1320,DonHang!$A$2:$C$500,3,FALSE()),"mã đơn chưa có"))</f>
        <v/>
      </c>
      <c r="D1320" s="14"/>
      <c r="E1320" s="8"/>
      <c r="F1320" s="8"/>
      <c r="G1320" s="8"/>
    </row>
    <row r="1321" customFormat="false" ht="15" hidden="false" customHeight="false" outlineLevel="0" collapsed="false">
      <c r="A1321" s="9"/>
      <c r="B1321" s="8"/>
      <c r="C1321" s="10" t="str">
        <f aca="false">IF(B1321="","",IFERROR(VLOOKUP(B1321,DonHang!$A$2:$C$500,3,FALSE()),"mã đơn chưa có"))</f>
        <v/>
      </c>
      <c r="D1321" s="14"/>
      <c r="E1321" s="8"/>
      <c r="F1321" s="8"/>
      <c r="G1321" s="8"/>
    </row>
    <row r="1322" customFormat="false" ht="15" hidden="false" customHeight="false" outlineLevel="0" collapsed="false">
      <c r="A1322" s="9"/>
      <c r="B1322" s="8"/>
      <c r="C1322" s="10" t="str">
        <f aca="false">IF(B1322="","",IFERROR(VLOOKUP(B1322,DonHang!$A$2:$C$500,3,FALSE()),"mã đơn chưa có"))</f>
        <v/>
      </c>
      <c r="D1322" s="14"/>
      <c r="E1322" s="8"/>
      <c r="F1322" s="8"/>
      <c r="G1322" s="8"/>
    </row>
    <row r="1323" customFormat="false" ht="15" hidden="false" customHeight="false" outlineLevel="0" collapsed="false">
      <c r="A1323" s="9"/>
      <c r="B1323" s="8"/>
      <c r="C1323" s="10" t="str">
        <f aca="false">IF(B1323="","",IFERROR(VLOOKUP(B1323,DonHang!$A$2:$C$500,3,FALSE()),"mã đơn chưa có"))</f>
        <v/>
      </c>
      <c r="D1323" s="14"/>
      <c r="E1323" s="8"/>
      <c r="F1323" s="8"/>
      <c r="G1323" s="8"/>
    </row>
    <row r="1324" customFormat="false" ht="15" hidden="false" customHeight="false" outlineLevel="0" collapsed="false">
      <c r="A1324" s="9"/>
      <c r="B1324" s="8"/>
      <c r="C1324" s="10" t="str">
        <f aca="false">IF(B1324="","",IFERROR(VLOOKUP(B1324,DonHang!$A$2:$C$500,3,FALSE()),"mã đơn chưa có"))</f>
        <v/>
      </c>
      <c r="D1324" s="14"/>
      <c r="E1324" s="8"/>
      <c r="F1324" s="8"/>
      <c r="G1324" s="8"/>
    </row>
    <row r="1325" customFormat="false" ht="15" hidden="false" customHeight="false" outlineLevel="0" collapsed="false">
      <c r="A1325" s="9"/>
      <c r="B1325" s="8"/>
      <c r="C1325" s="10" t="str">
        <f aca="false">IF(B1325="","",IFERROR(VLOOKUP(B1325,DonHang!$A$2:$C$500,3,FALSE()),"mã đơn chưa có"))</f>
        <v/>
      </c>
      <c r="D1325" s="14"/>
      <c r="E1325" s="8"/>
      <c r="F1325" s="8"/>
      <c r="G1325" s="8"/>
    </row>
    <row r="1326" customFormat="false" ht="15" hidden="false" customHeight="false" outlineLevel="0" collapsed="false">
      <c r="A1326" s="9"/>
      <c r="B1326" s="8"/>
      <c r="C1326" s="10" t="str">
        <f aca="false">IF(B1326="","",IFERROR(VLOOKUP(B1326,DonHang!$A$2:$C$500,3,FALSE()),"mã đơn chưa có"))</f>
        <v/>
      </c>
      <c r="D1326" s="14"/>
      <c r="E1326" s="8"/>
      <c r="F1326" s="8"/>
      <c r="G1326" s="8"/>
    </row>
    <row r="1327" customFormat="false" ht="15" hidden="false" customHeight="false" outlineLevel="0" collapsed="false">
      <c r="A1327" s="9"/>
      <c r="B1327" s="8"/>
      <c r="C1327" s="10" t="str">
        <f aca="false">IF(B1327="","",IFERROR(VLOOKUP(B1327,DonHang!$A$2:$C$500,3,FALSE()),"mã đơn chưa có"))</f>
        <v/>
      </c>
      <c r="D1327" s="14"/>
      <c r="E1327" s="8"/>
      <c r="F1327" s="8"/>
      <c r="G1327" s="8"/>
    </row>
    <row r="1328" customFormat="false" ht="15" hidden="false" customHeight="false" outlineLevel="0" collapsed="false">
      <c r="A1328" s="9"/>
      <c r="B1328" s="8"/>
      <c r="C1328" s="10" t="str">
        <f aca="false">IF(B1328="","",IFERROR(VLOOKUP(B1328,DonHang!$A$2:$C$500,3,FALSE()),"mã đơn chưa có"))</f>
        <v/>
      </c>
      <c r="D1328" s="14"/>
      <c r="E1328" s="8"/>
      <c r="F1328" s="8"/>
      <c r="G1328" s="8"/>
    </row>
    <row r="1329" customFormat="false" ht="15" hidden="false" customHeight="false" outlineLevel="0" collapsed="false">
      <c r="A1329" s="9"/>
      <c r="B1329" s="8"/>
      <c r="C1329" s="10" t="str">
        <f aca="false">IF(B1329="","",IFERROR(VLOOKUP(B1329,DonHang!$A$2:$C$500,3,FALSE()),"mã đơn chưa có"))</f>
        <v/>
      </c>
      <c r="D1329" s="14"/>
      <c r="E1329" s="8"/>
      <c r="F1329" s="8"/>
      <c r="G1329" s="8"/>
    </row>
    <row r="1330" customFormat="false" ht="15" hidden="false" customHeight="false" outlineLevel="0" collapsed="false">
      <c r="A1330" s="9"/>
      <c r="B1330" s="8"/>
      <c r="C1330" s="10" t="str">
        <f aca="false">IF(B1330="","",IFERROR(VLOOKUP(B1330,DonHang!$A$2:$C$500,3,FALSE()),"mã đơn chưa có"))</f>
        <v/>
      </c>
      <c r="D1330" s="14"/>
      <c r="E1330" s="8"/>
      <c r="F1330" s="8"/>
      <c r="G1330" s="8"/>
    </row>
    <row r="1331" customFormat="false" ht="15" hidden="false" customHeight="false" outlineLevel="0" collapsed="false">
      <c r="A1331" s="9"/>
      <c r="B1331" s="8"/>
      <c r="C1331" s="10" t="str">
        <f aca="false">IF(B1331="","",IFERROR(VLOOKUP(B1331,DonHang!$A$2:$C$500,3,FALSE()),"mã đơn chưa có"))</f>
        <v/>
      </c>
      <c r="D1331" s="14"/>
      <c r="E1331" s="8"/>
      <c r="F1331" s="8"/>
      <c r="G1331" s="8"/>
    </row>
    <row r="1332" customFormat="false" ht="15" hidden="false" customHeight="false" outlineLevel="0" collapsed="false">
      <c r="A1332" s="9"/>
      <c r="B1332" s="8"/>
      <c r="C1332" s="10" t="str">
        <f aca="false">IF(B1332="","",IFERROR(VLOOKUP(B1332,DonHang!$A$2:$C$500,3,FALSE()),"mã đơn chưa có"))</f>
        <v/>
      </c>
      <c r="D1332" s="14"/>
      <c r="E1332" s="8"/>
      <c r="F1332" s="8"/>
      <c r="G1332" s="8"/>
    </row>
    <row r="1333" customFormat="false" ht="15" hidden="false" customHeight="false" outlineLevel="0" collapsed="false">
      <c r="A1333" s="9"/>
      <c r="B1333" s="8"/>
      <c r="C1333" s="10" t="str">
        <f aca="false">IF(B1333="","",IFERROR(VLOOKUP(B1333,DonHang!$A$2:$C$500,3,FALSE()),"mã đơn chưa có"))</f>
        <v/>
      </c>
      <c r="D1333" s="14"/>
      <c r="E1333" s="8"/>
      <c r="F1333" s="8"/>
      <c r="G1333" s="8"/>
    </row>
    <row r="1334" customFormat="false" ht="15" hidden="false" customHeight="false" outlineLevel="0" collapsed="false">
      <c r="A1334" s="9"/>
      <c r="B1334" s="8"/>
      <c r="C1334" s="10" t="str">
        <f aca="false">IF(B1334="","",IFERROR(VLOOKUP(B1334,DonHang!$A$2:$C$500,3,FALSE()),"mã đơn chưa có"))</f>
        <v/>
      </c>
      <c r="D1334" s="14"/>
      <c r="E1334" s="8"/>
      <c r="F1334" s="8"/>
      <c r="G1334" s="8"/>
    </row>
    <row r="1335" customFormat="false" ht="15" hidden="false" customHeight="false" outlineLevel="0" collapsed="false">
      <c r="A1335" s="9"/>
      <c r="B1335" s="8"/>
      <c r="C1335" s="10" t="str">
        <f aca="false">IF(B1335="","",IFERROR(VLOOKUP(B1335,DonHang!$A$2:$C$500,3,FALSE()),"mã đơn chưa có"))</f>
        <v/>
      </c>
      <c r="D1335" s="14"/>
      <c r="E1335" s="8"/>
      <c r="F1335" s="8"/>
      <c r="G1335" s="8"/>
    </row>
    <row r="1336" customFormat="false" ht="15" hidden="false" customHeight="false" outlineLevel="0" collapsed="false">
      <c r="A1336" s="9"/>
      <c r="B1336" s="8"/>
      <c r="C1336" s="10" t="str">
        <f aca="false">IF(B1336="","",IFERROR(VLOOKUP(B1336,DonHang!$A$2:$C$500,3,FALSE()),"mã đơn chưa có"))</f>
        <v/>
      </c>
      <c r="D1336" s="14"/>
      <c r="E1336" s="8"/>
      <c r="F1336" s="8"/>
      <c r="G1336" s="8"/>
    </row>
    <row r="1337" customFormat="false" ht="15" hidden="false" customHeight="false" outlineLevel="0" collapsed="false">
      <c r="A1337" s="9"/>
      <c r="B1337" s="8"/>
      <c r="C1337" s="10" t="str">
        <f aca="false">IF(B1337="","",IFERROR(VLOOKUP(B1337,DonHang!$A$2:$C$500,3,FALSE()),"mã đơn chưa có"))</f>
        <v/>
      </c>
      <c r="D1337" s="14"/>
      <c r="E1337" s="8"/>
      <c r="F1337" s="8"/>
      <c r="G1337" s="8"/>
    </row>
    <row r="1338" customFormat="false" ht="15" hidden="false" customHeight="false" outlineLevel="0" collapsed="false">
      <c r="A1338" s="9"/>
      <c r="B1338" s="8"/>
      <c r="C1338" s="10" t="str">
        <f aca="false">IF(B1338="","",IFERROR(VLOOKUP(B1338,DonHang!$A$2:$C$500,3,FALSE()),"mã đơn chưa có"))</f>
        <v/>
      </c>
      <c r="D1338" s="14"/>
      <c r="E1338" s="8"/>
      <c r="F1338" s="8"/>
      <c r="G1338" s="8"/>
    </row>
    <row r="1339" customFormat="false" ht="15" hidden="false" customHeight="false" outlineLevel="0" collapsed="false">
      <c r="A1339" s="9"/>
      <c r="B1339" s="8"/>
      <c r="C1339" s="10" t="str">
        <f aca="false">IF(B1339="","",IFERROR(VLOOKUP(B1339,DonHang!$A$2:$C$500,3,FALSE()),"mã đơn chưa có"))</f>
        <v/>
      </c>
      <c r="D1339" s="14"/>
      <c r="E1339" s="8"/>
      <c r="F1339" s="8"/>
      <c r="G1339" s="8"/>
    </row>
    <row r="1340" customFormat="false" ht="15" hidden="false" customHeight="false" outlineLevel="0" collapsed="false">
      <c r="A1340" s="9"/>
      <c r="B1340" s="8"/>
      <c r="C1340" s="10" t="str">
        <f aca="false">IF(B1340="","",IFERROR(VLOOKUP(B1340,DonHang!$A$2:$C$500,3,FALSE()),"mã đơn chưa có"))</f>
        <v/>
      </c>
      <c r="D1340" s="14"/>
      <c r="E1340" s="8"/>
      <c r="F1340" s="8"/>
      <c r="G1340" s="8"/>
    </row>
    <row r="1341" customFormat="false" ht="15" hidden="false" customHeight="false" outlineLevel="0" collapsed="false">
      <c r="A1341" s="9"/>
      <c r="B1341" s="8"/>
      <c r="C1341" s="10" t="str">
        <f aca="false">IF(B1341="","",IFERROR(VLOOKUP(B1341,DonHang!$A$2:$C$500,3,FALSE()),"mã đơn chưa có"))</f>
        <v/>
      </c>
      <c r="D1341" s="14"/>
      <c r="E1341" s="8"/>
      <c r="F1341" s="8"/>
      <c r="G1341" s="8"/>
    </row>
    <row r="1342" customFormat="false" ht="15" hidden="false" customHeight="false" outlineLevel="0" collapsed="false">
      <c r="A1342" s="9"/>
      <c r="B1342" s="8"/>
      <c r="C1342" s="10" t="str">
        <f aca="false">IF(B1342="","",IFERROR(VLOOKUP(B1342,DonHang!$A$2:$C$500,3,FALSE()),"mã đơn chưa có"))</f>
        <v/>
      </c>
      <c r="D1342" s="14"/>
      <c r="E1342" s="8"/>
      <c r="F1342" s="8"/>
      <c r="G1342" s="8"/>
    </row>
    <row r="1343" customFormat="false" ht="15" hidden="false" customHeight="false" outlineLevel="0" collapsed="false">
      <c r="A1343" s="9"/>
      <c r="B1343" s="8"/>
      <c r="C1343" s="10" t="str">
        <f aca="false">IF(B1343="","",IFERROR(VLOOKUP(B1343,DonHang!$A$2:$C$500,3,FALSE()),"mã đơn chưa có"))</f>
        <v/>
      </c>
      <c r="D1343" s="14"/>
      <c r="E1343" s="8"/>
      <c r="F1343" s="8"/>
      <c r="G1343" s="8"/>
    </row>
    <row r="1344" customFormat="false" ht="15" hidden="false" customHeight="false" outlineLevel="0" collapsed="false">
      <c r="A1344" s="9"/>
      <c r="B1344" s="8"/>
      <c r="C1344" s="10" t="str">
        <f aca="false">IF(B1344="","",IFERROR(VLOOKUP(B1344,DonHang!$A$2:$C$500,3,FALSE()),"mã đơn chưa có"))</f>
        <v/>
      </c>
      <c r="D1344" s="14"/>
      <c r="E1344" s="8"/>
      <c r="F1344" s="8"/>
      <c r="G1344" s="8"/>
    </row>
    <row r="1345" customFormat="false" ht="15" hidden="false" customHeight="false" outlineLevel="0" collapsed="false">
      <c r="A1345" s="9"/>
      <c r="B1345" s="8"/>
      <c r="C1345" s="10" t="str">
        <f aca="false">IF(B1345="","",IFERROR(VLOOKUP(B1345,DonHang!$A$2:$C$500,3,FALSE()),"mã đơn chưa có"))</f>
        <v/>
      </c>
      <c r="D1345" s="14"/>
      <c r="E1345" s="8"/>
      <c r="F1345" s="8"/>
      <c r="G1345" s="8"/>
    </row>
    <row r="1346" customFormat="false" ht="15" hidden="false" customHeight="false" outlineLevel="0" collapsed="false">
      <c r="A1346" s="9"/>
      <c r="B1346" s="8"/>
      <c r="C1346" s="10" t="str">
        <f aca="false">IF(B1346="","",IFERROR(VLOOKUP(B1346,DonHang!$A$2:$C$500,3,FALSE()),"mã đơn chưa có"))</f>
        <v/>
      </c>
      <c r="D1346" s="14"/>
      <c r="E1346" s="8"/>
      <c r="F1346" s="8"/>
      <c r="G1346" s="8"/>
    </row>
    <row r="1347" customFormat="false" ht="15" hidden="false" customHeight="false" outlineLevel="0" collapsed="false">
      <c r="A1347" s="9"/>
      <c r="B1347" s="8"/>
      <c r="C1347" s="10" t="str">
        <f aca="false">IF(B1347="","",IFERROR(VLOOKUP(B1347,DonHang!$A$2:$C$500,3,FALSE()),"mã đơn chưa có"))</f>
        <v/>
      </c>
      <c r="D1347" s="14"/>
      <c r="E1347" s="8"/>
      <c r="F1347" s="8"/>
      <c r="G1347" s="8"/>
    </row>
    <row r="1348" customFormat="false" ht="15" hidden="false" customHeight="false" outlineLevel="0" collapsed="false">
      <c r="A1348" s="9"/>
      <c r="B1348" s="8"/>
      <c r="C1348" s="10" t="str">
        <f aca="false">IF(B1348="","",IFERROR(VLOOKUP(B1348,DonHang!$A$2:$C$500,3,FALSE()),"mã đơn chưa có"))</f>
        <v/>
      </c>
      <c r="D1348" s="14"/>
      <c r="E1348" s="8"/>
      <c r="F1348" s="8"/>
      <c r="G1348" s="8"/>
    </row>
    <row r="1349" customFormat="false" ht="15" hidden="false" customHeight="false" outlineLevel="0" collapsed="false">
      <c r="A1349" s="9"/>
      <c r="B1349" s="8"/>
      <c r="C1349" s="10" t="str">
        <f aca="false">IF(B1349="","",IFERROR(VLOOKUP(B1349,DonHang!$A$2:$C$500,3,FALSE()),"mã đơn chưa có"))</f>
        <v/>
      </c>
      <c r="D1349" s="14"/>
      <c r="E1349" s="8"/>
      <c r="F1349" s="8"/>
      <c r="G1349" s="8"/>
    </row>
    <row r="1350" customFormat="false" ht="15" hidden="false" customHeight="false" outlineLevel="0" collapsed="false">
      <c r="A1350" s="9"/>
      <c r="B1350" s="8"/>
      <c r="C1350" s="10" t="str">
        <f aca="false">IF(B1350="","",IFERROR(VLOOKUP(B1350,DonHang!$A$2:$C$500,3,FALSE()),"mã đơn chưa có"))</f>
        <v/>
      </c>
      <c r="D1350" s="14"/>
      <c r="E1350" s="8"/>
      <c r="F1350" s="8"/>
      <c r="G1350" s="8"/>
    </row>
    <row r="1351" customFormat="false" ht="15" hidden="false" customHeight="false" outlineLevel="0" collapsed="false">
      <c r="A1351" s="9"/>
      <c r="B1351" s="8"/>
      <c r="C1351" s="10" t="str">
        <f aca="false">IF(B1351="","",IFERROR(VLOOKUP(B1351,DonHang!$A$2:$C$500,3,FALSE()),"mã đơn chưa có"))</f>
        <v/>
      </c>
      <c r="D1351" s="14"/>
      <c r="E1351" s="8"/>
      <c r="F1351" s="8"/>
      <c r="G1351" s="8"/>
    </row>
    <row r="1352" customFormat="false" ht="15" hidden="false" customHeight="false" outlineLevel="0" collapsed="false">
      <c r="A1352" s="9"/>
      <c r="B1352" s="8"/>
      <c r="C1352" s="10" t="str">
        <f aca="false">IF(B1352="","",IFERROR(VLOOKUP(B1352,DonHang!$A$2:$C$500,3,FALSE()),"mã đơn chưa có"))</f>
        <v/>
      </c>
      <c r="D1352" s="14"/>
      <c r="E1352" s="8"/>
      <c r="F1352" s="8"/>
      <c r="G1352" s="8"/>
    </row>
    <row r="1353" customFormat="false" ht="15" hidden="false" customHeight="false" outlineLevel="0" collapsed="false">
      <c r="A1353" s="9"/>
      <c r="B1353" s="8"/>
      <c r="C1353" s="10" t="str">
        <f aca="false">IF(B1353="","",IFERROR(VLOOKUP(B1353,DonHang!$A$2:$C$500,3,FALSE()),"mã đơn chưa có"))</f>
        <v/>
      </c>
      <c r="D1353" s="14"/>
      <c r="E1353" s="8"/>
      <c r="F1353" s="8"/>
      <c r="G1353" s="8"/>
    </row>
    <row r="1354" customFormat="false" ht="15" hidden="false" customHeight="false" outlineLevel="0" collapsed="false">
      <c r="A1354" s="9"/>
      <c r="B1354" s="8"/>
      <c r="C1354" s="10" t="str">
        <f aca="false">IF(B1354="","",IFERROR(VLOOKUP(B1354,DonHang!$A$2:$C$500,3,FALSE()),"mã đơn chưa có"))</f>
        <v/>
      </c>
      <c r="D1354" s="14"/>
      <c r="E1354" s="8"/>
      <c r="F1354" s="8"/>
      <c r="G1354" s="8"/>
    </row>
    <row r="1355" customFormat="false" ht="15" hidden="false" customHeight="false" outlineLevel="0" collapsed="false">
      <c r="A1355" s="9"/>
      <c r="B1355" s="8"/>
      <c r="C1355" s="10" t="str">
        <f aca="false">IF(B1355="","",IFERROR(VLOOKUP(B1355,DonHang!$A$2:$C$500,3,FALSE()),"mã đơn chưa có"))</f>
        <v/>
      </c>
      <c r="D1355" s="14"/>
      <c r="E1355" s="8"/>
      <c r="F1355" s="8"/>
      <c r="G1355" s="8"/>
    </row>
    <row r="1356" customFormat="false" ht="15" hidden="false" customHeight="false" outlineLevel="0" collapsed="false">
      <c r="A1356" s="9"/>
      <c r="B1356" s="8"/>
      <c r="C1356" s="10" t="str">
        <f aca="false">IF(B1356="","",IFERROR(VLOOKUP(B1356,DonHang!$A$2:$C$500,3,FALSE()),"mã đơn chưa có"))</f>
        <v/>
      </c>
      <c r="D1356" s="14"/>
      <c r="E1356" s="8"/>
      <c r="F1356" s="8"/>
      <c r="G1356" s="8"/>
    </row>
    <row r="1357" customFormat="false" ht="15" hidden="false" customHeight="false" outlineLevel="0" collapsed="false">
      <c r="A1357" s="9"/>
      <c r="B1357" s="8"/>
      <c r="C1357" s="10" t="str">
        <f aca="false">IF(B1357="","",IFERROR(VLOOKUP(B1357,DonHang!$A$2:$C$500,3,FALSE()),"mã đơn chưa có"))</f>
        <v/>
      </c>
      <c r="D1357" s="14"/>
      <c r="E1357" s="8"/>
      <c r="F1357" s="8"/>
      <c r="G1357" s="8"/>
    </row>
    <row r="1358" customFormat="false" ht="15" hidden="false" customHeight="false" outlineLevel="0" collapsed="false">
      <c r="A1358" s="9"/>
      <c r="B1358" s="8"/>
      <c r="C1358" s="10" t="str">
        <f aca="false">IF(B1358="","",IFERROR(VLOOKUP(B1358,DonHang!$A$2:$C$500,3,FALSE()),"mã đơn chưa có"))</f>
        <v/>
      </c>
      <c r="D1358" s="14"/>
      <c r="E1358" s="8"/>
      <c r="F1358" s="8"/>
      <c r="G1358" s="8"/>
    </row>
    <row r="1359" customFormat="false" ht="15" hidden="false" customHeight="false" outlineLevel="0" collapsed="false">
      <c r="A1359" s="9"/>
      <c r="B1359" s="8"/>
      <c r="C1359" s="10" t="str">
        <f aca="false">IF(B1359="","",IFERROR(VLOOKUP(B1359,DonHang!$A$2:$C$500,3,FALSE()),"mã đơn chưa có"))</f>
        <v/>
      </c>
      <c r="D1359" s="14"/>
      <c r="E1359" s="8"/>
      <c r="F1359" s="8"/>
      <c r="G1359" s="8"/>
    </row>
    <row r="1360" customFormat="false" ht="15" hidden="false" customHeight="false" outlineLevel="0" collapsed="false">
      <c r="A1360" s="9"/>
      <c r="B1360" s="8"/>
      <c r="C1360" s="10" t="str">
        <f aca="false">IF(B1360="","",IFERROR(VLOOKUP(B1360,DonHang!$A$2:$C$500,3,FALSE()),"mã đơn chưa có"))</f>
        <v/>
      </c>
      <c r="D1360" s="14"/>
      <c r="E1360" s="8"/>
      <c r="F1360" s="8"/>
      <c r="G1360" s="8"/>
    </row>
    <row r="1361" customFormat="false" ht="15" hidden="false" customHeight="false" outlineLevel="0" collapsed="false">
      <c r="A1361" s="9"/>
      <c r="B1361" s="8"/>
      <c r="C1361" s="10" t="str">
        <f aca="false">IF(B1361="","",IFERROR(VLOOKUP(B1361,DonHang!$A$2:$C$500,3,FALSE()),"mã đơn chưa có"))</f>
        <v/>
      </c>
      <c r="D1361" s="14"/>
      <c r="E1361" s="8"/>
      <c r="F1361" s="8"/>
      <c r="G1361" s="8"/>
    </row>
    <row r="1362" customFormat="false" ht="15" hidden="false" customHeight="false" outlineLevel="0" collapsed="false">
      <c r="A1362" s="9"/>
      <c r="B1362" s="8"/>
      <c r="C1362" s="10" t="str">
        <f aca="false">IF(B1362="","",IFERROR(VLOOKUP(B1362,DonHang!$A$2:$C$500,3,FALSE()),"mã đơn chưa có"))</f>
        <v/>
      </c>
      <c r="D1362" s="14"/>
      <c r="E1362" s="8"/>
      <c r="F1362" s="8"/>
      <c r="G1362" s="8"/>
    </row>
    <row r="1363" customFormat="false" ht="15" hidden="false" customHeight="false" outlineLevel="0" collapsed="false">
      <c r="A1363" s="9"/>
      <c r="B1363" s="8"/>
      <c r="C1363" s="10" t="str">
        <f aca="false">IF(B1363="","",IFERROR(VLOOKUP(B1363,DonHang!$A$2:$C$500,3,FALSE()),"mã đơn chưa có"))</f>
        <v/>
      </c>
      <c r="D1363" s="14"/>
      <c r="E1363" s="8"/>
      <c r="F1363" s="8"/>
      <c r="G1363" s="8"/>
    </row>
    <row r="1364" customFormat="false" ht="15" hidden="false" customHeight="false" outlineLevel="0" collapsed="false">
      <c r="A1364" s="9"/>
      <c r="B1364" s="8"/>
      <c r="C1364" s="10" t="str">
        <f aca="false">IF(B1364="","",IFERROR(VLOOKUP(B1364,DonHang!$A$2:$C$500,3,FALSE()),"mã đơn chưa có"))</f>
        <v/>
      </c>
      <c r="D1364" s="14"/>
      <c r="E1364" s="8"/>
      <c r="F1364" s="8"/>
      <c r="G1364" s="8"/>
    </row>
    <row r="1365" customFormat="false" ht="15" hidden="false" customHeight="false" outlineLevel="0" collapsed="false">
      <c r="A1365" s="9"/>
      <c r="B1365" s="8"/>
      <c r="C1365" s="10" t="str">
        <f aca="false">IF(B1365="","",IFERROR(VLOOKUP(B1365,DonHang!$A$2:$C$500,3,FALSE()),"mã đơn chưa có"))</f>
        <v/>
      </c>
      <c r="D1365" s="14"/>
      <c r="E1365" s="8"/>
      <c r="F1365" s="8"/>
      <c r="G1365" s="8"/>
    </row>
    <row r="1366" customFormat="false" ht="15" hidden="false" customHeight="false" outlineLevel="0" collapsed="false">
      <c r="A1366" s="9"/>
      <c r="B1366" s="8"/>
      <c r="C1366" s="10" t="str">
        <f aca="false">IF(B1366="","",IFERROR(VLOOKUP(B1366,DonHang!$A$2:$C$500,3,FALSE()),"mã đơn chưa có"))</f>
        <v/>
      </c>
      <c r="D1366" s="14"/>
      <c r="E1366" s="8"/>
      <c r="F1366" s="8"/>
      <c r="G1366" s="8"/>
    </row>
    <row r="1367" customFormat="false" ht="15" hidden="false" customHeight="false" outlineLevel="0" collapsed="false">
      <c r="A1367" s="9"/>
      <c r="B1367" s="8"/>
      <c r="C1367" s="10" t="str">
        <f aca="false">IF(B1367="","",IFERROR(VLOOKUP(B1367,DonHang!$A$2:$C$500,3,FALSE()),"mã đơn chưa có"))</f>
        <v/>
      </c>
      <c r="D1367" s="14"/>
      <c r="E1367" s="8"/>
      <c r="F1367" s="8"/>
      <c r="G1367" s="8"/>
    </row>
    <row r="1368" customFormat="false" ht="15" hidden="false" customHeight="false" outlineLevel="0" collapsed="false">
      <c r="A1368" s="9"/>
      <c r="B1368" s="8"/>
      <c r="C1368" s="10" t="str">
        <f aca="false">IF(B1368="","",IFERROR(VLOOKUP(B1368,DonHang!$A$2:$C$500,3,FALSE()),"mã đơn chưa có"))</f>
        <v/>
      </c>
      <c r="D1368" s="14"/>
      <c r="E1368" s="8"/>
      <c r="F1368" s="8"/>
      <c r="G1368" s="8"/>
    </row>
    <row r="1369" customFormat="false" ht="15" hidden="false" customHeight="false" outlineLevel="0" collapsed="false">
      <c r="A1369" s="9"/>
      <c r="B1369" s="8"/>
      <c r="C1369" s="10" t="str">
        <f aca="false">IF(B1369="","",IFERROR(VLOOKUP(B1369,DonHang!$A$2:$C$500,3,FALSE()),"mã đơn chưa có"))</f>
        <v/>
      </c>
      <c r="D1369" s="14"/>
      <c r="E1369" s="8"/>
      <c r="F1369" s="8"/>
      <c r="G1369" s="8"/>
    </row>
    <row r="1370" customFormat="false" ht="15" hidden="false" customHeight="false" outlineLevel="0" collapsed="false">
      <c r="A1370" s="9"/>
      <c r="B1370" s="8"/>
      <c r="C1370" s="10" t="str">
        <f aca="false">IF(B1370="","",IFERROR(VLOOKUP(B1370,DonHang!$A$2:$C$500,3,FALSE()),"mã đơn chưa có"))</f>
        <v/>
      </c>
      <c r="D1370" s="14"/>
      <c r="E1370" s="8"/>
      <c r="F1370" s="8"/>
      <c r="G1370" s="8"/>
    </row>
    <row r="1371" customFormat="false" ht="15" hidden="false" customHeight="false" outlineLevel="0" collapsed="false">
      <c r="A1371" s="9"/>
      <c r="B1371" s="8"/>
      <c r="C1371" s="10" t="str">
        <f aca="false">IF(B1371="","",IFERROR(VLOOKUP(B1371,DonHang!$A$2:$C$500,3,FALSE()),"mã đơn chưa có"))</f>
        <v/>
      </c>
      <c r="D1371" s="14"/>
      <c r="E1371" s="8"/>
      <c r="F1371" s="8"/>
      <c r="G1371" s="8"/>
    </row>
    <row r="1372" customFormat="false" ht="15" hidden="false" customHeight="false" outlineLevel="0" collapsed="false">
      <c r="A1372" s="9"/>
      <c r="B1372" s="8"/>
      <c r="C1372" s="10" t="str">
        <f aca="false">IF(B1372="","",IFERROR(VLOOKUP(B1372,DonHang!$A$2:$C$500,3,FALSE()),"mã đơn chưa có"))</f>
        <v/>
      </c>
      <c r="D1372" s="14"/>
      <c r="E1372" s="8"/>
      <c r="F1372" s="8"/>
      <c r="G1372" s="8"/>
    </row>
    <row r="1373" customFormat="false" ht="15" hidden="false" customHeight="false" outlineLevel="0" collapsed="false">
      <c r="A1373" s="9"/>
      <c r="B1373" s="8"/>
      <c r="C1373" s="10" t="str">
        <f aca="false">IF(B1373="","",IFERROR(VLOOKUP(B1373,DonHang!$A$2:$C$500,3,FALSE()),"mã đơn chưa có"))</f>
        <v/>
      </c>
      <c r="D1373" s="14"/>
      <c r="E1373" s="8"/>
      <c r="F1373" s="8"/>
      <c r="G1373" s="8"/>
    </row>
    <row r="1374" customFormat="false" ht="15" hidden="false" customHeight="false" outlineLevel="0" collapsed="false">
      <c r="A1374" s="9"/>
      <c r="B1374" s="8"/>
      <c r="C1374" s="10" t="str">
        <f aca="false">IF(B1374="","",IFERROR(VLOOKUP(B1374,DonHang!$A$2:$C$500,3,FALSE()),"mã đơn chưa có"))</f>
        <v/>
      </c>
      <c r="D1374" s="14"/>
      <c r="E1374" s="8"/>
      <c r="F1374" s="8"/>
      <c r="G1374" s="8"/>
    </row>
    <row r="1375" customFormat="false" ht="15" hidden="false" customHeight="false" outlineLevel="0" collapsed="false">
      <c r="A1375" s="9"/>
      <c r="B1375" s="8"/>
      <c r="C1375" s="10" t="str">
        <f aca="false">IF(B1375="","",IFERROR(VLOOKUP(B1375,DonHang!$A$2:$C$500,3,FALSE()),"mã đơn chưa có"))</f>
        <v/>
      </c>
      <c r="D1375" s="14"/>
      <c r="E1375" s="8"/>
      <c r="F1375" s="8"/>
      <c r="G1375" s="8"/>
    </row>
    <row r="1376" customFormat="false" ht="15" hidden="false" customHeight="false" outlineLevel="0" collapsed="false">
      <c r="A1376" s="9"/>
      <c r="B1376" s="8"/>
      <c r="C1376" s="10" t="str">
        <f aca="false">IF(B1376="","",IFERROR(VLOOKUP(B1376,DonHang!$A$2:$C$500,3,FALSE()),"mã đơn chưa có"))</f>
        <v/>
      </c>
      <c r="D1376" s="14"/>
      <c r="E1376" s="8"/>
      <c r="F1376" s="8"/>
      <c r="G1376" s="8"/>
    </row>
    <row r="1377" customFormat="false" ht="15" hidden="false" customHeight="false" outlineLevel="0" collapsed="false">
      <c r="A1377" s="9"/>
      <c r="B1377" s="8"/>
      <c r="C1377" s="10" t="str">
        <f aca="false">IF(B1377="","",IFERROR(VLOOKUP(B1377,DonHang!$A$2:$C$500,3,FALSE()),"mã đơn chưa có"))</f>
        <v/>
      </c>
      <c r="D1377" s="14"/>
      <c r="E1377" s="8"/>
      <c r="F1377" s="8"/>
      <c r="G1377" s="8"/>
    </row>
    <row r="1378" customFormat="false" ht="15" hidden="false" customHeight="false" outlineLevel="0" collapsed="false">
      <c r="A1378" s="9"/>
      <c r="B1378" s="8"/>
      <c r="C1378" s="10" t="str">
        <f aca="false">IF(B1378="","",IFERROR(VLOOKUP(B1378,DonHang!$A$2:$C$500,3,FALSE()),"mã đơn chưa có"))</f>
        <v/>
      </c>
      <c r="D1378" s="14"/>
      <c r="E1378" s="8"/>
      <c r="F1378" s="8"/>
      <c r="G1378" s="8"/>
    </row>
    <row r="1379" customFormat="false" ht="15" hidden="false" customHeight="false" outlineLevel="0" collapsed="false">
      <c r="A1379" s="9"/>
      <c r="B1379" s="8"/>
      <c r="C1379" s="10" t="str">
        <f aca="false">IF(B1379="","",IFERROR(VLOOKUP(B1379,DonHang!$A$2:$C$500,3,FALSE()),"mã đơn chưa có"))</f>
        <v/>
      </c>
      <c r="D1379" s="14"/>
      <c r="E1379" s="8"/>
      <c r="F1379" s="8"/>
      <c r="G1379" s="8"/>
    </row>
    <row r="1380" customFormat="false" ht="15" hidden="false" customHeight="false" outlineLevel="0" collapsed="false">
      <c r="A1380" s="9"/>
      <c r="B1380" s="8"/>
      <c r="C1380" s="10" t="str">
        <f aca="false">IF(B1380="","",IFERROR(VLOOKUP(B1380,DonHang!$A$2:$C$500,3,FALSE()),"mã đơn chưa có"))</f>
        <v/>
      </c>
      <c r="D1380" s="14"/>
      <c r="E1380" s="8"/>
      <c r="F1380" s="8"/>
      <c r="G1380" s="8"/>
    </row>
    <row r="1381" customFormat="false" ht="15" hidden="false" customHeight="false" outlineLevel="0" collapsed="false">
      <c r="A1381" s="9"/>
      <c r="B1381" s="8"/>
      <c r="C1381" s="10" t="str">
        <f aca="false">IF(B1381="","",IFERROR(VLOOKUP(B1381,DonHang!$A$2:$C$500,3,FALSE()),"mã đơn chưa có"))</f>
        <v/>
      </c>
      <c r="D1381" s="14"/>
      <c r="E1381" s="8"/>
      <c r="F1381" s="8"/>
      <c r="G1381" s="8"/>
    </row>
    <row r="1382" customFormat="false" ht="15" hidden="false" customHeight="false" outlineLevel="0" collapsed="false">
      <c r="A1382" s="9"/>
      <c r="B1382" s="8"/>
      <c r="C1382" s="10" t="str">
        <f aca="false">IF(B1382="","",IFERROR(VLOOKUP(B1382,DonHang!$A$2:$C$500,3,FALSE()),"mã đơn chưa có"))</f>
        <v/>
      </c>
      <c r="D1382" s="14"/>
      <c r="E1382" s="8"/>
      <c r="F1382" s="8"/>
      <c r="G1382" s="8"/>
    </row>
    <row r="1383" customFormat="false" ht="15" hidden="false" customHeight="false" outlineLevel="0" collapsed="false">
      <c r="A1383" s="9"/>
      <c r="B1383" s="8"/>
      <c r="C1383" s="10" t="str">
        <f aca="false">IF(B1383="","",IFERROR(VLOOKUP(B1383,DonHang!$A$2:$C$500,3,FALSE()),"mã đơn chưa có"))</f>
        <v/>
      </c>
      <c r="D1383" s="14"/>
      <c r="E1383" s="8"/>
      <c r="F1383" s="8"/>
      <c r="G1383" s="8"/>
    </row>
    <row r="1384" customFormat="false" ht="15" hidden="false" customHeight="false" outlineLevel="0" collapsed="false">
      <c r="A1384" s="9"/>
      <c r="B1384" s="8"/>
      <c r="C1384" s="10" t="str">
        <f aca="false">IF(B1384="","",IFERROR(VLOOKUP(B1384,DonHang!$A$2:$C$500,3,FALSE()),"mã đơn chưa có"))</f>
        <v/>
      </c>
      <c r="D1384" s="14"/>
      <c r="E1384" s="8"/>
      <c r="F1384" s="8"/>
      <c r="G1384" s="8"/>
    </row>
    <row r="1385" customFormat="false" ht="15" hidden="false" customHeight="false" outlineLevel="0" collapsed="false">
      <c r="A1385" s="9"/>
      <c r="B1385" s="8"/>
      <c r="C1385" s="10" t="str">
        <f aca="false">IF(B1385="","",IFERROR(VLOOKUP(B1385,DonHang!$A$2:$C$500,3,FALSE()),"mã đơn chưa có"))</f>
        <v/>
      </c>
      <c r="D1385" s="14"/>
      <c r="E1385" s="8"/>
      <c r="F1385" s="8"/>
      <c r="G1385" s="8"/>
    </row>
    <row r="1386" customFormat="false" ht="15" hidden="false" customHeight="false" outlineLevel="0" collapsed="false">
      <c r="A1386" s="9"/>
      <c r="B1386" s="8"/>
      <c r="C1386" s="10" t="str">
        <f aca="false">IF(B1386="","",IFERROR(VLOOKUP(B1386,DonHang!$A$2:$C$500,3,FALSE()),"mã đơn chưa có"))</f>
        <v/>
      </c>
      <c r="D1386" s="14"/>
      <c r="E1386" s="8"/>
      <c r="F1386" s="8"/>
      <c r="G1386" s="8"/>
    </row>
    <row r="1387" customFormat="false" ht="15" hidden="false" customHeight="false" outlineLevel="0" collapsed="false">
      <c r="A1387" s="9"/>
      <c r="B1387" s="8"/>
      <c r="C1387" s="10" t="str">
        <f aca="false">IF(B1387="","",IFERROR(VLOOKUP(B1387,DonHang!$A$2:$C$500,3,FALSE()),"mã đơn chưa có"))</f>
        <v/>
      </c>
      <c r="D1387" s="14"/>
      <c r="E1387" s="8"/>
      <c r="F1387" s="8"/>
      <c r="G1387" s="8"/>
    </row>
    <row r="1388" customFormat="false" ht="15" hidden="false" customHeight="false" outlineLevel="0" collapsed="false">
      <c r="A1388" s="9"/>
      <c r="B1388" s="8"/>
      <c r="C1388" s="10" t="str">
        <f aca="false">IF(B1388="","",IFERROR(VLOOKUP(B1388,DonHang!$A$2:$C$500,3,FALSE()),"mã đơn chưa có"))</f>
        <v/>
      </c>
      <c r="D1388" s="14"/>
      <c r="E1388" s="8"/>
      <c r="F1388" s="8"/>
      <c r="G1388" s="8"/>
    </row>
    <row r="1389" customFormat="false" ht="15" hidden="false" customHeight="false" outlineLevel="0" collapsed="false">
      <c r="A1389" s="9"/>
      <c r="B1389" s="8"/>
      <c r="C1389" s="10" t="str">
        <f aca="false">IF(B1389="","",IFERROR(VLOOKUP(B1389,DonHang!$A$2:$C$500,3,FALSE()),"mã đơn chưa có"))</f>
        <v/>
      </c>
      <c r="D1389" s="14"/>
      <c r="E1389" s="8"/>
      <c r="F1389" s="8"/>
      <c r="G1389" s="8"/>
    </row>
    <row r="1390" customFormat="false" ht="15" hidden="false" customHeight="false" outlineLevel="0" collapsed="false">
      <c r="A1390" s="9"/>
      <c r="B1390" s="8"/>
      <c r="C1390" s="10" t="str">
        <f aca="false">IF(B1390="","",IFERROR(VLOOKUP(B1390,DonHang!$A$2:$C$500,3,FALSE()),"mã đơn chưa có"))</f>
        <v/>
      </c>
      <c r="D1390" s="14"/>
      <c r="E1390" s="8"/>
      <c r="F1390" s="8"/>
      <c r="G1390" s="8"/>
    </row>
    <row r="1391" customFormat="false" ht="15" hidden="false" customHeight="false" outlineLevel="0" collapsed="false">
      <c r="A1391" s="9"/>
      <c r="B1391" s="8"/>
      <c r="C1391" s="10" t="str">
        <f aca="false">IF(B1391="","",IFERROR(VLOOKUP(B1391,DonHang!$A$2:$C$500,3,FALSE()),"mã đơn chưa có"))</f>
        <v/>
      </c>
      <c r="D1391" s="14"/>
      <c r="E1391" s="8"/>
      <c r="F1391" s="8"/>
      <c r="G1391" s="8"/>
    </row>
    <row r="1392" customFormat="false" ht="15" hidden="false" customHeight="false" outlineLevel="0" collapsed="false">
      <c r="A1392" s="9"/>
      <c r="B1392" s="8"/>
      <c r="C1392" s="10" t="str">
        <f aca="false">IF(B1392="","",IFERROR(VLOOKUP(B1392,DonHang!$A$2:$C$500,3,FALSE()),"mã đơn chưa có"))</f>
        <v/>
      </c>
      <c r="D1392" s="14"/>
      <c r="E1392" s="8"/>
      <c r="F1392" s="8"/>
      <c r="G1392" s="8"/>
    </row>
    <row r="1393" customFormat="false" ht="15" hidden="false" customHeight="false" outlineLevel="0" collapsed="false">
      <c r="A1393" s="9"/>
      <c r="B1393" s="8"/>
      <c r="C1393" s="10" t="str">
        <f aca="false">IF(B1393="","",IFERROR(VLOOKUP(B1393,DonHang!$A$2:$C$500,3,FALSE()),"mã đơn chưa có"))</f>
        <v/>
      </c>
      <c r="D1393" s="14"/>
      <c r="E1393" s="8"/>
      <c r="F1393" s="8"/>
      <c r="G1393" s="8"/>
    </row>
    <row r="1394" customFormat="false" ht="15" hidden="false" customHeight="false" outlineLevel="0" collapsed="false">
      <c r="A1394" s="9"/>
      <c r="B1394" s="8"/>
      <c r="C1394" s="10" t="str">
        <f aca="false">IF(B1394="","",IFERROR(VLOOKUP(B1394,DonHang!$A$2:$C$500,3,FALSE()),"mã đơn chưa có"))</f>
        <v/>
      </c>
      <c r="D1394" s="14"/>
      <c r="E1394" s="8"/>
      <c r="F1394" s="8"/>
      <c r="G1394" s="8"/>
    </row>
    <row r="1395" customFormat="false" ht="15" hidden="false" customHeight="false" outlineLevel="0" collapsed="false">
      <c r="A1395" s="9"/>
      <c r="B1395" s="8"/>
      <c r="C1395" s="10" t="str">
        <f aca="false">IF(B1395="","",IFERROR(VLOOKUP(B1395,DonHang!$A$2:$C$500,3,FALSE()),"mã đơn chưa có"))</f>
        <v/>
      </c>
      <c r="D1395" s="14"/>
      <c r="E1395" s="8"/>
      <c r="F1395" s="8"/>
      <c r="G1395" s="8"/>
    </row>
    <row r="1396" customFormat="false" ht="15" hidden="false" customHeight="false" outlineLevel="0" collapsed="false">
      <c r="A1396" s="9"/>
      <c r="B1396" s="8"/>
      <c r="C1396" s="10" t="str">
        <f aca="false">IF(B1396="","",IFERROR(VLOOKUP(B1396,DonHang!$A$2:$C$500,3,FALSE()),"mã đơn chưa có"))</f>
        <v/>
      </c>
      <c r="D1396" s="14"/>
      <c r="E1396" s="8"/>
      <c r="F1396" s="8"/>
      <c r="G1396" s="8"/>
    </row>
    <row r="1397" customFormat="false" ht="15" hidden="false" customHeight="false" outlineLevel="0" collapsed="false">
      <c r="A1397" s="9"/>
      <c r="B1397" s="8"/>
      <c r="C1397" s="10" t="str">
        <f aca="false">IF(B1397="","",IFERROR(VLOOKUP(B1397,DonHang!$A$2:$C$500,3,FALSE()),"mã đơn chưa có"))</f>
        <v/>
      </c>
      <c r="D1397" s="14"/>
      <c r="E1397" s="8"/>
      <c r="F1397" s="8"/>
      <c r="G1397" s="8"/>
    </row>
    <row r="1398" customFormat="false" ht="15" hidden="false" customHeight="false" outlineLevel="0" collapsed="false">
      <c r="A1398" s="9"/>
      <c r="B1398" s="8"/>
      <c r="C1398" s="10" t="str">
        <f aca="false">IF(B1398="","",IFERROR(VLOOKUP(B1398,DonHang!$A$2:$C$500,3,FALSE()),"mã đơn chưa có"))</f>
        <v/>
      </c>
      <c r="D1398" s="14"/>
      <c r="E1398" s="8"/>
      <c r="F1398" s="8"/>
      <c r="G1398" s="8"/>
    </row>
    <row r="1399" customFormat="false" ht="15" hidden="false" customHeight="false" outlineLevel="0" collapsed="false">
      <c r="A1399" s="9"/>
      <c r="B1399" s="8"/>
      <c r="C1399" s="10" t="str">
        <f aca="false">IF(B1399="","",IFERROR(VLOOKUP(B1399,DonHang!$A$2:$C$500,3,FALSE()),"mã đơn chưa có"))</f>
        <v/>
      </c>
      <c r="D1399" s="14"/>
      <c r="E1399" s="8"/>
      <c r="F1399" s="8"/>
      <c r="G1399" s="8"/>
    </row>
    <row r="1400" customFormat="false" ht="15" hidden="false" customHeight="false" outlineLevel="0" collapsed="false">
      <c r="A1400" s="9"/>
      <c r="B1400" s="8"/>
      <c r="C1400" s="10" t="str">
        <f aca="false">IF(B1400="","",IFERROR(VLOOKUP(B1400,DonHang!$A$2:$C$500,3,FALSE()),"mã đơn chưa có"))</f>
        <v/>
      </c>
      <c r="D1400" s="14"/>
      <c r="E1400" s="8"/>
      <c r="F1400" s="8"/>
      <c r="G1400" s="8"/>
    </row>
    <row r="1401" customFormat="false" ht="15" hidden="false" customHeight="false" outlineLevel="0" collapsed="false">
      <c r="A1401" s="9"/>
      <c r="B1401" s="8"/>
      <c r="C1401" s="10" t="str">
        <f aca="false">IF(B1401="","",IFERROR(VLOOKUP(B1401,DonHang!$A$2:$C$500,3,FALSE()),"mã đơn chưa có"))</f>
        <v/>
      </c>
      <c r="D1401" s="14"/>
      <c r="E1401" s="8"/>
      <c r="F1401" s="8"/>
      <c r="G1401" s="8"/>
    </row>
    <row r="1402" customFormat="false" ht="15" hidden="false" customHeight="false" outlineLevel="0" collapsed="false">
      <c r="A1402" s="9"/>
      <c r="B1402" s="8"/>
      <c r="C1402" s="10" t="str">
        <f aca="false">IF(B1402="","",IFERROR(VLOOKUP(B1402,DonHang!$A$2:$C$500,3,FALSE()),"mã đơn chưa có"))</f>
        <v/>
      </c>
      <c r="D1402" s="14"/>
      <c r="E1402" s="8"/>
      <c r="F1402" s="8"/>
      <c r="G1402" s="8"/>
    </row>
    <row r="1403" customFormat="false" ht="15" hidden="false" customHeight="false" outlineLevel="0" collapsed="false">
      <c r="A1403" s="9"/>
      <c r="B1403" s="8"/>
      <c r="C1403" s="10" t="str">
        <f aca="false">IF(B1403="","",IFERROR(VLOOKUP(B1403,DonHang!$A$2:$C$500,3,FALSE()),"mã đơn chưa có"))</f>
        <v/>
      </c>
      <c r="D1403" s="14"/>
      <c r="E1403" s="8"/>
      <c r="F1403" s="8"/>
      <c r="G1403" s="8"/>
    </row>
    <row r="1404" customFormat="false" ht="15" hidden="false" customHeight="false" outlineLevel="0" collapsed="false">
      <c r="A1404" s="9"/>
      <c r="B1404" s="8"/>
      <c r="C1404" s="10" t="str">
        <f aca="false">IF(B1404="","",IFERROR(VLOOKUP(B1404,DonHang!$A$2:$C$500,3,FALSE()),"mã đơn chưa có"))</f>
        <v/>
      </c>
      <c r="D1404" s="14"/>
      <c r="E1404" s="8"/>
      <c r="F1404" s="8"/>
      <c r="G1404" s="8"/>
    </row>
    <row r="1405" customFormat="false" ht="15" hidden="false" customHeight="false" outlineLevel="0" collapsed="false">
      <c r="A1405" s="9"/>
      <c r="B1405" s="8"/>
      <c r="C1405" s="10" t="str">
        <f aca="false">IF(B1405="","",IFERROR(VLOOKUP(B1405,DonHang!$A$2:$C$500,3,FALSE()),"mã đơn chưa có"))</f>
        <v/>
      </c>
      <c r="D1405" s="14"/>
      <c r="E1405" s="8"/>
      <c r="F1405" s="8"/>
      <c r="G1405" s="8"/>
    </row>
    <row r="1406" customFormat="false" ht="15" hidden="false" customHeight="false" outlineLevel="0" collapsed="false">
      <c r="A1406" s="9"/>
      <c r="B1406" s="8"/>
      <c r="C1406" s="10" t="str">
        <f aca="false">IF(B1406="","",IFERROR(VLOOKUP(B1406,DonHang!$A$2:$C$500,3,FALSE()),"mã đơn chưa có"))</f>
        <v/>
      </c>
      <c r="D1406" s="14"/>
      <c r="E1406" s="8"/>
      <c r="F1406" s="8"/>
      <c r="G1406" s="8"/>
    </row>
    <row r="1407" customFormat="false" ht="15" hidden="false" customHeight="false" outlineLevel="0" collapsed="false">
      <c r="A1407" s="9"/>
      <c r="B1407" s="8"/>
      <c r="C1407" s="10" t="str">
        <f aca="false">IF(B1407="","",IFERROR(VLOOKUP(B1407,DonHang!$A$2:$C$500,3,FALSE()),"mã đơn chưa có"))</f>
        <v/>
      </c>
      <c r="D1407" s="14"/>
      <c r="E1407" s="8"/>
      <c r="F1407" s="8"/>
      <c r="G1407" s="8"/>
    </row>
    <row r="1408" customFormat="false" ht="15" hidden="false" customHeight="false" outlineLevel="0" collapsed="false">
      <c r="A1408" s="9"/>
      <c r="B1408" s="8"/>
      <c r="C1408" s="10" t="str">
        <f aca="false">IF(B1408="","",IFERROR(VLOOKUP(B1408,DonHang!$A$2:$C$500,3,FALSE()),"mã đơn chưa có"))</f>
        <v/>
      </c>
      <c r="D1408" s="14"/>
      <c r="E1408" s="8"/>
      <c r="F1408" s="8"/>
      <c r="G1408" s="8"/>
    </row>
    <row r="1409" customFormat="false" ht="15" hidden="false" customHeight="false" outlineLevel="0" collapsed="false">
      <c r="A1409" s="9"/>
      <c r="B1409" s="8"/>
      <c r="C1409" s="10" t="str">
        <f aca="false">IF(B1409="","",IFERROR(VLOOKUP(B1409,DonHang!$A$2:$C$500,3,FALSE()),"mã đơn chưa có"))</f>
        <v/>
      </c>
      <c r="D1409" s="14"/>
      <c r="E1409" s="8"/>
      <c r="F1409" s="8"/>
      <c r="G1409" s="8"/>
    </row>
    <row r="1410" customFormat="false" ht="15" hidden="false" customHeight="false" outlineLevel="0" collapsed="false">
      <c r="A1410" s="9"/>
      <c r="B1410" s="8"/>
      <c r="C1410" s="10" t="str">
        <f aca="false">IF(B1410="","",IFERROR(VLOOKUP(B1410,DonHang!$A$2:$C$500,3,FALSE()),"mã đơn chưa có"))</f>
        <v/>
      </c>
      <c r="D1410" s="14"/>
      <c r="E1410" s="8"/>
      <c r="F1410" s="8"/>
      <c r="G1410" s="8"/>
    </row>
    <row r="1411" customFormat="false" ht="15" hidden="false" customHeight="false" outlineLevel="0" collapsed="false">
      <c r="A1411" s="9"/>
      <c r="B1411" s="8"/>
      <c r="C1411" s="10" t="str">
        <f aca="false">IF(B1411="","",IFERROR(VLOOKUP(B1411,DonHang!$A$2:$C$500,3,FALSE()),"mã đơn chưa có"))</f>
        <v/>
      </c>
      <c r="D1411" s="14"/>
      <c r="E1411" s="8"/>
      <c r="F1411" s="8"/>
      <c r="G1411" s="8"/>
    </row>
    <row r="1412" customFormat="false" ht="15" hidden="false" customHeight="false" outlineLevel="0" collapsed="false">
      <c r="A1412" s="9"/>
      <c r="B1412" s="8"/>
      <c r="C1412" s="10" t="str">
        <f aca="false">IF(B1412="","",IFERROR(VLOOKUP(B1412,DonHang!$A$2:$C$500,3,FALSE()),"mã đơn chưa có"))</f>
        <v/>
      </c>
      <c r="D1412" s="14"/>
      <c r="E1412" s="8"/>
      <c r="F1412" s="8"/>
      <c r="G1412" s="8"/>
    </row>
    <row r="1413" customFormat="false" ht="15" hidden="false" customHeight="false" outlineLevel="0" collapsed="false">
      <c r="A1413" s="9"/>
      <c r="B1413" s="8"/>
      <c r="C1413" s="10" t="str">
        <f aca="false">IF(B1413="","",IFERROR(VLOOKUP(B1413,DonHang!$A$2:$C$500,3,FALSE()),"mã đơn chưa có"))</f>
        <v/>
      </c>
      <c r="D1413" s="14"/>
      <c r="E1413" s="8"/>
      <c r="F1413" s="8"/>
      <c r="G1413" s="8"/>
    </row>
    <row r="1414" customFormat="false" ht="15" hidden="false" customHeight="false" outlineLevel="0" collapsed="false">
      <c r="A1414" s="9"/>
      <c r="B1414" s="8"/>
      <c r="C1414" s="10" t="str">
        <f aca="false">IF(B1414="","",IFERROR(VLOOKUP(B1414,DonHang!$A$2:$C$500,3,FALSE()),"mã đơn chưa có"))</f>
        <v/>
      </c>
      <c r="D1414" s="14"/>
      <c r="E1414" s="8"/>
      <c r="F1414" s="8"/>
      <c r="G1414" s="8"/>
    </row>
    <row r="1415" customFormat="false" ht="15" hidden="false" customHeight="false" outlineLevel="0" collapsed="false">
      <c r="A1415" s="9"/>
      <c r="B1415" s="8"/>
      <c r="C1415" s="10" t="str">
        <f aca="false">IF(B1415="","",IFERROR(VLOOKUP(B1415,DonHang!$A$2:$C$500,3,FALSE()),"mã đơn chưa có"))</f>
        <v/>
      </c>
      <c r="D1415" s="14"/>
      <c r="E1415" s="8"/>
      <c r="F1415" s="8"/>
      <c r="G1415" s="8"/>
    </row>
    <row r="1416" customFormat="false" ht="15" hidden="false" customHeight="false" outlineLevel="0" collapsed="false">
      <c r="A1416" s="9"/>
      <c r="B1416" s="8"/>
      <c r="C1416" s="10" t="str">
        <f aca="false">IF(B1416="","",IFERROR(VLOOKUP(B1416,DonHang!$A$2:$C$500,3,FALSE()),"mã đơn chưa có"))</f>
        <v/>
      </c>
      <c r="D1416" s="14"/>
      <c r="E1416" s="8"/>
      <c r="F1416" s="8"/>
      <c r="G1416" s="8"/>
    </row>
    <row r="1417" customFormat="false" ht="15" hidden="false" customHeight="false" outlineLevel="0" collapsed="false">
      <c r="A1417" s="9"/>
      <c r="B1417" s="8"/>
      <c r="C1417" s="10" t="str">
        <f aca="false">IF(B1417="","",IFERROR(VLOOKUP(B1417,DonHang!$A$2:$C$500,3,FALSE()),"mã đơn chưa có"))</f>
        <v/>
      </c>
      <c r="D1417" s="14"/>
      <c r="E1417" s="8"/>
      <c r="F1417" s="8"/>
      <c r="G1417" s="8"/>
    </row>
    <row r="1418" customFormat="false" ht="15" hidden="false" customHeight="false" outlineLevel="0" collapsed="false">
      <c r="A1418" s="9"/>
      <c r="B1418" s="8"/>
      <c r="C1418" s="10" t="str">
        <f aca="false">IF(B1418="","",IFERROR(VLOOKUP(B1418,DonHang!$A$2:$C$500,3,FALSE()),"mã đơn chưa có"))</f>
        <v/>
      </c>
      <c r="D1418" s="14"/>
      <c r="E1418" s="8"/>
      <c r="F1418" s="8"/>
      <c r="G1418" s="8"/>
    </row>
    <row r="1419" customFormat="false" ht="15" hidden="false" customHeight="false" outlineLevel="0" collapsed="false">
      <c r="A1419" s="9"/>
      <c r="B1419" s="8"/>
      <c r="C1419" s="10" t="str">
        <f aca="false">IF(B1419="","",IFERROR(VLOOKUP(B1419,DonHang!$A$2:$C$500,3,FALSE()),"mã đơn chưa có"))</f>
        <v/>
      </c>
      <c r="D1419" s="14"/>
      <c r="E1419" s="8"/>
      <c r="F1419" s="8"/>
      <c r="G1419" s="8"/>
    </row>
    <row r="1420" customFormat="false" ht="15" hidden="false" customHeight="false" outlineLevel="0" collapsed="false">
      <c r="A1420" s="9"/>
      <c r="B1420" s="8"/>
      <c r="C1420" s="10" t="str">
        <f aca="false">IF(B1420="","",IFERROR(VLOOKUP(B1420,DonHang!$A$2:$C$500,3,FALSE()),"mã đơn chưa có"))</f>
        <v/>
      </c>
      <c r="D1420" s="14"/>
      <c r="E1420" s="8"/>
      <c r="F1420" s="8"/>
      <c r="G1420" s="8"/>
    </row>
    <row r="1421" customFormat="false" ht="15" hidden="false" customHeight="false" outlineLevel="0" collapsed="false">
      <c r="A1421" s="9"/>
      <c r="B1421" s="8"/>
      <c r="C1421" s="10" t="str">
        <f aca="false">IF(B1421="","",IFERROR(VLOOKUP(B1421,DonHang!$A$2:$C$500,3,FALSE()),"mã đơn chưa có"))</f>
        <v/>
      </c>
      <c r="D1421" s="14"/>
      <c r="E1421" s="8"/>
      <c r="F1421" s="8"/>
      <c r="G1421" s="8"/>
    </row>
    <row r="1422" customFormat="false" ht="15" hidden="false" customHeight="false" outlineLevel="0" collapsed="false">
      <c r="A1422" s="9"/>
      <c r="B1422" s="8"/>
      <c r="C1422" s="10" t="str">
        <f aca="false">IF(B1422="","",IFERROR(VLOOKUP(B1422,DonHang!$A$2:$C$500,3,FALSE()),"mã đơn chưa có"))</f>
        <v/>
      </c>
      <c r="D1422" s="14"/>
      <c r="E1422" s="8"/>
      <c r="F1422" s="8"/>
      <c r="G1422" s="8"/>
    </row>
    <row r="1423" customFormat="false" ht="15" hidden="false" customHeight="false" outlineLevel="0" collapsed="false">
      <c r="A1423" s="9"/>
      <c r="B1423" s="8"/>
      <c r="C1423" s="10" t="str">
        <f aca="false">IF(B1423="","",IFERROR(VLOOKUP(B1423,DonHang!$A$2:$C$500,3,FALSE()),"mã đơn chưa có"))</f>
        <v/>
      </c>
      <c r="D1423" s="14"/>
      <c r="E1423" s="8"/>
      <c r="F1423" s="8"/>
      <c r="G1423" s="8"/>
    </row>
    <row r="1424" customFormat="false" ht="15" hidden="false" customHeight="false" outlineLevel="0" collapsed="false">
      <c r="A1424" s="9"/>
      <c r="B1424" s="8"/>
      <c r="C1424" s="10" t="str">
        <f aca="false">IF(B1424="","",IFERROR(VLOOKUP(B1424,DonHang!$A$2:$C$500,3,FALSE()),"mã đơn chưa có"))</f>
        <v/>
      </c>
      <c r="D1424" s="14"/>
      <c r="E1424" s="8"/>
      <c r="F1424" s="8"/>
      <c r="G1424" s="8"/>
    </row>
    <row r="1425" customFormat="false" ht="15" hidden="false" customHeight="false" outlineLevel="0" collapsed="false">
      <c r="A1425" s="9"/>
      <c r="B1425" s="8"/>
      <c r="C1425" s="10" t="str">
        <f aca="false">IF(B1425="","",IFERROR(VLOOKUP(B1425,DonHang!$A$2:$C$500,3,FALSE()),"mã đơn chưa có"))</f>
        <v/>
      </c>
      <c r="D1425" s="14"/>
      <c r="E1425" s="8"/>
      <c r="F1425" s="8"/>
      <c r="G1425" s="8"/>
    </row>
    <row r="1426" customFormat="false" ht="15" hidden="false" customHeight="false" outlineLevel="0" collapsed="false">
      <c r="A1426" s="9"/>
      <c r="B1426" s="8"/>
      <c r="C1426" s="10" t="str">
        <f aca="false">IF(B1426="","",IFERROR(VLOOKUP(B1426,DonHang!$A$2:$C$500,3,FALSE()),"mã đơn chưa có"))</f>
        <v/>
      </c>
      <c r="D1426" s="14"/>
      <c r="E1426" s="8"/>
      <c r="F1426" s="8"/>
      <c r="G1426" s="8"/>
    </row>
    <row r="1427" customFormat="false" ht="15" hidden="false" customHeight="false" outlineLevel="0" collapsed="false">
      <c r="A1427" s="9"/>
      <c r="B1427" s="8"/>
      <c r="C1427" s="10" t="str">
        <f aca="false">IF(B1427="","",IFERROR(VLOOKUP(B1427,DonHang!$A$2:$C$500,3,FALSE()),"mã đơn chưa có"))</f>
        <v/>
      </c>
      <c r="D1427" s="14"/>
      <c r="E1427" s="8"/>
      <c r="F1427" s="8"/>
      <c r="G1427" s="8"/>
    </row>
    <row r="1428" customFormat="false" ht="15" hidden="false" customHeight="false" outlineLevel="0" collapsed="false">
      <c r="A1428" s="9"/>
      <c r="B1428" s="8"/>
      <c r="C1428" s="10" t="str">
        <f aca="false">IF(B1428="","",IFERROR(VLOOKUP(B1428,DonHang!$A$2:$C$500,3,FALSE()),"mã đơn chưa có"))</f>
        <v/>
      </c>
      <c r="D1428" s="14"/>
      <c r="E1428" s="8"/>
      <c r="F1428" s="8"/>
      <c r="G1428" s="8"/>
    </row>
    <row r="1429" customFormat="false" ht="15" hidden="false" customHeight="false" outlineLevel="0" collapsed="false">
      <c r="A1429" s="9"/>
      <c r="B1429" s="8"/>
      <c r="C1429" s="10" t="str">
        <f aca="false">IF(B1429="","",IFERROR(VLOOKUP(B1429,DonHang!$A$2:$C$500,3,FALSE()),"mã đơn chưa có"))</f>
        <v/>
      </c>
      <c r="D1429" s="14"/>
      <c r="E1429" s="8"/>
      <c r="F1429" s="8"/>
      <c r="G1429" s="8"/>
    </row>
    <row r="1430" customFormat="false" ht="15" hidden="false" customHeight="false" outlineLevel="0" collapsed="false">
      <c r="A1430" s="9"/>
      <c r="B1430" s="8"/>
      <c r="C1430" s="10" t="str">
        <f aca="false">IF(B1430="","",IFERROR(VLOOKUP(B1430,DonHang!$A$2:$C$500,3,FALSE()),"mã đơn chưa có"))</f>
        <v/>
      </c>
      <c r="D1430" s="14"/>
      <c r="E1430" s="8"/>
      <c r="F1430" s="8"/>
      <c r="G1430" s="8"/>
    </row>
    <row r="1431" customFormat="false" ht="15" hidden="false" customHeight="false" outlineLevel="0" collapsed="false">
      <c r="A1431" s="9"/>
      <c r="B1431" s="8"/>
      <c r="C1431" s="10" t="str">
        <f aca="false">IF(B1431="","",IFERROR(VLOOKUP(B1431,DonHang!$A$2:$C$500,3,FALSE()),"mã đơn chưa có"))</f>
        <v/>
      </c>
      <c r="D1431" s="14"/>
      <c r="E1431" s="8"/>
      <c r="F1431" s="8"/>
      <c r="G1431" s="8"/>
    </row>
    <row r="1432" customFormat="false" ht="15" hidden="false" customHeight="false" outlineLevel="0" collapsed="false">
      <c r="A1432" s="9"/>
      <c r="B1432" s="8"/>
      <c r="C1432" s="10" t="str">
        <f aca="false">IF(B1432="","",IFERROR(VLOOKUP(B1432,DonHang!$A$2:$C$500,3,FALSE()),"mã đơn chưa có"))</f>
        <v/>
      </c>
      <c r="D1432" s="14"/>
      <c r="E1432" s="8"/>
      <c r="F1432" s="8"/>
      <c r="G1432" s="8"/>
    </row>
    <row r="1433" customFormat="false" ht="15" hidden="false" customHeight="false" outlineLevel="0" collapsed="false">
      <c r="A1433" s="9"/>
      <c r="B1433" s="8"/>
      <c r="C1433" s="10" t="str">
        <f aca="false">IF(B1433="","",IFERROR(VLOOKUP(B1433,DonHang!$A$2:$C$500,3,FALSE()),"mã đơn chưa có"))</f>
        <v/>
      </c>
      <c r="D1433" s="14"/>
      <c r="E1433" s="8"/>
      <c r="F1433" s="8"/>
      <c r="G1433" s="8"/>
    </row>
    <row r="1434" customFormat="false" ht="15" hidden="false" customHeight="false" outlineLevel="0" collapsed="false">
      <c r="A1434" s="9"/>
      <c r="B1434" s="8"/>
      <c r="C1434" s="10" t="str">
        <f aca="false">IF(B1434="","",IFERROR(VLOOKUP(B1434,DonHang!$A$2:$C$500,3,FALSE()),"mã đơn chưa có"))</f>
        <v/>
      </c>
      <c r="D1434" s="14"/>
      <c r="E1434" s="8"/>
      <c r="F1434" s="8"/>
      <c r="G1434" s="8"/>
    </row>
    <row r="1435" customFormat="false" ht="15" hidden="false" customHeight="false" outlineLevel="0" collapsed="false">
      <c r="A1435" s="9"/>
      <c r="B1435" s="8"/>
      <c r="C1435" s="10" t="str">
        <f aca="false">IF(B1435="","",IFERROR(VLOOKUP(B1435,DonHang!$A$2:$C$500,3,FALSE()),"mã đơn chưa có"))</f>
        <v/>
      </c>
      <c r="D1435" s="14"/>
      <c r="E1435" s="8"/>
      <c r="F1435" s="8"/>
      <c r="G1435" s="8"/>
    </row>
    <row r="1436" customFormat="false" ht="15" hidden="false" customHeight="false" outlineLevel="0" collapsed="false">
      <c r="A1436" s="9"/>
      <c r="B1436" s="8"/>
      <c r="C1436" s="10" t="str">
        <f aca="false">IF(B1436="","",IFERROR(VLOOKUP(B1436,DonHang!$A$2:$C$500,3,FALSE()),"mã đơn chưa có"))</f>
        <v/>
      </c>
      <c r="D1436" s="14"/>
      <c r="E1436" s="8"/>
      <c r="F1436" s="8"/>
      <c r="G1436" s="8"/>
    </row>
    <row r="1437" customFormat="false" ht="15" hidden="false" customHeight="false" outlineLevel="0" collapsed="false">
      <c r="A1437" s="9"/>
      <c r="B1437" s="8"/>
      <c r="C1437" s="10" t="str">
        <f aca="false">IF(B1437="","",IFERROR(VLOOKUP(B1437,DonHang!$A$2:$C$500,3,FALSE()),"mã đơn chưa có"))</f>
        <v/>
      </c>
      <c r="D1437" s="14"/>
      <c r="E1437" s="8"/>
      <c r="F1437" s="8"/>
      <c r="G1437" s="8"/>
    </row>
    <row r="1438" customFormat="false" ht="15" hidden="false" customHeight="false" outlineLevel="0" collapsed="false">
      <c r="A1438" s="9"/>
      <c r="B1438" s="8"/>
      <c r="C1438" s="10" t="str">
        <f aca="false">IF(B1438="","",IFERROR(VLOOKUP(B1438,DonHang!$A$2:$C$500,3,FALSE()),"mã đơn chưa có"))</f>
        <v/>
      </c>
      <c r="D1438" s="14"/>
      <c r="E1438" s="8"/>
      <c r="F1438" s="8"/>
      <c r="G1438" s="8"/>
    </row>
    <row r="1439" customFormat="false" ht="15" hidden="false" customHeight="false" outlineLevel="0" collapsed="false">
      <c r="A1439" s="9"/>
      <c r="B1439" s="8"/>
      <c r="C1439" s="10" t="str">
        <f aca="false">IF(B1439="","",IFERROR(VLOOKUP(B1439,DonHang!$A$2:$C$500,3,FALSE()),"mã đơn chưa có"))</f>
        <v/>
      </c>
      <c r="D1439" s="14"/>
      <c r="E1439" s="8"/>
      <c r="F1439" s="8"/>
      <c r="G1439" s="8"/>
    </row>
    <row r="1440" customFormat="false" ht="15" hidden="false" customHeight="false" outlineLevel="0" collapsed="false">
      <c r="A1440" s="9"/>
      <c r="B1440" s="8"/>
      <c r="C1440" s="10" t="str">
        <f aca="false">IF(B1440="","",IFERROR(VLOOKUP(B1440,DonHang!$A$2:$C$500,3,FALSE()),"mã đơn chưa có"))</f>
        <v/>
      </c>
      <c r="D1440" s="14"/>
      <c r="E1440" s="8"/>
      <c r="F1440" s="8"/>
      <c r="G1440" s="8"/>
    </row>
    <row r="1441" customFormat="false" ht="15" hidden="false" customHeight="false" outlineLevel="0" collapsed="false">
      <c r="A1441" s="9"/>
      <c r="B1441" s="8"/>
      <c r="C1441" s="10" t="str">
        <f aca="false">IF(B1441="","",IFERROR(VLOOKUP(B1441,DonHang!$A$2:$C$500,3,FALSE()),"mã đơn chưa có"))</f>
        <v/>
      </c>
      <c r="D1441" s="14"/>
      <c r="E1441" s="8"/>
      <c r="F1441" s="8"/>
      <c r="G1441" s="8"/>
    </row>
    <row r="1442" customFormat="false" ht="15" hidden="false" customHeight="false" outlineLevel="0" collapsed="false">
      <c r="A1442" s="9"/>
      <c r="B1442" s="8"/>
      <c r="C1442" s="10" t="str">
        <f aca="false">IF(B1442="","",IFERROR(VLOOKUP(B1442,DonHang!$A$2:$C$500,3,FALSE()),"mã đơn chưa có"))</f>
        <v/>
      </c>
      <c r="D1442" s="14"/>
      <c r="E1442" s="8"/>
      <c r="F1442" s="8"/>
      <c r="G1442" s="8"/>
    </row>
    <row r="1443" customFormat="false" ht="15" hidden="false" customHeight="false" outlineLevel="0" collapsed="false">
      <c r="A1443" s="9"/>
      <c r="B1443" s="8"/>
      <c r="C1443" s="10" t="str">
        <f aca="false">IF(B1443="","",IFERROR(VLOOKUP(B1443,DonHang!$A$2:$C$500,3,FALSE()),"mã đơn chưa có"))</f>
        <v/>
      </c>
      <c r="D1443" s="14"/>
      <c r="E1443" s="8"/>
      <c r="F1443" s="8"/>
      <c r="G1443" s="8"/>
    </row>
    <row r="1444" customFormat="false" ht="15" hidden="false" customHeight="false" outlineLevel="0" collapsed="false">
      <c r="A1444" s="9"/>
      <c r="B1444" s="8"/>
      <c r="C1444" s="10" t="str">
        <f aca="false">IF(B1444="","",IFERROR(VLOOKUP(B1444,DonHang!$A$2:$C$500,3,FALSE()),"mã đơn chưa có"))</f>
        <v/>
      </c>
      <c r="D1444" s="14"/>
      <c r="E1444" s="8"/>
      <c r="F1444" s="8"/>
      <c r="G1444" s="8"/>
    </row>
    <row r="1445" customFormat="false" ht="15" hidden="false" customHeight="false" outlineLevel="0" collapsed="false">
      <c r="A1445" s="9"/>
      <c r="B1445" s="8"/>
      <c r="C1445" s="10" t="str">
        <f aca="false">IF(B1445="","",IFERROR(VLOOKUP(B1445,DonHang!$A$2:$C$500,3,FALSE()),"mã đơn chưa có"))</f>
        <v/>
      </c>
      <c r="D1445" s="14"/>
      <c r="E1445" s="8"/>
      <c r="F1445" s="8"/>
      <c r="G1445" s="8"/>
    </row>
    <row r="1446" customFormat="false" ht="15" hidden="false" customHeight="false" outlineLevel="0" collapsed="false">
      <c r="A1446" s="9"/>
      <c r="B1446" s="8"/>
      <c r="C1446" s="10" t="str">
        <f aca="false">IF(B1446="","",IFERROR(VLOOKUP(B1446,DonHang!$A$2:$C$500,3,FALSE()),"mã đơn chưa có"))</f>
        <v/>
      </c>
      <c r="D1446" s="14"/>
      <c r="E1446" s="8"/>
      <c r="F1446" s="8"/>
      <c r="G1446" s="8"/>
    </row>
    <row r="1447" customFormat="false" ht="15" hidden="false" customHeight="false" outlineLevel="0" collapsed="false">
      <c r="A1447" s="9"/>
      <c r="B1447" s="8"/>
      <c r="C1447" s="10" t="str">
        <f aca="false">IF(B1447="","",IFERROR(VLOOKUP(B1447,DonHang!$A$2:$C$500,3,FALSE()),"mã đơn chưa có"))</f>
        <v/>
      </c>
      <c r="D1447" s="14"/>
      <c r="E1447" s="8"/>
      <c r="F1447" s="8"/>
      <c r="G1447" s="8"/>
    </row>
    <row r="1448" customFormat="false" ht="15" hidden="false" customHeight="false" outlineLevel="0" collapsed="false">
      <c r="A1448" s="9"/>
      <c r="B1448" s="8"/>
      <c r="C1448" s="10" t="str">
        <f aca="false">IF(B1448="","",IFERROR(VLOOKUP(B1448,DonHang!$A$2:$C$500,3,FALSE()),"mã đơn chưa có"))</f>
        <v/>
      </c>
      <c r="D1448" s="14"/>
      <c r="E1448" s="8"/>
      <c r="F1448" s="8"/>
      <c r="G1448" s="8"/>
    </row>
    <row r="1449" customFormat="false" ht="15" hidden="false" customHeight="false" outlineLevel="0" collapsed="false">
      <c r="A1449" s="9"/>
      <c r="B1449" s="8"/>
      <c r="C1449" s="10" t="str">
        <f aca="false">IF(B1449="","",IFERROR(VLOOKUP(B1449,DonHang!$A$2:$C$500,3,FALSE()),"mã đơn chưa có"))</f>
        <v/>
      </c>
      <c r="D1449" s="14"/>
      <c r="E1449" s="8"/>
      <c r="F1449" s="8"/>
      <c r="G1449" s="8"/>
    </row>
    <row r="1450" customFormat="false" ht="15" hidden="false" customHeight="false" outlineLevel="0" collapsed="false">
      <c r="A1450" s="9"/>
      <c r="B1450" s="8"/>
      <c r="C1450" s="10" t="str">
        <f aca="false">IF(B1450="","",IFERROR(VLOOKUP(B1450,DonHang!$A$2:$C$500,3,FALSE()),"mã đơn chưa có"))</f>
        <v/>
      </c>
      <c r="D1450" s="14"/>
      <c r="E1450" s="8"/>
      <c r="F1450" s="8"/>
      <c r="G1450" s="8"/>
    </row>
    <row r="1451" customFormat="false" ht="15" hidden="false" customHeight="false" outlineLevel="0" collapsed="false">
      <c r="A1451" s="9"/>
      <c r="B1451" s="8"/>
      <c r="C1451" s="10" t="str">
        <f aca="false">IF(B1451="","",IFERROR(VLOOKUP(B1451,DonHang!$A$2:$C$500,3,FALSE()),"mã đơn chưa có"))</f>
        <v/>
      </c>
      <c r="D1451" s="14"/>
      <c r="E1451" s="8"/>
      <c r="F1451" s="8"/>
      <c r="G1451" s="8"/>
    </row>
    <row r="1452" customFormat="false" ht="15" hidden="false" customHeight="false" outlineLevel="0" collapsed="false">
      <c r="A1452" s="9"/>
      <c r="B1452" s="8"/>
      <c r="C1452" s="10" t="str">
        <f aca="false">IF(B1452="","",IFERROR(VLOOKUP(B1452,DonHang!$A$2:$C$500,3,FALSE()),"mã đơn chưa có"))</f>
        <v/>
      </c>
      <c r="D1452" s="14"/>
      <c r="E1452" s="8"/>
      <c r="F1452" s="8"/>
      <c r="G1452" s="8"/>
    </row>
    <row r="1453" customFormat="false" ht="15" hidden="false" customHeight="false" outlineLevel="0" collapsed="false">
      <c r="A1453" s="9"/>
      <c r="B1453" s="8"/>
      <c r="C1453" s="10" t="str">
        <f aca="false">IF(B1453="","",IFERROR(VLOOKUP(B1453,DonHang!$A$2:$C$500,3,FALSE()),"mã đơn chưa có"))</f>
        <v/>
      </c>
      <c r="D1453" s="14"/>
      <c r="E1453" s="8"/>
      <c r="F1453" s="8"/>
      <c r="G1453" s="8"/>
    </row>
    <row r="1454" customFormat="false" ht="15" hidden="false" customHeight="false" outlineLevel="0" collapsed="false">
      <c r="A1454" s="9"/>
      <c r="B1454" s="8"/>
      <c r="C1454" s="10" t="str">
        <f aca="false">IF(B1454="","",IFERROR(VLOOKUP(B1454,DonHang!$A$2:$C$500,3,FALSE()),"mã đơn chưa có"))</f>
        <v/>
      </c>
      <c r="D1454" s="14"/>
      <c r="E1454" s="8"/>
      <c r="F1454" s="8"/>
      <c r="G1454" s="8"/>
    </row>
    <row r="1455" customFormat="false" ht="15" hidden="false" customHeight="false" outlineLevel="0" collapsed="false">
      <c r="A1455" s="9"/>
      <c r="B1455" s="8"/>
      <c r="C1455" s="10" t="str">
        <f aca="false">IF(B1455="","",IFERROR(VLOOKUP(B1455,DonHang!$A$2:$C$500,3,FALSE()),"mã đơn chưa có"))</f>
        <v/>
      </c>
      <c r="D1455" s="14"/>
      <c r="E1455" s="8"/>
      <c r="F1455" s="8"/>
      <c r="G1455" s="8"/>
    </row>
    <row r="1456" customFormat="false" ht="15" hidden="false" customHeight="false" outlineLevel="0" collapsed="false">
      <c r="A1456" s="9"/>
      <c r="B1456" s="8"/>
      <c r="C1456" s="10" t="str">
        <f aca="false">IF(B1456="","",IFERROR(VLOOKUP(B1456,DonHang!$A$2:$C$500,3,FALSE()),"mã đơn chưa có"))</f>
        <v/>
      </c>
      <c r="D1456" s="14"/>
      <c r="E1456" s="8"/>
      <c r="F1456" s="8"/>
      <c r="G1456" s="8"/>
    </row>
    <row r="1457" customFormat="false" ht="15" hidden="false" customHeight="false" outlineLevel="0" collapsed="false">
      <c r="A1457" s="9"/>
      <c r="B1457" s="8"/>
      <c r="C1457" s="10" t="str">
        <f aca="false">IF(B1457="","",IFERROR(VLOOKUP(B1457,DonHang!$A$2:$C$500,3,FALSE()),"mã đơn chưa có"))</f>
        <v/>
      </c>
      <c r="D1457" s="14"/>
      <c r="E1457" s="8"/>
      <c r="F1457" s="8"/>
      <c r="G1457" s="8"/>
    </row>
    <row r="1458" customFormat="false" ht="15" hidden="false" customHeight="false" outlineLevel="0" collapsed="false">
      <c r="A1458" s="9"/>
      <c r="B1458" s="8"/>
      <c r="C1458" s="10" t="str">
        <f aca="false">IF(B1458="","",IFERROR(VLOOKUP(B1458,DonHang!$A$2:$C$500,3,FALSE()),"mã đơn chưa có"))</f>
        <v/>
      </c>
      <c r="D1458" s="14"/>
      <c r="E1458" s="8"/>
      <c r="F1458" s="8"/>
      <c r="G1458" s="8"/>
    </row>
    <row r="1459" customFormat="false" ht="15" hidden="false" customHeight="false" outlineLevel="0" collapsed="false">
      <c r="A1459" s="9"/>
      <c r="B1459" s="8"/>
      <c r="C1459" s="10" t="str">
        <f aca="false">IF(B1459="","",IFERROR(VLOOKUP(B1459,DonHang!$A$2:$C$500,3,FALSE()),"mã đơn chưa có"))</f>
        <v/>
      </c>
      <c r="D1459" s="14"/>
      <c r="E1459" s="8"/>
      <c r="F1459" s="8"/>
      <c r="G1459" s="8"/>
    </row>
    <row r="1460" customFormat="false" ht="15" hidden="false" customHeight="false" outlineLevel="0" collapsed="false">
      <c r="A1460" s="9"/>
      <c r="B1460" s="8"/>
      <c r="C1460" s="10" t="str">
        <f aca="false">IF(B1460="","",IFERROR(VLOOKUP(B1460,DonHang!$A$2:$C$500,3,FALSE()),"mã đơn chưa có"))</f>
        <v/>
      </c>
      <c r="D1460" s="14"/>
      <c r="E1460" s="8"/>
      <c r="F1460" s="8"/>
      <c r="G1460" s="8"/>
    </row>
    <row r="1461" customFormat="false" ht="15" hidden="false" customHeight="false" outlineLevel="0" collapsed="false">
      <c r="A1461" s="9"/>
      <c r="B1461" s="8"/>
      <c r="C1461" s="10" t="str">
        <f aca="false">IF(B1461="","",IFERROR(VLOOKUP(B1461,DonHang!$A$2:$C$500,3,FALSE()),"mã đơn chưa có"))</f>
        <v/>
      </c>
      <c r="D1461" s="14"/>
      <c r="E1461" s="8"/>
      <c r="F1461" s="8"/>
      <c r="G1461" s="8"/>
    </row>
    <row r="1462" customFormat="false" ht="15" hidden="false" customHeight="false" outlineLevel="0" collapsed="false">
      <c r="A1462" s="9"/>
      <c r="B1462" s="8"/>
      <c r="C1462" s="10" t="str">
        <f aca="false">IF(B1462="","",IFERROR(VLOOKUP(B1462,DonHang!$A$2:$C$500,3,FALSE()),"mã đơn chưa có"))</f>
        <v/>
      </c>
      <c r="D1462" s="14"/>
      <c r="E1462" s="8"/>
      <c r="F1462" s="8"/>
      <c r="G1462" s="8"/>
    </row>
    <row r="1463" customFormat="false" ht="15" hidden="false" customHeight="false" outlineLevel="0" collapsed="false">
      <c r="A1463" s="9"/>
      <c r="B1463" s="8"/>
      <c r="C1463" s="10" t="str">
        <f aca="false">IF(B1463="","",IFERROR(VLOOKUP(B1463,DonHang!$A$2:$C$500,3,FALSE()),"mã đơn chưa có"))</f>
        <v/>
      </c>
      <c r="D1463" s="14"/>
      <c r="E1463" s="8"/>
      <c r="F1463" s="8"/>
      <c r="G1463" s="8"/>
    </row>
    <row r="1464" customFormat="false" ht="15" hidden="false" customHeight="false" outlineLevel="0" collapsed="false">
      <c r="A1464" s="9"/>
      <c r="B1464" s="8"/>
      <c r="C1464" s="10" t="str">
        <f aca="false">IF(B1464="","",IFERROR(VLOOKUP(B1464,DonHang!$A$2:$C$500,3,FALSE()),"mã đơn chưa có"))</f>
        <v/>
      </c>
      <c r="D1464" s="14"/>
      <c r="E1464" s="8"/>
      <c r="F1464" s="8"/>
      <c r="G1464" s="8"/>
    </row>
    <row r="1465" customFormat="false" ht="15" hidden="false" customHeight="false" outlineLevel="0" collapsed="false">
      <c r="A1465" s="9"/>
      <c r="B1465" s="8"/>
      <c r="C1465" s="10" t="str">
        <f aca="false">IF(B1465="","",IFERROR(VLOOKUP(B1465,DonHang!$A$2:$C$500,3,FALSE()),"mã đơn chưa có"))</f>
        <v/>
      </c>
      <c r="D1465" s="14"/>
      <c r="E1465" s="8"/>
      <c r="F1465" s="8"/>
      <c r="G1465" s="8"/>
    </row>
    <row r="1466" customFormat="false" ht="15" hidden="false" customHeight="false" outlineLevel="0" collapsed="false">
      <c r="A1466" s="9"/>
      <c r="B1466" s="8"/>
      <c r="C1466" s="10" t="str">
        <f aca="false">IF(B1466="","",IFERROR(VLOOKUP(B1466,DonHang!$A$2:$C$500,3,FALSE()),"mã đơn chưa có"))</f>
        <v/>
      </c>
      <c r="D1466" s="14"/>
      <c r="E1466" s="8"/>
      <c r="F1466" s="8"/>
      <c r="G1466" s="8"/>
    </row>
    <row r="1467" customFormat="false" ht="15" hidden="false" customHeight="false" outlineLevel="0" collapsed="false">
      <c r="A1467" s="9"/>
      <c r="B1467" s="8"/>
      <c r="C1467" s="10" t="str">
        <f aca="false">IF(B1467="","",IFERROR(VLOOKUP(B1467,DonHang!$A$2:$C$500,3,FALSE()),"mã đơn chưa có"))</f>
        <v/>
      </c>
      <c r="D1467" s="14"/>
      <c r="E1467" s="8"/>
      <c r="F1467" s="8"/>
      <c r="G1467" s="8"/>
    </row>
    <row r="1468" customFormat="false" ht="15" hidden="false" customHeight="false" outlineLevel="0" collapsed="false">
      <c r="A1468" s="9"/>
      <c r="B1468" s="8"/>
      <c r="C1468" s="10" t="str">
        <f aca="false">IF(B1468="","",IFERROR(VLOOKUP(B1468,DonHang!$A$2:$C$500,3,FALSE()),"mã đơn chưa có"))</f>
        <v/>
      </c>
      <c r="D1468" s="14"/>
      <c r="E1468" s="8"/>
      <c r="F1468" s="8"/>
      <c r="G1468" s="8"/>
    </row>
    <row r="1469" customFormat="false" ht="15" hidden="false" customHeight="false" outlineLevel="0" collapsed="false">
      <c r="A1469" s="9"/>
      <c r="B1469" s="8"/>
      <c r="C1469" s="10" t="str">
        <f aca="false">IF(B1469="","",IFERROR(VLOOKUP(B1469,DonHang!$A$2:$C$500,3,FALSE()),"mã đơn chưa có"))</f>
        <v/>
      </c>
      <c r="D1469" s="14"/>
      <c r="E1469" s="8"/>
      <c r="F1469" s="8"/>
      <c r="G1469" s="8"/>
    </row>
    <row r="1470" customFormat="false" ht="15" hidden="false" customHeight="false" outlineLevel="0" collapsed="false">
      <c r="A1470" s="9"/>
      <c r="B1470" s="8"/>
      <c r="C1470" s="10" t="str">
        <f aca="false">IF(B1470="","",IFERROR(VLOOKUP(B1470,DonHang!$A$2:$C$500,3,FALSE()),"mã đơn chưa có"))</f>
        <v/>
      </c>
      <c r="D1470" s="14"/>
      <c r="E1470" s="8"/>
      <c r="F1470" s="8"/>
      <c r="G1470" s="8"/>
    </row>
    <row r="1471" customFormat="false" ht="15" hidden="false" customHeight="false" outlineLevel="0" collapsed="false">
      <c r="A1471" s="9"/>
      <c r="B1471" s="8"/>
      <c r="C1471" s="10" t="str">
        <f aca="false">IF(B1471="","",IFERROR(VLOOKUP(B1471,DonHang!$A$2:$C$500,3,FALSE()),"mã đơn chưa có"))</f>
        <v/>
      </c>
      <c r="D1471" s="14"/>
      <c r="E1471" s="8"/>
      <c r="F1471" s="8"/>
      <c r="G1471" s="8"/>
    </row>
    <row r="1472" customFormat="false" ht="15" hidden="false" customHeight="false" outlineLevel="0" collapsed="false">
      <c r="A1472" s="9"/>
      <c r="B1472" s="8"/>
      <c r="C1472" s="10" t="str">
        <f aca="false">IF(B1472="","",IFERROR(VLOOKUP(B1472,DonHang!$A$2:$C$500,3,FALSE()),"mã đơn chưa có"))</f>
        <v/>
      </c>
      <c r="D1472" s="14"/>
      <c r="E1472" s="8"/>
      <c r="F1472" s="8"/>
      <c r="G1472" s="8"/>
    </row>
    <row r="1473" customFormat="false" ht="15" hidden="false" customHeight="false" outlineLevel="0" collapsed="false">
      <c r="A1473" s="9"/>
      <c r="B1473" s="8"/>
      <c r="C1473" s="10" t="str">
        <f aca="false">IF(B1473="","",IFERROR(VLOOKUP(B1473,DonHang!$A$2:$C$500,3,FALSE()),"mã đơn chưa có"))</f>
        <v/>
      </c>
      <c r="D1473" s="14"/>
      <c r="E1473" s="8"/>
      <c r="F1473" s="8"/>
      <c r="G1473" s="8"/>
    </row>
    <row r="1474" customFormat="false" ht="15" hidden="false" customHeight="false" outlineLevel="0" collapsed="false">
      <c r="A1474" s="9"/>
      <c r="B1474" s="8"/>
      <c r="C1474" s="10" t="str">
        <f aca="false">IF(B1474="","",IFERROR(VLOOKUP(B1474,DonHang!$A$2:$C$500,3,FALSE()),"mã đơn chưa có"))</f>
        <v/>
      </c>
      <c r="D1474" s="14"/>
      <c r="E1474" s="8"/>
      <c r="F1474" s="8"/>
      <c r="G1474" s="8"/>
    </row>
    <row r="1475" customFormat="false" ht="15" hidden="false" customHeight="false" outlineLevel="0" collapsed="false">
      <c r="A1475" s="9"/>
      <c r="B1475" s="8"/>
      <c r="C1475" s="10" t="str">
        <f aca="false">IF(B1475="","",IFERROR(VLOOKUP(B1475,DonHang!$A$2:$C$500,3,FALSE()),"mã đơn chưa có"))</f>
        <v/>
      </c>
      <c r="D1475" s="14"/>
      <c r="E1475" s="8"/>
      <c r="F1475" s="8"/>
      <c r="G1475" s="8"/>
    </row>
    <row r="1476" customFormat="false" ht="15" hidden="false" customHeight="false" outlineLevel="0" collapsed="false">
      <c r="A1476" s="9"/>
      <c r="B1476" s="8"/>
      <c r="C1476" s="10" t="str">
        <f aca="false">IF(B1476="","",IFERROR(VLOOKUP(B1476,DonHang!$A$2:$C$500,3,FALSE()),"mã đơn chưa có"))</f>
        <v/>
      </c>
      <c r="D1476" s="14"/>
      <c r="E1476" s="8"/>
      <c r="F1476" s="8"/>
      <c r="G1476" s="8"/>
    </row>
    <row r="1477" customFormat="false" ht="15" hidden="false" customHeight="false" outlineLevel="0" collapsed="false">
      <c r="A1477" s="9"/>
      <c r="B1477" s="8"/>
      <c r="C1477" s="10" t="str">
        <f aca="false">IF(B1477="","",IFERROR(VLOOKUP(B1477,DonHang!$A$2:$C$500,3,FALSE()),"mã đơn chưa có"))</f>
        <v/>
      </c>
      <c r="D1477" s="14"/>
      <c r="E1477" s="8"/>
      <c r="F1477" s="8"/>
      <c r="G1477" s="8"/>
    </row>
    <row r="1478" customFormat="false" ht="15" hidden="false" customHeight="false" outlineLevel="0" collapsed="false">
      <c r="A1478" s="9"/>
      <c r="B1478" s="8"/>
      <c r="C1478" s="10" t="str">
        <f aca="false">IF(B1478="","",IFERROR(VLOOKUP(B1478,DonHang!$A$2:$C$500,3,FALSE()),"mã đơn chưa có"))</f>
        <v/>
      </c>
      <c r="D1478" s="14"/>
      <c r="E1478" s="8"/>
      <c r="F1478" s="8"/>
      <c r="G1478" s="8"/>
    </row>
    <row r="1479" customFormat="false" ht="15" hidden="false" customHeight="false" outlineLevel="0" collapsed="false">
      <c r="A1479" s="9"/>
      <c r="B1479" s="8"/>
      <c r="C1479" s="10" t="str">
        <f aca="false">IF(B1479="","",IFERROR(VLOOKUP(B1479,DonHang!$A$2:$C$500,3,FALSE()),"mã đơn chưa có"))</f>
        <v/>
      </c>
      <c r="D1479" s="14"/>
      <c r="E1479" s="8"/>
      <c r="F1479" s="8"/>
      <c r="G1479" s="8"/>
    </row>
    <row r="1480" customFormat="false" ht="15" hidden="false" customHeight="false" outlineLevel="0" collapsed="false">
      <c r="A1480" s="9"/>
      <c r="B1480" s="8"/>
      <c r="C1480" s="10" t="str">
        <f aca="false">IF(B1480="","",IFERROR(VLOOKUP(B1480,DonHang!$A$2:$C$500,3,FALSE()),"mã đơn chưa có"))</f>
        <v/>
      </c>
      <c r="D1480" s="14"/>
      <c r="E1480" s="8"/>
      <c r="F1480" s="8"/>
      <c r="G1480" s="8"/>
    </row>
    <row r="1481" customFormat="false" ht="15" hidden="false" customHeight="false" outlineLevel="0" collapsed="false">
      <c r="A1481" s="9"/>
      <c r="B1481" s="8"/>
      <c r="C1481" s="10" t="str">
        <f aca="false">IF(B1481="","",IFERROR(VLOOKUP(B1481,DonHang!$A$2:$C$500,3,FALSE()),"mã đơn chưa có"))</f>
        <v/>
      </c>
      <c r="D1481" s="14"/>
      <c r="E1481" s="8"/>
      <c r="F1481" s="8"/>
      <c r="G1481" s="8"/>
    </row>
    <row r="1482" customFormat="false" ht="15" hidden="false" customHeight="false" outlineLevel="0" collapsed="false">
      <c r="A1482" s="9"/>
      <c r="B1482" s="8"/>
      <c r="C1482" s="10" t="str">
        <f aca="false">IF(B1482="","",IFERROR(VLOOKUP(B1482,DonHang!$A$2:$C$500,3,FALSE()),"mã đơn chưa có"))</f>
        <v/>
      </c>
      <c r="D1482" s="14"/>
      <c r="E1482" s="8"/>
      <c r="F1482" s="8"/>
      <c r="G1482" s="8"/>
    </row>
    <row r="1483" customFormat="false" ht="15" hidden="false" customHeight="false" outlineLevel="0" collapsed="false">
      <c r="A1483" s="9"/>
      <c r="B1483" s="8"/>
      <c r="C1483" s="10" t="str">
        <f aca="false">IF(B1483="","",IFERROR(VLOOKUP(B1483,DonHang!$A$2:$C$500,3,FALSE()),"mã đơn chưa có"))</f>
        <v/>
      </c>
      <c r="D1483" s="14"/>
      <c r="E1483" s="8"/>
      <c r="F1483" s="8"/>
      <c r="G1483" s="8"/>
    </row>
    <row r="1484" customFormat="false" ht="15" hidden="false" customHeight="false" outlineLevel="0" collapsed="false">
      <c r="A1484" s="9"/>
      <c r="B1484" s="8"/>
      <c r="C1484" s="10" t="str">
        <f aca="false">IF(B1484="","",IFERROR(VLOOKUP(B1484,DonHang!$A$2:$C$500,3,FALSE()),"mã đơn chưa có"))</f>
        <v/>
      </c>
      <c r="D1484" s="14"/>
      <c r="E1484" s="8"/>
      <c r="F1484" s="8"/>
      <c r="G1484" s="8"/>
    </row>
    <row r="1485" customFormat="false" ht="15" hidden="false" customHeight="false" outlineLevel="0" collapsed="false">
      <c r="A1485" s="9"/>
      <c r="B1485" s="8"/>
      <c r="C1485" s="10" t="str">
        <f aca="false">IF(B1485="","",IFERROR(VLOOKUP(B1485,DonHang!$A$2:$C$500,3,FALSE()),"mã đơn chưa có"))</f>
        <v/>
      </c>
      <c r="D1485" s="14"/>
      <c r="E1485" s="8"/>
      <c r="F1485" s="8"/>
      <c r="G1485" s="8"/>
    </row>
    <row r="1486" customFormat="false" ht="15" hidden="false" customHeight="false" outlineLevel="0" collapsed="false">
      <c r="A1486" s="9"/>
      <c r="B1486" s="8"/>
      <c r="C1486" s="10" t="str">
        <f aca="false">IF(B1486="","",IFERROR(VLOOKUP(B1486,DonHang!$A$2:$C$500,3,FALSE()),"mã đơn chưa có"))</f>
        <v/>
      </c>
      <c r="D1486" s="14"/>
      <c r="E1486" s="8"/>
      <c r="F1486" s="8"/>
      <c r="G1486" s="8"/>
    </row>
    <row r="1487" customFormat="false" ht="15" hidden="false" customHeight="false" outlineLevel="0" collapsed="false">
      <c r="A1487" s="9"/>
      <c r="B1487" s="8"/>
      <c r="C1487" s="10" t="str">
        <f aca="false">IF(B1487="","",IFERROR(VLOOKUP(B1487,DonHang!$A$2:$C$500,3,FALSE()),"mã đơn chưa có"))</f>
        <v/>
      </c>
      <c r="D1487" s="14"/>
      <c r="E1487" s="8"/>
      <c r="F1487" s="8"/>
      <c r="G1487" s="8"/>
    </row>
    <row r="1488" customFormat="false" ht="15" hidden="false" customHeight="false" outlineLevel="0" collapsed="false">
      <c r="A1488" s="9"/>
      <c r="B1488" s="8"/>
      <c r="C1488" s="10" t="str">
        <f aca="false">IF(B1488="","",IFERROR(VLOOKUP(B1488,DonHang!$A$2:$C$500,3,FALSE()),"mã đơn chưa có"))</f>
        <v/>
      </c>
      <c r="D1488" s="14"/>
      <c r="E1488" s="8"/>
      <c r="F1488" s="8"/>
      <c r="G1488" s="8"/>
    </row>
    <row r="1489" customFormat="false" ht="15" hidden="false" customHeight="false" outlineLevel="0" collapsed="false">
      <c r="A1489" s="9"/>
      <c r="B1489" s="8"/>
      <c r="C1489" s="10" t="str">
        <f aca="false">IF(B1489="","",IFERROR(VLOOKUP(B1489,DonHang!$A$2:$C$500,3,FALSE()),"mã đơn chưa có"))</f>
        <v/>
      </c>
      <c r="D1489" s="14"/>
      <c r="E1489" s="8"/>
      <c r="F1489" s="8"/>
      <c r="G1489" s="8"/>
    </row>
    <row r="1490" customFormat="false" ht="15" hidden="false" customHeight="false" outlineLevel="0" collapsed="false">
      <c r="A1490" s="9"/>
      <c r="B1490" s="8"/>
      <c r="C1490" s="10" t="str">
        <f aca="false">IF(B1490="","",IFERROR(VLOOKUP(B1490,DonHang!$A$2:$C$500,3,FALSE()),"mã đơn chưa có"))</f>
        <v/>
      </c>
      <c r="D1490" s="14"/>
      <c r="E1490" s="8"/>
      <c r="F1490" s="8"/>
      <c r="G1490" s="8"/>
    </row>
    <row r="1491" customFormat="false" ht="15" hidden="false" customHeight="false" outlineLevel="0" collapsed="false">
      <c r="A1491" s="9"/>
      <c r="B1491" s="8"/>
      <c r="C1491" s="10" t="str">
        <f aca="false">IF(B1491="","",IFERROR(VLOOKUP(B1491,DonHang!$A$2:$C$500,3,FALSE()),"mã đơn chưa có"))</f>
        <v/>
      </c>
      <c r="D1491" s="14"/>
      <c r="E1491" s="8"/>
      <c r="F1491" s="8"/>
      <c r="G1491" s="8"/>
    </row>
    <row r="1492" customFormat="false" ht="15" hidden="false" customHeight="false" outlineLevel="0" collapsed="false">
      <c r="A1492" s="9"/>
      <c r="B1492" s="8"/>
      <c r="C1492" s="10" t="str">
        <f aca="false">IF(B1492="","",IFERROR(VLOOKUP(B1492,DonHang!$A$2:$C$500,3,FALSE()),"mã đơn chưa có"))</f>
        <v/>
      </c>
      <c r="D1492" s="14"/>
      <c r="E1492" s="8"/>
      <c r="F1492" s="8"/>
      <c r="G1492" s="8"/>
    </row>
    <row r="1493" customFormat="false" ht="15" hidden="false" customHeight="false" outlineLevel="0" collapsed="false">
      <c r="A1493" s="9"/>
      <c r="B1493" s="8"/>
      <c r="C1493" s="10" t="str">
        <f aca="false">IF(B1493="","",IFERROR(VLOOKUP(B1493,DonHang!$A$2:$C$500,3,FALSE()),"mã đơn chưa có"))</f>
        <v/>
      </c>
      <c r="D1493" s="14"/>
      <c r="E1493" s="8"/>
      <c r="F1493" s="8"/>
      <c r="G1493" s="8"/>
    </row>
    <row r="1494" customFormat="false" ht="15" hidden="false" customHeight="false" outlineLevel="0" collapsed="false">
      <c r="A1494" s="9"/>
      <c r="B1494" s="8"/>
      <c r="C1494" s="10" t="str">
        <f aca="false">IF(B1494="","",IFERROR(VLOOKUP(B1494,DonHang!$A$2:$C$500,3,FALSE()),"mã đơn chưa có"))</f>
        <v/>
      </c>
      <c r="D1494" s="14"/>
      <c r="E1494" s="8"/>
      <c r="F1494" s="8"/>
      <c r="G1494" s="8"/>
    </row>
    <row r="1495" customFormat="false" ht="15" hidden="false" customHeight="false" outlineLevel="0" collapsed="false">
      <c r="A1495" s="9"/>
      <c r="B1495" s="8"/>
      <c r="C1495" s="10" t="str">
        <f aca="false">IF(B1495="","",IFERROR(VLOOKUP(B1495,DonHang!$A$2:$C$500,3,FALSE()),"mã đơn chưa có"))</f>
        <v/>
      </c>
      <c r="D1495" s="14"/>
      <c r="E1495" s="8"/>
      <c r="F1495" s="8"/>
      <c r="G1495" s="8"/>
    </row>
    <row r="1496" customFormat="false" ht="15" hidden="false" customHeight="false" outlineLevel="0" collapsed="false">
      <c r="A1496" s="9"/>
      <c r="B1496" s="8"/>
      <c r="C1496" s="10" t="str">
        <f aca="false">IF(B1496="","",IFERROR(VLOOKUP(B1496,DonHang!$A$2:$C$500,3,FALSE()),"mã đơn chưa có"))</f>
        <v/>
      </c>
      <c r="D1496" s="14"/>
      <c r="E1496" s="8"/>
      <c r="F1496" s="8"/>
      <c r="G1496" s="8"/>
    </row>
    <row r="1497" customFormat="false" ht="15" hidden="false" customHeight="false" outlineLevel="0" collapsed="false">
      <c r="A1497" s="9"/>
      <c r="B1497" s="8"/>
      <c r="C1497" s="10" t="str">
        <f aca="false">IF(B1497="","",IFERROR(VLOOKUP(B1497,DonHang!$A$2:$C$500,3,FALSE()),"mã đơn chưa có"))</f>
        <v/>
      </c>
      <c r="D1497" s="14"/>
      <c r="E1497" s="8"/>
      <c r="F1497" s="8"/>
      <c r="G1497" s="8"/>
    </row>
    <row r="1498" customFormat="false" ht="15" hidden="false" customHeight="false" outlineLevel="0" collapsed="false">
      <c r="A1498" s="9"/>
      <c r="B1498" s="8"/>
      <c r="C1498" s="10" t="str">
        <f aca="false">IF(B1498="","",IFERROR(VLOOKUP(B1498,DonHang!$A$2:$C$500,3,FALSE()),"mã đơn chưa có"))</f>
        <v/>
      </c>
      <c r="D1498" s="14"/>
      <c r="E1498" s="8"/>
      <c r="F1498" s="8"/>
      <c r="G1498" s="8"/>
    </row>
    <row r="1499" customFormat="false" ht="15" hidden="false" customHeight="false" outlineLevel="0" collapsed="false">
      <c r="A1499" s="9"/>
      <c r="B1499" s="8"/>
      <c r="C1499" s="10" t="str">
        <f aca="false">IF(B1499="","",IFERROR(VLOOKUP(B1499,DonHang!$A$2:$C$500,3,FALSE()),"mã đơn chưa có"))</f>
        <v/>
      </c>
      <c r="D1499" s="14"/>
      <c r="E1499" s="8"/>
      <c r="F1499" s="8"/>
      <c r="G1499" s="8"/>
    </row>
    <row r="1500" customFormat="false" ht="15" hidden="false" customHeight="false" outlineLevel="0" collapsed="false">
      <c r="A1500" s="9"/>
      <c r="B1500" s="8"/>
      <c r="C1500" s="10" t="str">
        <f aca="false">IF(B1500="","",IFERROR(VLOOKUP(B1500,DonHang!$A$2:$C$500,3,FALSE()),"mã đơn chưa có"))</f>
        <v/>
      </c>
      <c r="D1500" s="14"/>
      <c r="E1500" s="8"/>
      <c r="F1500" s="8"/>
      <c r="G1500" s="8"/>
    </row>
    <row r="1501" customFormat="false" ht="15" hidden="false" customHeight="false" outlineLevel="0" collapsed="false">
      <c r="A1501" s="9"/>
      <c r="B1501" s="8"/>
      <c r="C1501" s="10" t="str">
        <f aca="false">IF(B1501="","",IFERROR(VLOOKUP(B1501,DonHang!$A$2:$C$500,3,FALSE()),"mã đơn chưa có"))</f>
        <v/>
      </c>
      <c r="D1501" s="14"/>
      <c r="E1501" s="8"/>
      <c r="F1501" s="8"/>
      <c r="G1501" s="8"/>
    </row>
    <row r="1502" customFormat="false" ht="15" hidden="false" customHeight="false" outlineLevel="0" collapsed="false">
      <c r="A1502" s="9"/>
      <c r="B1502" s="8"/>
      <c r="C1502" s="10" t="str">
        <f aca="false">IF(B1502="","",IFERROR(VLOOKUP(B1502,DonHang!$A$2:$C$500,3,FALSE()),"mã đơn chưa có"))</f>
        <v/>
      </c>
      <c r="D1502" s="14"/>
      <c r="E1502" s="8"/>
      <c r="F1502" s="8"/>
      <c r="G1502" s="8"/>
    </row>
    <row r="1503" customFormat="false" ht="15" hidden="false" customHeight="false" outlineLevel="0" collapsed="false">
      <c r="A1503" s="9"/>
      <c r="B1503" s="8"/>
      <c r="C1503" s="10" t="str">
        <f aca="false">IF(B1503="","",IFERROR(VLOOKUP(B1503,DonHang!$A$2:$C$500,3,FALSE()),"mã đơn chưa có"))</f>
        <v/>
      </c>
      <c r="D1503" s="14"/>
      <c r="E1503" s="8"/>
      <c r="F1503" s="8"/>
      <c r="G1503" s="8"/>
    </row>
    <row r="1504" customFormat="false" ht="15" hidden="false" customHeight="false" outlineLevel="0" collapsed="false">
      <c r="A1504" s="9"/>
      <c r="B1504" s="8"/>
      <c r="C1504" s="10" t="str">
        <f aca="false">IF(B1504="","",IFERROR(VLOOKUP(B1504,DonHang!$A$2:$C$500,3,FALSE()),"mã đơn chưa có"))</f>
        <v/>
      </c>
      <c r="D1504" s="14"/>
      <c r="E1504" s="8"/>
      <c r="F1504" s="8"/>
      <c r="G1504" s="8"/>
    </row>
    <row r="1505" customFormat="false" ht="15" hidden="false" customHeight="false" outlineLevel="0" collapsed="false">
      <c r="A1505" s="9"/>
      <c r="B1505" s="8"/>
      <c r="C1505" s="10" t="str">
        <f aca="false">IF(B1505="","",IFERROR(VLOOKUP(B1505,DonHang!$A$2:$C$500,3,FALSE()),"mã đơn chưa có"))</f>
        <v/>
      </c>
      <c r="D1505" s="14"/>
      <c r="E1505" s="8"/>
      <c r="F1505" s="8"/>
      <c r="G1505" s="8"/>
    </row>
    <row r="1506" customFormat="false" ht="15" hidden="false" customHeight="false" outlineLevel="0" collapsed="false">
      <c r="A1506" s="9"/>
      <c r="B1506" s="8"/>
      <c r="C1506" s="10" t="str">
        <f aca="false">IF(B1506="","",IFERROR(VLOOKUP(B1506,DonHang!$A$2:$C$500,3,FALSE()),"mã đơn chưa có"))</f>
        <v/>
      </c>
      <c r="D1506" s="14"/>
      <c r="E1506" s="8"/>
      <c r="F1506" s="8"/>
      <c r="G1506" s="8"/>
    </row>
    <row r="1507" customFormat="false" ht="15" hidden="false" customHeight="false" outlineLevel="0" collapsed="false">
      <c r="A1507" s="9"/>
      <c r="B1507" s="8"/>
      <c r="C1507" s="10" t="str">
        <f aca="false">IF(B1507="","",IFERROR(VLOOKUP(B1507,DonHang!$A$2:$C$500,3,FALSE()),"mã đơn chưa có"))</f>
        <v/>
      </c>
      <c r="D1507" s="14"/>
      <c r="E1507" s="8"/>
      <c r="F1507" s="8"/>
      <c r="G1507" s="8"/>
    </row>
    <row r="1508" customFormat="false" ht="15" hidden="false" customHeight="false" outlineLevel="0" collapsed="false">
      <c r="A1508" s="9"/>
      <c r="B1508" s="8"/>
      <c r="C1508" s="10" t="str">
        <f aca="false">IF(B1508="","",IFERROR(VLOOKUP(B1508,DonHang!$A$2:$C$500,3,FALSE()),"mã đơn chưa có"))</f>
        <v/>
      </c>
      <c r="D1508" s="14"/>
      <c r="E1508" s="8"/>
      <c r="F1508" s="8"/>
      <c r="G1508" s="8"/>
    </row>
    <row r="1509" customFormat="false" ht="15" hidden="false" customHeight="false" outlineLevel="0" collapsed="false">
      <c r="A1509" s="9"/>
      <c r="B1509" s="8"/>
      <c r="C1509" s="10" t="str">
        <f aca="false">IF(B1509="","",IFERROR(VLOOKUP(B1509,DonHang!$A$2:$C$500,3,FALSE()),"mã đơn chưa có"))</f>
        <v/>
      </c>
      <c r="D1509" s="14"/>
      <c r="E1509" s="8"/>
      <c r="F1509" s="8"/>
      <c r="G1509" s="8"/>
    </row>
    <row r="1510" customFormat="false" ht="15" hidden="false" customHeight="false" outlineLevel="0" collapsed="false">
      <c r="A1510" s="9"/>
      <c r="B1510" s="8"/>
      <c r="C1510" s="10" t="str">
        <f aca="false">IF(B1510="","",IFERROR(VLOOKUP(B1510,DonHang!$A$2:$C$500,3,FALSE()),"mã đơn chưa có"))</f>
        <v/>
      </c>
      <c r="D1510" s="14"/>
      <c r="E1510" s="8"/>
      <c r="F1510" s="8"/>
      <c r="G1510" s="8"/>
    </row>
    <row r="1511" customFormat="false" ht="15" hidden="false" customHeight="false" outlineLevel="0" collapsed="false">
      <c r="A1511" s="9"/>
      <c r="B1511" s="8"/>
      <c r="C1511" s="10" t="str">
        <f aca="false">IF(B1511="","",IFERROR(VLOOKUP(B1511,DonHang!$A$2:$C$500,3,FALSE()),"mã đơn chưa có"))</f>
        <v/>
      </c>
      <c r="D1511" s="14"/>
      <c r="E1511" s="8"/>
      <c r="F1511" s="8"/>
      <c r="G1511" s="8"/>
    </row>
    <row r="1512" customFormat="false" ht="15" hidden="false" customHeight="false" outlineLevel="0" collapsed="false">
      <c r="A1512" s="9"/>
      <c r="B1512" s="8"/>
      <c r="C1512" s="10" t="str">
        <f aca="false">IF(B1512="","",IFERROR(VLOOKUP(B1512,DonHang!$A$2:$C$500,3,FALSE()),"mã đơn chưa có"))</f>
        <v/>
      </c>
      <c r="D1512" s="14"/>
      <c r="E1512" s="8"/>
      <c r="F1512" s="8"/>
      <c r="G1512" s="8"/>
    </row>
    <row r="1513" customFormat="false" ht="15" hidden="false" customHeight="false" outlineLevel="0" collapsed="false">
      <c r="A1513" s="9"/>
      <c r="B1513" s="8"/>
      <c r="C1513" s="10" t="str">
        <f aca="false">IF(B1513="","",IFERROR(VLOOKUP(B1513,DonHang!$A$2:$C$500,3,FALSE()),"mã đơn chưa có"))</f>
        <v/>
      </c>
      <c r="D1513" s="14"/>
      <c r="E1513" s="8"/>
      <c r="F1513" s="8"/>
      <c r="G1513" s="8"/>
    </row>
    <row r="1514" customFormat="false" ht="15" hidden="false" customHeight="false" outlineLevel="0" collapsed="false">
      <c r="A1514" s="9"/>
      <c r="B1514" s="8"/>
      <c r="C1514" s="10" t="str">
        <f aca="false">IF(B1514="","",IFERROR(VLOOKUP(B1514,DonHang!$A$2:$C$500,3,FALSE()),"mã đơn chưa có"))</f>
        <v/>
      </c>
      <c r="D1514" s="14"/>
      <c r="E1514" s="8"/>
      <c r="F1514" s="8"/>
      <c r="G1514" s="8"/>
    </row>
    <row r="1515" customFormat="false" ht="15" hidden="false" customHeight="false" outlineLevel="0" collapsed="false">
      <c r="A1515" s="9"/>
      <c r="B1515" s="8"/>
      <c r="C1515" s="10" t="str">
        <f aca="false">IF(B1515="","",IFERROR(VLOOKUP(B1515,DonHang!$A$2:$C$500,3,FALSE()),"mã đơn chưa có"))</f>
        <v/>
      </c>
      <c r="D1515" s="14"/>
      <c r="E1515" s="8"/>
      <c r="F1515" s="8"/>
      <c r="G1515" s="8"/>
    </row>
    <row r="1516" customFormat="false" ht="15" hidden="false" customHeight="false" outlineLevel="0" collapsed="false">
      <c r="A1516" s="9"/>
      <c r="B1516" s="8"/>
      <c r="C1516" s="10" t="str">
        <f aca="false">IF(B1516="","",IFERROR(VLOOKUP(B1516,DonHang!$A$2:$C$500,3,FALSE()),"mã đơn chưa có"))</f>
        <v/>
      </c>
      <c r="D1516" s="14"/>
      <c r="E1516" s="8"/>
      <c r="F1516" s="8"/>
      <c r="G1516" s="8"/>
    </row>
    <row r="1517" customFormat="false" ht="15" hidden="false" customHeight="false" outlineLevel="0" collapsed="false">
      <c r="A1517" s="9"/>
      <c r="B1517" s="8"/>
      <c r="C1517" s="10" t="str">
        <f aca="false">IF(B1517="","",IFERROR(VLOOKUP(B1517,DonHang!$A$2:$C$500,3,FALSE()),"mã đơn chưa có"))</f>
        <v/>
      </c>
      <c r="D1517" s="14"/>
      <c r="E1517" s="8"/>
      <c r="F1517" s="8"/>
      <c r="G1517" s="8"/>
    </row>
    <row r="1518" customFormat="false" ht="15" hidden="false" customHeight="false" outlineLevel="0" collapsed="false">
      <c r="A1518" s="9"/>
      <c r="B1518" s="8"/>
      <c r="C1518" s="10" t="str">
        <f aca="false">IF(B1518="","",IFERROR(VLOOKUP(B1518,DonHang!$A$2:$C$500,3,FALSE()),"mã đơn chưa có"))</f>
        <v/>
      </c>
      <c r="D1518" s="14"/>
      <c r="E1518" s="8"/>
      <c r="F1518" s="8"/>
      <c r="G1518" s="8"/>
    </row>
    <row r="1519" customFormat="false" ht="15" hidden="false" customHeight="false" outlineLevel="0" collapsed="false">
      <c r="A1519" s="9"/>
      <c r="B1519" s="8"/>
      <c r="C1519" s="10" t="str">
        <f aca="false">IF(B1519="","",IFERROR(VLOOKUP(B1519,DonHang!$A$2:$C$500,3,FALSE()),"mã đơn chưa có"))</f>
        <v/>
      </c>
      <c r="D1519" s="14"/>
      <c r="E1519" s="8"/>
      <c r="F1519" s="8"/>
      <c r="G1519" s="8"/>
    </row>
    <row r="1520" customFormat="false" ht="15" hidden="false" customHeight="false" outlineLevel="0" collapsed="false">
      <c r="A1520" s="9"/>
      <c r="B1520" s="8"/>
      <c r="C1520" s="10" t="str">
        <f aca="false">IF(B1520="","",IFERROR(VLOOKUP(B1520,DonHang!$A$2:$C$500,3,FALSE()),"mã đơn chưa có"))</f>
        <v/>
      </c>
      <c r="D1520" s="14"/>
      <c r="E1520" s="8"/>
      <c r="F1520" s="8"/>
      <c r="G1520" s="8"/>
    </row>
    <row r="1521" customFormat="false" ht="15" hidden="false" customHeight="false" outlineLevel="0" collapsed="false">
      <c r="A1521" s="9"/>
      <c r="B1521" s="8"/>
      <c r="C1521" s="10" t="str">
        <f aca="false">IF(B1521="","",IFERROR(VLOOKUP(B1521,DonHang!$A$2:$C$500,3,FALSE()),"mã đơn chưa có"))</f>
        <v/>
      </c>
      <c r="D1521" s="14"/>
      <c r="E1521" s="8"/>
      <c r="F1521" s="8"/>
      <c r="G1521" s="8"/>
    </row>
    <row r="1522" customFormat="false" ht="15" hidden="false" customHeight="false" outlineLevel="0" collapsed="false">
      <c r="A1522" s="9"/>
      <c r="B1522" s="8"/>
      <c r="C1522" s="10" t="str">
        <f aca="false">IF(B1522="","",IFERROR(VLOOKUP(B1522,DonHang!$A$2:$C$500,3,FALSE()),"mã đơn chưa có"))</f>
        <v/>
      </c>
      <c r="D1522" s="14"/>
      <c r="E1522" s="8"/>
      <c r="F1522" s="8"/>
      <c r="G1522" s="8"/>
    </row>
    <row r="1523" customFormat="false" ht="15" hidden="false" customHeight="false" outlineLevel="0" collapsed="false">
      <c r="A1523" s="9"/>
      <c r="B1523" s="8"/>
      <c r="C1523" s="10" t="str">
        <f aca="false">IF(B1523="","",IFERROR(VLOOKUP(B1523,DonHang!$A$2:$C$500,3,FALSE()),"mã đơn chưa có"))</f>
        <v/>
      </c>
      <c r="D1523" s="14"/>
      <c r="E1523" s="8"/>
      <c r="F1523" s="8"/>
      <c r="G1523" s="8"/>
    </row>
    <row r="1524" customFormat="false" ht="15" hidden="false" customHeight="false" outlineLevel="0" collapsed="false">
      <c r="A1524" s="9"/>
      <c r="B1524" s="8"/>
      <c r="C1524" s="10" t="str">
        <f aca="false">IF(B1524="","",IFERROR(VLOOKUP(B1524,DonHang!$A$2:$C$500,3,FALSE()),"mã đơn chưa có"))</f>
        <v/>
      </c>
      <c r="D1524" s="14"/>
      <c r="E1524" s="8"/>
      <c r="F1524" s="8"/>
      <c r="G1524" s="8"/>
    </row>
    <row r="1525" customFormat="false" ht="15" hidden="false" customHeight="false" outlineLevel="0" collapsed="false">
      <c r="A1525" s="9"/>
      <c r="B1525" s="8"/>
      <c r="C1525" s="10" t="str">
        <f aca="false">IF(B1525="","",IFERROR(VLOOKUP(B1525,DonHang!$A$2:$C$500,3,FALSE()),"mã đơn chưa có"))</f>
        <v/>
      </c>
      <c r="D1525" s="14"/>
      <c r="E1525" s="8"/>
      <c r="F1525" s="8"/>
      <c r="G1525" s="8"/>
    </row>
    <row r="1526" customFormat="false" ht="15" hidden="false" customHeight="false" outlineLevel="0" collapsed="false">
      <c r="A1526" s="9"/>
      <c r="B1526" s="8"/>
      <c r="C1526" s="10" t="str">
        <f aca="false">IF(B1526="","",IFERROR(VLOOKUP(B1526,DonHang!$A$2:$C$500,3,FALSE()),"mã đơn chưa có"))</f>
        <v/>
      </c>
      <c r="D1526" s="14"/>
      <c r="E1526" s="8"/>
      <c r="F1526" s="8"/>
      <c r="G1526" s="8"/>
    </row>
    <row r="1527" customFormat="false" ht="15" hidden="false" customHeight="false" outlineLevel="0" collapsed="false">
      <c r="A1527" s="9"/>
      <c r="B1527" s="8"/>
      <c r="C1527" s="10" t="str">
        <f aca="false">IF(B1527="","",IFERROR(VLOOKUP(B1527,DonHang!$A$2:$C$500,3,FALSE()),"mã đơn chưa có"))</f>
        <v/>
      </c>
      <c r="D1527" s="14"/>
      <c r="E1527" s="8"/>
      <c r="F1527" s="8"/>
      <c r="G1527" s="8"/>
    </row>
    <row r="1528" customFormat="false" ht="15" hidden="false" customHeight="false" outlineLevel="0" collapsed="false">
      <c r="A1528" s="9"/>
      <c r="B1528" s="8"/>
      <c r="C1528" s="10" t="str">
        <f aca="false">IF(B1528="","",IFERROR(VLOOKUP(B1528,DonHang!$A$2:$C$500,3,FALSE()),"mã đơn chưa có"))</f>
        <v/>
      </c>
      <c r="D1528" s="14"/>
      <c r="E1528" s="8"/>
      <c r="F1528" s="8"/>
      <c r="G1528" s="8"/>
    </row>
    <row r="1529" customFormat="false" ht="15" hidden="false" customHeight="false" outlineLevel="0" collapsed="false">
      <c r="A1529" s="9"/>
      <c r="B1529" s="8"/>
      <c r="C1529" s="10" t="str">
        <f aca="false">IF(B1529="","",IFERROR(VLOOKUP(B1529,DonHang!$A$2:$C$500,3,FALSE()),"mã đơn chưa có"))</f>
        <v/>
      </c>
      <c r="D1529" s="14"/>
      <c r="E1529" s="8"/>
      <c r="F1529" s="8"/>
      <c r="G1529" s="8"/>
    </row>
    <row r="1530" customFormat="false" ht="15" hidden="false" customHeight="false" outlineLevel="0" collapsed="false">
      <c r="A1530" s="9"/>
      <c r="B1530" s="8"/>
      <c r="C1530" s="10" t="str">
        <f aca="false">IF(B1530="","",IFERROR(VLOOKUP(B1530,DonHang!$A$2:$C$500,3,FALSE()),"mã đơn chưa có"))</f>
        <v/>
      </c>
      <c r="D1530" s="14"/>
      <c r="E1530" s="8"/>
      <c r="F1530" s="8"/>
      <c r="G1530" s="8"/>
    </row>
    <row r="1531" customFormat="false" ht="15" hidden="false" customHeight="false" outlineLevel="0" collapsed="false">
      <c r="A1531" s="9"/>
      <c r="B1531" s="8"/>
      <c r="C1531" s="10" t="str">
        <f aca="false">IF(B1531="","",IFERROR(VLOOKUP(B1531,DonHang!$A$2:$C$500,3,FALSE()),"mã đơn chưa có"))</f>
        <v/>
      </c>
      <c r="D1531" s="14"/>
      <c r="E1531" s="8"/>
      <c r="F1531" s="8"/>
      <c r="G1531" s="8"/>
    </row>
    <row r="1532" customFormat="false" ht="15" hidden="false" customHeight="false" outlineLevel="0" collapsed="false">
      <c r="A1532" s="9"/>
      <c r="B1532" s="8"/>
      <c r="C1532" s="10" t="str">
        <f aca="false">IF(B1532="","",IFERROR(VLOOKUP(B1532,DonHang!$A$2:$C$500,3,FALSE()),"mã đơn chưa có"))</f>
        <v/>
      </c>
      <c r="D1532" s="14"/>
      <c r="E1532" s="8"/>
      <c r="F1532" s="8"/>
      <c r="G1532" s="8"/>
    </row>
    <row r="1533" customFormat="false" ht="15" hidden="false" customHeight="false" outlineLevel="0" collapsed="false">
      <c r="A1533" s="9"/>
      <c r="B1533" s="8"/>
      <c r="C1533" s="10" t="str">
        <f aca="false">IF(B1533="","",IFERROR(VLOOKUP(B1533,DonHang!$A$2:$C$500,3,FALSE()),"mã đơn chưa có"))</f>
        <v/>
      </c>
      <c r="D1533" s="14"/>
      <c r="E1533" s="8"/>
      <c r="F1533" s="8"/>
      <c r="G1533" s="8"/>
    </row>
    <row r="1534" customFormat="false" ht="15" hidden="false" customHeight="false" outlineLevel="0" collapsed="false">
      <c r="A1534" s="9"/>
      <c r="B1534" s="8"/>
      <c r="C1534" s="10" t="str">
        <f aca="false">IF(B1534="","",IFERROR(VLOOKUP(B1534,DonHang!$A$2:$C$500,3,FALSE()),"mã đơn chưa có"))</f>
        <v/>
      </c>
      <c r="D1534" s="14"/>
      <c r="E1534" s="8"/>
      <c r="F1534" s="8"/>
      <c r="G1534" s="8"/>
    </row>
    <row r="1535" customFormat="false" ht="15" hidden="false" customHeight="false" outlineLevel="0" collapsed="false">
      <c r="A1535" s="9"/>
      <c r="B1535" s="8"/>
      <c r="C1535" s="10" t="str">
        <f aca="false">IF(B1535="","",IFERROR(VLOOKUP(B1535,DonHang!$A$2:$C$500,3,FALSE()),"mã đơn chưa có"))</f>
        <v/>
      </c>
      <c r="D1535" s="14"/>
      <c r="E1535" s="8"/>
      <c r="F1535" s="8"/>
      <c r="G1535" s="8"/>
    </row>
    <row r="1536" customFormat="false" ht="15" hidden="false" customHeight="false" outlineLevel="0" collapsed="false">
      <c r="A1536" s="9"/>
      <c r="B1536" s="8"/>
      <c r="C1536" s="10" t="str">
        <f aca="false">IF(B1536="","",IFERROR(VLOOKUP(B1536,DonHang!$A$2:$C$500,3,FALSE()),"mã đơn chưa có"))</f>
        <v/>
      </c>
      <c r="D1536" s="14"/>
      <c r="E1536" s="8"/>
      <c r="F1536" s="8"/>
      <c r="G1536" s="8"/>
    </row>
    <row r="1537" customFormat="false" ht="15" hidden="false" customHeight="false" outlineLevel="0" collapsed="false">
      <c r="A1537" s="9"/>
      <c r="B1537" s="8"/>
      <c r="C1537" s="10" t="str">
        <f aca="false">IF(B1537="","",IFERROR(VLOOKUP(B1537,DonHang!$A$2:$C$500,3,FALSE()),"mã đơn chưa có"))</f>
        <v/>
      </c>
      <c r="D1537" s="14"/>
      <c r="E1537" s="8"/>
      <c r="F1537" s="8"/>
      <c r="G1537" s="8"/>
    </row>
    <row r="1538" customFormat="false" ht="15" hidden="false" customHeight="false" outlineLevel="0" collapsed="false">
      <c r="A1538" s="9"/>
      <c r="B1538" s="8"/>
      <c r="C1538" s="10" t="str">
        <f aca="false">IF(B1538="","",IFERROR(VLOOKUP(B1538,DonHang!$A$2:$C$500,3,FALSE()),"mã đơn chưa có"))</f>
        <v/>
      </c>
      <c r="D1538" s="14"/>
      <c r="E1538" s="8"/>
      <c r="F1538" s="8"/>
      <c r="G1538" s="8"/>
    </row>
    <row r="1539" customFormat="false" ht="15" hidden="false" customHeight="false" outlineLevel="0" collapsed="false">
      <c r="A1539" s="9"/>
      <c r="B1539" s="8"/>
      <c r="C1539" s="10" t="str">
        <f aca="false">IF(B1539="","",IFERROR(VLOOKUP(B1539,DonHang!$A$2:$C$500,3,FALSE()),"mã đơn chưa có"))</f>
        <v/>
      </c>
      <c r="D1539" s="14"/>
      <c r="E1539" s="8"/>
      <c r="F1539" s="8"/>
      <c r="G1539" s="8"/>
    </row>
    <row r="1540" customFormat="false" ht="15" hidden="false" customHeight="false" outlineLevel="0" collapsed="false">
      <c r="A1540" s="9"/>
      <c r="B1540" s="8"/>
      <c r="C1540" s="10" t="str">
        <f aca="false">IF(B1540="","",IFERROR(VLOOKUP(B1540,DonHang!$A$2:$C$500,3,FALSE()),"mã đơn chưa có"))</f>
        <v/>
      </c>
      <c r="D1540" s="14"/>
      <c r="E1540" s="8"/>
      <c r="F1540" s="8"/>
      <c r="G1540" s="8"/>
    </row>
    <row r="1541" customFormat="false" ht="15" hidden="false" customHeight="false" outlineLevel="0" collapsed="false">
      <c r="A1541" s="9"/>
      <c r="B1541" s="8"/>
      <c r="C1541" s="10" t="str">
        <f aca="false">IF(B1541="","",IFERROR(VLOOKUP(B1541,DonHang!$A$2:$C$500,3,FALSE()),"mã đơn chưa có"))</f>
        <v/>
      </c>
      <c r="D1541" s="14"/>
      <c r="E1541" s="8"/>
      <c r="F1541" s="8"/>
      <c r="G1541" s="8"/>
    </row>
    <row r="1542" customFormat="false" ht="15" hidden="false" customHeight="false" outlineLevel="0" collapsed="false">
      <c r="A1542" s="9"/>
      <c r="B1542" s="8"/>
      <c r="C1542" s="10" t="str">
        <f aca="false">IF(B1542="","",IFERROR(VLOOKUP(B1542,DonHang!$A$2:$C$500,3,FALSE()),"mã đơn chưa có"))</f>
        <v/>
      </c>
      <c r="D1542" s="14"/>
      <c r="E1542" s="8"/>
      <c r="F1542" s="8"/>
      <c r="G1542" s="8"/>
    </row>
    <row r="1543" customFormat="false" ht="15" hidden="false" customHeight="false" outlineLevel="0" collapsed="false">
      <c r="A1543" s="9"/>
      <c r="B1543" s="8"/>
      <c r="C1543" s="10" t="str">
        <f aca="false">IF(B1543="","",IFERROR(VLOOKUP(B1543,DonHang!$A$2:$C$500,3,FALSE()),"mã đơn chưa có"))</f>
        <v/>
      </c>
      <c r="D1543" s="14"/>
      <c r="E1543" s="8"/>
      <c r="F1543" s="8"/>
      <c r="G1543" s="8"/>
    </row>
    <row r="1544" customFormat="false" ht="15" hidden="false" customHeight="false" outlineLevel="0" collapsed="false">
      <c r="A1544" s="9"/>
      <c r="B1544" s="8"/>
      <c r="C1544" s="10" t="str">
        <f aca="false">IF(B1544="","",IFERROR(VLOOKUP(B1544,DonHang!$A$2:$C$500,3,FALSE()),"mã đơn chưa có"))</f>
        <v/>
      </c>
      <c r="D1544" s="14"/>
      <c r="E1544" s="8"/>
      <c r="F1544" s="8"/>
      <c r="G1544" s="8"/>
    </row>
    <row r="1545" customFormat="false" ht="15" hidden="false" customHeight="false" outlineLevel="0" collapsed="false">
      <c r="A1545" s="9"/>
      <c r="B1545" s="8"/>
      <c r="C1545" s="10" t="str">
        <f aca="false">IF(B1545="","",IFERROR(VLOOKUP(B1545,DonHang!$A$2:$C$500,3,FALSE()),"mã đơn chưa có"))</f>
        <v/>
      </c>
      <c r="D1545" s="14"/>
      <c r="E1545" s="8"/>
      <c r="F1545" s="8"/>
      <c r="G1545" s="8"/>
    </row>
    <row r="1546" customFormat="false" ht="15" hidden="false" customHeight="false" outlineLevel="0" collapsed="false">
      <c r="A1546" s="9"/>
      <c r="B1546" s="8"/>
      <c r="C1546" s="10" t="str">
        <f aca="false">IF(B1546="","",IFERROR(VLOOKUP(B1546,DonHang!$A$2:$C$500,3,FALSE()),"mã đơn chưa có"))</f>
        <v/>
      </c>
      <c r="D1546" s="14"/>
      <c r="E1546" s="8"/>
      <c r="F1546" s="8"/>
      <c r="G1546" s="8"/>
    </row>
    <row r="1547" customFormat="false" ht="15" hidden="false" customHeight="false" outlineLevel="0" collapsed="false">
      <c r="A1547" s="9"/>
      <c r="B1547" s="8"/>
      <c r="C1547" s="10" t="str">
        <f aca="false">IF(B1547="","",IFERROR(VLOOKUP(B1547,DonHang!$A$2:$C$500,3,FALSE()),"mã đơn chưa có"))</f>
        <v/>
      </c>
      <c r="D1547" s="14"/>
      <c r="E1547" s="8"/>
      <c r="F1547" s="8"/>
      <c r="G1547" s="8"/>
    </row>
    <row r="1548" customFormat="false" ht="15" hidden="false" customHeight="false" outlineLevel="0" collapsed="false">
      <c r="A1548" s="9"/>
      <c r="B1548" s="8"/>
      <c r="C1548" s="10" t="str">
        <f aca="false">IF(B1548="","",IFERROR(VLOOKUP(B1548,DonHang!$A$2:$C$500,3,FALSE()),"mã đơn chưa có"))</f>
        <v/>
      </c>
      <c r="D1548" s="14"/>
      <c r="E1548" s="8"/>
      <c r="F1548" s="8"/>
      <c r="G1548" s="8"/>
    </row>
    <row r="1549" customFormat="false" ht="15" hidden="false" customHeight="false" outlineLevel="0" collapsed="false">
      <c r="A1549" s="9"/>
      <c r="B1549" s="8"/>
      <c r="C1549" s="10" t="str">
        <f aca="false">IF(B1549="","",IFERROR(VLOOKUP(B1549,DonHang!$A$2:$C$500,3,FALSE()),"mã đơn chưa có"))</f>
        <v/>
      </c>
      <c r="D1549" s="14"/>
      <c r="E1549" s="8"/>
      <c r="F1549" s="8"/>
      <c r="G1549" s="8"/>
    </row>
    <row r="1550" customFormat="false" ht="15" hidden="false" customHeight="false" outlineLevel="0" collapsed="false">
      <c r="A1550" s="9"/>
      <c r="B1550" s="8"/>
      <c r="C1550" s="10" t="str">
        <f aca="false">IF(B1550="","",IFERROR(VLOOKUP(B1550,DonHang!$A$2:$C$500,3,FALSE()),"mã đơn chưa có"))</f>
        <v/>
      </c>
      <c r="D1550" s="14"/>
      <c r="E1550" s="8"/>
      <c r="F1550" s="8"/>
      <c r="G1550" s="8"/>
    </row>
    <row r="1551" customFormat="false" ht="15" hidden="false" customHeight="false" outlineLevel="0" collapsed="false">
      <c r="A1551" s="9"/>
      <c r="B1551" s="8"/>
      <c r="C1551" s="10" t="str">
        <f aca="false">IF(B1551="","",IFERROR(VLOOKUP(B1551,DonHang!$A$2:$C$500,3,FALSE()),"mã đơn chưa có"))</f>
        <v/>
      </c>
      <c r="D1551" s="14"/>
      <c r="E1551" s="8"/>
      <c r="F1551" s="8"/>
      <c r="G1551" s="8"/>
    </row>
    <row r="1552" customFormat="false" ht="15" hidden="false" customHeight="false" outlineLevel="0" collapsed="false">
      <c r="A1552" s="9"/>
      <c r="B1552" s="8"/>
      <c r="C1552" s="10" t="str">
        <f aca="false">IF(B1552="","",IFERROR(VLOOKUP(B1552,DonHang!$A$2:$C$500,3,FALSE()),"mã đơn chưa có"))</f>
        <v/>
      </c>
      <c r="D1552" s="14"/>
      <c r="E1552" s="8"/>
      <c r="F1552" s="8"/>
      <c r="G1552" s="8"/>
    </row>
    <row r="1553" customFormat="false" ht="15" hidden="false" customHeight="false" outlineLevel="0" collapsed="false">
      <c r="A1553" s="9"/>
      <c r="B1553" s="8"/>
      <c r="C1553" s="10" t="str">
        <f aca="false">IF(B1553="","",IFERROR(VLOOKUP(B1553,DonHang!$A$2:$C$500,3,FALSE()),"mã đơn chưa có"))</f>
        <v/>
      </c>
      <c r="D1553" s="14"/>
      <c r="E1553" s="8"/>
      <c r="F1553" s="8"/>
      <c r="G1553" s="8"/>
    </row>
    <row r="1554" customFormat="false" ht="15" hidden="false" customHeight="false" outlineLevel="0" collapsed="false">
      <c r="A1554" s="9"/>
      <c r="B1554" s="8"/>
      <c r="C1554" s="10" t="str">
        <f aca="false">IF(B1554="","",IFERROR(VLOOKUP(B1554,DonHang!$A$2:$C$500,3,FALSE()),"mã đơn chưa có"))</f>
        <v/>
      </c>
      <c r="D1554" s="14"/>
      <c r="E1554" s="8"/>
      <c r="F1554" s="8"/>
      <c r="G1554" s="8"/>
    </row>
    <row r="1555" customFormat="false" ht="15" hidden="false" customHeight="false" outlineLevel="0" collapsed="false">
      <c r="A1555" s="9"/>
      <c r="B1555" s="8"/>
      <c r="C1555" s="10" t="str">
        <f aca="false">IF(B1555="","",IFERROR(VLOOKUP(B1555,DonHang!$A$2:$C$500,3,FALSE()),"mã đơn chưa có"))</f>
        <v/>
      </c>
      <c r="D1555" s="14"/>
      <c r="E1555" s="8"/>
      <c r="F1555" s="8"/>
      <c r="G1555" s="8"/>
    </row>
    <row r="1556" customFormat="false" ht="15" hidden="false" customHeight="false" outlineLevel="0" collapsed="false">
      <c r="A1556" s="9"/>
      <c r="B1556" s="8"/>
      <c r="C1556" s="10" t="str">
        <f aca="false">IF(B1556="","",IFERROR(VLOOKUP(B1556,DonHang!$A$2:$C$500,3,FALSE()),"mã đơn chưa có"))</f>
        <v/>
      </c>
      <c r="D1556" s="14"/>
      <c r="E1556" s="8"/>
      <c r="F1556" s="8"/>
      <c r="G1556" s="8"/>
    </row>
    <row r="1557" customFormat="false" ht="15" hidden="false" customHeight="false" outlineLevel="0" collapsed="false">
      <c r="A1557" s="9"/>
      <c r="B1557" s="8"/>
      <c r="C1557" s="10" t="str">
        <f aca="false">IF(B1557="","",IFERROR(VLOOKUP(B1557,DonHang!$A$2:$C$500,3,FALSE()),"mã đơn chưa có"))</f>
        <v/>
      </c>
      <c r="D1557" s="14"/>
      <c r="E1557" s="8"/>
      <c r="F1557" s="8"/>
      <c r="G1557" s="8"/>
    </row>
    <row r="1558" customFormat="false" ht="15" hidden="false" customHeight="false" outlineLevel="0" collapsed="false">
      <c r="A1558" s="9"/>
      <c r="B1558" s="8"/>
      <c r="C1558" s="10" t="str">
        <f aca="false">IF(B1558="","",IFERROR(VLOOKUP(B1558,DonHang!$A$2:$C$500,3,FALSE()),"mã đơn chưa có"))</f>
        <v/>
      </c>
      <c r="D1558" s="14"/>
      <c r="E1558" s="8"/>
      <c r="F1558" s="8"/>
      <c r="G1558" s="8"/>
    </row>
    <row r="1559" customFormat="false" ht="15" hidden="false" customHeight="false" outlineLevel="0" collapsed="false">
      <c r="A1559" s="9"/>
      <c r="B1559" s="8"/>
      <c r="C1559" s="10" t="str">
        <f aca="false">IF(B1559="","",IFERROR(VLOOKUP(B1559,DonHang!$A$2:$C$500,3,FALSE()),"mã đơn chưa có"))</f>
        <v/>
      </c>
      <c r="D1559" s="14"/>
      <c r="E1559" s="8"/>
      <c r="F1559" s="8"/>
      <c r="G1559" s="8"/>
    </row>
    <row r="1560" customFormat="false" ht="15" hidden="false" customHeight="false" outlineLevel="0" collapsed="false">
      <c r="A1560" s="9"/>
      <c r="B1560" s="8"/>
      <c r="C1560" s="10" t="str">
        <f aca="false">IF(B1560="","",IFERROR(VLOOKUP(B1560,DonHang!$A$2:$C$500,3,FALSE()),"mã đơn chưa có"))</f>
        <v/>
      </c>
      <c r="D1560" s="14"/>
      <c r="E1560" s="8"/>
      <c r="F1560" s="8"/>
      <c r="G1560" s="8"/>
    </row>
    <row r="1561" customFormat="false" ht="15" hidden="false" customHeight="false" outlineLevel="0" collapsed="false">
      <c r="A1561" s="9"/>
      <c r="B1561" s="8"/>
      <c r="C1561" s="10" t="str">
        <f aca="false">IF(B1561="","",IFERROR(VLOOKUP(B1561,DonHang!$A$2:$C$500,3,FALSE()),"mã đơn chưa có"))</f>
        <v/>
      </c>
      <c r="D1561" s="14"/>
      <c r="E1561" s="8"/>
      <c r="F1561" s="8"/>
      <c r="G1561" s="8"/>
    </row>
    <row r="1562" customFormat="false" ht="15" hidden="false" customHeight="false" outlineLevel="0" collapsed="false">
      <c r="A1562" s="9"/>
      <c r="B1562" s="8"/>
      <c r="C1562" s="10" t="str">
        <f aca="false">IF(B1562="","",IFERROR(VLOOKUP(B1562,DonHang!$A$2:$C$500,3,FALSE()),"mã đơn chưa có"))</f>
        <v/>
      </c>
      <c r="D1562" s="14"/>
      <c r="E1562" s="8"/>
      <c r="F1562" s="8"/>
      <c r="G1562" s="8"/>
    </row>
    <row r="1563" customFormat="false" ht="15" hidden="false" customHeight="false" outlineLevel="0" collapsed="false">
      <c r="A1563" s="9"/>
      <c r="B1563" s="8"/>
      <c r="C1563" s="10" t="str">
        <f aca="false">IF(B1563="","",IFERROR(VLOOKUP(B1563,DonHang!$A$2:$C$500,3,FALSE()),"mã đơn chưa có"))</f>
        <v/>
      </c>
      <c r="D1563" s="14"/>
      <c r="E1563" s="8"/>
      <c r="F1563" s="8"/>
      <c r="G1563" s="8"/>
    </row>
    <row r="1564" customFormat="false" ht="15" hidden="false" customHeight="false" outlineLevel="0" collapsed="false">
      <c r="A1564" s="9"/>
      <c r="B1564" s="8"/>
      <c r="C1564" s="10" t="str">
        <f aca="false">IF(B1564="","",IFERROR(VLOOKUP(B1564,DonHang!$A$2:$C$500,3,FALSE()),"mã đơn chưa có"))</f>
        <v/>
      </c>
      <c r="D1564" s="14"/>
      <c r="E1564" s="8"/>
      <c r="F1564" s="8"/>
      <c r="G1564" s="8"/>
    </row>
    <row r="1565" customFormat="false" ht="15" hidden="false" customHeight="false" outlineLevel="0" collapsed="false">
      <c r="A1565" s="9"/>
      <c r="B1565" s="8"/>
      <c r="C1565" s="10" t="str">
        <f aca="false">IF(B1565="","",IFERROR(VLOOKUP(B1565,DonHang!$A$2:$C$500,3,FALSE()),"mã đơn chưa có"))</f>
        <v/>
      </c>
      <c r="D1565" s="14"/>
      <c r="E1565" s="8"/>
      <c r="F1565" s="8"/>
      <c r="G1565" s="8"/>
    </row>
    <row r="1566" customFormat="false" ht="15" hidden="false" customHeight="false" outlineLevel="0" collapsed="false">
      <c r="A1566" s="9"/>
      <c r="B1566" s="8"/>
      <c r="C1566" s="10" t="str">
        <f aca="false">IF(B1566="","",IFERROR(VLOOKUP(B1566,DonHang!$A$2:$C$500,3,FALSE()),"mã đơn chưa có"))</f>
        <v/>
      </c>
      <c r="D1566" s="14"/>
      <c r="E1566" s="8"/>
      <c r="F1566" s="8"/>
      <c r="G1566" s="8"/>
    </row>
    <row r="1567" customFormat="false" ht="15" hidden="false" customHeight="false" outlineLevel="0" collapsed="false">
      <c r="A1567" s="9"/>
      <c r="B1567" s="8"/>
      <c r="C1567" s="10" t="str">
        <f aca="false">IF(B1567="","",IFERROR(VLOOKUP(B1567,DonHang!$A$2:$C$500,3,FALSE()),"mã đơn chưa có"))</f>
        <v/>
      </c>
      <c r="D1567" s="14"/>
      <c r="E1567" s="8"/>
      <c r="F1567" s="8"/>
      <c r="G1567" s="8"/>
    </row>
    <row r="1568" customFormat="false" ht="15" hidden="false" customHeight="false" outlineLevel="0" collapsed="false">
      <c r="A1568" s="9"/>
      <c r="B1568" s="8"/>
      <c r="C1568" s="10" t="str">
        <f aca="false">IF(B1568="","",IFERROR(VLOOKUP(B1568,DonHang!$A$2:$C$500,3,FALSE()),"mã đơn chưa có"))</f>
        <v/>
      </c>
      <c r="D1568" s="14"/>
      <c r="E1568" s="8"/>
      <c r="F1568" s="8"/>
      <c r="G1568" s="8"/>
    </row>
    <row r="1569" customFormat="false" ht="15" hidden="false" customHeight="false" outlineLevel="0" collapsed="false">
      <c r="A1569" s="9"/>
      <c r="B1569" s="8"/>
      <c r="C1569" s="10" t="str">
        <f aca="false">IF(B1569="","",IFERROR(VLOOKUP(B1569,DonHang!$A$2:$C$500,3,FALSE()),"mã đơn chưa có"))</f>
        <v/>
      </c>
      <c r="D1569" s="14"/>
      <c r="E1569" s="8"/>
      <c r="F1569" s="8"/>
      <c r="G1569" s="8"/>
    </row>
    <row r="1570" customFormat="false" ht="15" hidden="false" customHeight="false" outlineLevel="0" collapsed="false">
      <c r="A1570" s="9"/>
      <c r="B1570" s="8"/>
      <c r="C1570" s="10" t="str">
        <f aca="false">IF(B1570="","",IFERROR(VLOOKUP(B1570,DonHang!$A$2:$C$500,3,FALSE()),"mã đơn chưa có"))</f>
        <v/>
      </c>
      <c r="D1570" s="14"/>
      <c r="E1570" s="8"/>
      <c r="F1570" s="8"/>
      <c r="G1570" s="8"/>
    </row>
    <row r="1571" customFormat="false" ht="15" hidden="false" customHeight="false" outlineLevel="0" collapsed="false">
      <c r="A1571" s="9"/>
      <c r="B1571" s="8"/>
      <c r="C1571" s="10" t="str">
        <f aca="false">IF(B1571="","",IFERROR(VLOOKUP(B1571,DonHang!$A$2:$C$500,3,FALSE()),"mã đơn chưa có"))</f>
        <v/>
      </c>
      <c r="D1571" s="14"/>
      <c r="E1571" s="8"/>
      <c r="F1571" s="8"/>
      <c r="G1571" s="8"/>
    </row>
    <row r="1572" customFormat="false" ht="15" hidden="false" customHeight="false" outlineLevel="0" collapsed="false">
      <c r="A1572" s="9"/>
      <c r="B1572" s="8"/>
      <c r="C1572" s="10" t="str">
        <f aca="false">IF(B1572="","",IFERROR(VLOOKUP(B1572,DonHang!$A$2:$C$500,3,FALSE()),"mã đơn chưa có"))</f>
        <v/>
      </c>
      <c r="D1572" s="14"/>
      <c r="E1572" s="8"/>
      <c r="F1572" s="8"/>
      <c r="G1572" s="8"/>
    </row>
    <row r="1573" customFormat="false" ht="15" hidden="false" customHeight="false" outlineLevel="0" collapsed="false">
      <c r="A1573" s="9"/>
      <c r="B1573" s="8"/>
      <c r="C1573" s="10" t="str">
        <f aca="false">IF(B1573="","",IFERROR(VLOOKUP(B1573,DonHang!$A$2:$C$500,3,FALSE()),"mã đơn chưa có"))</f>
        <v/>
      </c>
      <c r="D1573" s="14"/>
      <c r="E1573" s="8"/>
      <c r="F1573" s="8"/>
      <c r="G1573" s="8"/>
    </row>
    <row r="1574" customFormat="false" ht="15" hidden="false" customHeight="false" outlineLevel="0" collapsed="false">
      <c r="A1574" s="9"/>
      <c r="B1574" s="8"/>
      <c r="C1574" s="10" t="str">
        <f aca="false">IF(B1574="","",IFERROR(VLOOKUP(B1574,DonHang!$A$2:$C$500,3,FALSE()),"mã đơn chưa có"))</f>
        <v/>
      </c>
      <c r="D1574" s="14"/>
      <c r="E1574" s="8"/>
      <c r="F1574" s="8"/>
      <c r="G1574" s="8"/>
    </row>
    <row r="1575" customFormat="false" ht="15" hidden="false" customHeight="false" outlineLevel="0" collapsed="false">
      <c r="A1575" s="9"/>
      <c r="B1575" s="8"/>
      <c r="C1575" s="10" t="str">
        <f aca="false">IF(B1575="","",IFERROR(VLOOKUP(B1575,DonHang!$A$2:$C$500,3,FALSE()),"mã đơn chưa có"))</f>
        <v/>
      </c>
      <c r="D1575" s="14"/>
      <c r="E1575" s="8"/>
      <c r="F1575" s="8"/>
      <c r="G1575" s="8"/>
    </row>
    <row r="1576" customFormat="false" ht="15" hidden="false" customHeight="false" outlineLevel="0" collapsed="false">
      <c r="A1576" s="9"/>
      <c r="B1576" s="8"/>
      <c r="C1576" s="10" t="str">
        <f aca="false">IF(B1576="","",IFERROR(VLOOKUP(B1576,DonHang!$A$2:$C$500,3,FALSE()),"mã đơn chưa có"))</f>
        <v/>
      </c>
      <c r="D1576" s="14"/>
      <c r="E1576" s="8"/>
      <c r="F1576" s="8"/>
      <c r="G1576" s="8"/>
    </row>
    <row r="1577" customFormat="false" ht="15" hidden="false" customHeight="false" outlineLevel="0" collapsed="false">
      <c r="A1577" s="9"/>
      <c r="B1577" s="8"/>
      <c r="C1577" s="10" t="str">
        <f aca="false">IF(B1577="","",IFERROR(VLOOKUP(B1577,DonHang!$A$2:$C$500,3,FALSE()),"mã đơn chưa có"))</f>
        <v/>
      </c>
      <c r="D1577" s="14"/>
      <c r="E1577" s="8"/>
      <c r="F1577" s="8"/>
      <c r="G1577" s="8"/>
    </row>
    <row r="1578" customFormat="false" ht="15" hidden="false" customHeight="false" outlineLevel="0" collapsed="false">
      <c r="A1578" s="9"/>
      <c r="B1578" s="8"/>
      <c r="C1578" s="10" t="str">
        <f aca="false">IF(B1578="","",IFERROR(VLOOKUP(B1578,DonHang!$A$2:$C$500,3,FALSE()),"mã đơn chưa có"))</f>
        <v/>
      </c>
      <c r="D1578" s="14"/>
      <c r="E1578" s="8"/>
      <c r="F1578" s="8"/>
      <c r="G1578" s="8"/>
    </row>
    <row r="1579" customFormat="false" ht="15" hidden="false" customHeight="false" outlineLevel="0" collapsed="false">
      <c r="A1579" s="9"/>
      <c r="B1579" s="8"/>
      <c r="C1579" s="10" t="str">
        <f aca="false">IF(B1579="","",IFERROR(VLOOKUP(B1579,DonHang!$A$2:$C$500,3,FALSE()),"mã đơn chưa có"))</f>
        <v/>
      </c>
      <c r="D1579" s="14"/>
      <c r="E1579" s="8"/>
      <c r="F1579" s="8"/>
      <c r="G1579" s="8"/>
    </row>
    <row r="1580" customFormat="false" ht="15" hidden="false" customHeight="false" outlineLevel="0" collapsed="false">
      <c r="A1580" s="9"/>
      <c r="B1580" s="8"/>
      <c r="C1580" s="10" t="str">
        <f aca="false">IF(B1580="","",IFERROR(VLOOKUP(B1580,DonHang!$A$2:$C$500,3,FALSE()),"mã đơn chưa có"))</f>
        <v/>
      </c>
      <c r="D1580" s="14"/>
      <c r="E1580" s="8"/>
      <c r="F1580" s="8"/>
      <c r="G1580" s="8"/>
    </row>
    <row r="1581" customFormat="false" ht="15" hidden="false" customHeight="false" outlineLevel="0" collapsed="false">
      <c r="A1581" s="9"/>
      <c r="B1581" s="8"/>
      <c r="C1581" s="10" t="str">
        <f aca="false">IF(B1581="","",IFERROR(VLOOKUP(B1581,DonHang!$A$2:$C$500,3,FALSE()),"mã đơn chưa có"))</f>
        <v/>
      </c>
      <c r="D1581" s="14"/>
      <c r="E1581" s="8"/>
      <c r="F1581" s="8"/>
      <c r="G1581" s="8"/>
    </row>
    <row r="1582" customFormat="false" ht="15" hidden="false" customHeight="false" outlineLevel="0" collapsed="false">
      <c r="A1582" s="9"/>
      <c r="B1582" s="8"/>
      <c r="C1582" s="10" t="str">
        <f aca="false">IF(B1582="","",IFERROR(VLOOKUP(B1582,DonHang!$A$2:$C$500,3,FALSE()),"mã đơn chưa có"))</f>
        <v/>
      </c>
      <c r="D1582" s="14"/>
      <c r="E1582" s="8"/>
      <c r="F1582" s="8"/>
      <c r="G1582" s="8"/>
    </row>
    <row r="1583" customFormat="false" ht="15" hidden="false" customHeight="false" outlineLevel="0" collapsed="false">
      <c r="A1583" s="9"/>
      <c r="B1583" s="8"/>
      <c r="C1583" s="10" t="str">
        <f aca="false">IF(B1583="","",IFERROR(VLOOKUP(B1583,DonHang!$A$2:$C$500,3,FALSE()),"mã đơn chưa có"))</f>
        <v/>
      </c>
      <c r="D1583" s="14"/>
      <c r="E1583" s="8"/>
      <c r="F1583" s="8"/>
      <c r="G1583" s="8"/>
    </row>
    <row r="1584" customFormat="false" ht="15" hidden="false" customHeight="false" outlineLevel="0" collapsed="false">
      <c r="A1584" s="9"/>
      <c r="B1584" s="8"/>
      <c r="C1584" s="10" t="str">
        <f aca="false">IF(B1584="","",IFERROR(VLOOKUP(B1584,DonHang!$A$2:$C$500,3,FALSE()),"mã đơn chưa có"))</f>
        <v/>
      </c>
      <c r="D1584" s="14"/>
      <c r="E1584" s="8"/>
      <c r="F1584" s="8"/>
      <c r="G1584" s="8"/>
    </row>
    <row r="1585" customFormat="false" ht="15" hidden="false" customHeight="false" outlineLevel="0" collapsed="false">
      <c r="A1585" s="9"/>
      <c r="B1585" s="8"/>
      <c r="C1585" s="10" t="str">
        <f aca="false">IF(B1585="","",IFERROR(VLOOKUP(B1585,DonHang!$A$2:$C$500,3,FALSE()),"mã đơn chưa có"))</f>
        <v/>
      </c>
      <c r="D1585" s="14"/>
      <c r="E1585" s="8"/>
      <c r="F1585" s="8"/>
      <c r="G1585" s="8"/>
    </row>
    <row r="1586" customFormat="false" ht="15" hidden="false" customHeight="false" outlineLevel="0" collapsed="false">
      <c r="A1586" s="9"/>
      <c r="B1586" s="8"/>
      <c r="C1586" s="10" t="str">
        <f aca="false">IF(B1586="","",IFERROR(VLOOKUP(B1586,DonHang!$A$2:$C$500,3,FALSE()),"mã đơn chưa có"))</f>
        <v/>
      </c>
      <c r="D1586" s="14"/>
      <c r="E1586" s="8"/>
      <c r="F1586" s="8"/>
      <c r="G1586" s="8"/>
    </row>
    <row r="1587" customFormat="false" ht="15" hidden="false" customHeight="false" outlineLevel="0" collapsed="false">
      <c r="A1587" s="9"/>
      <c r="B1587" s="8"/>
      <c r="C1587" s="10" t="str">
        <f aca="false">IF(B1587="","",IFERROR(VLOOKUP(B1587,DonHang!$A$2:$C$500,3,FALSE()),"mã đơn chưa có"))</f>
        <v/>
      </c>
      <c r="D1587" s="14"/>
      <c r="E1587" s="8"/>
      <c r="F1587" s="8"/>
      <c r="G1587" s="8"/>
    </row>
    <row r="1588" customFormat="false" ht="15" hidden="false" customHeight="false" outlineLevel="0" collapsed="false">
      <c r="A1588" s="9"/>
      <c r="B1588" s="8"/>
      <c r="C1588" s="10" t="str">
        <f aca="false">IF(B1588="","",IFERROR(VLOOKUP(B1588,DonHang!$A$2:$C$500,3,FALSE()),"mã đơn chưa có"))</f>
        <v/>
      </c>
      <c r="D1588" s="14"/>
      <c r="E1588" s="8"/>
      <c r="F1588" s="8"/>
      <c r="G1588" s="8"/>
    </row>
    <row r="1589" customFormat="false" ht="15" hidden="false" customHeight="false" outlineLevel="0" collapsed="false">
      <c r="A1589" s="9"/>
      <c r="B1589" s="8"/>
      <c r="C1589" s="10" t="str">
        <f aca="false">IF(B1589="","",IFERROR(VLOOKUP(B1589,DonHang!$A$2:$C$500,3,FALSE()),"mã đơn chưa có"))</f>
        <v/>
      </c>
      <c r="D1589" s="14"/>
      <c r="E1589" s="8"/>
      <c r="F1589" s="8"/>
      <c r="G1589" s="8"/>
    </row>
    <row r="1590" customFormat="false" ht="15" hidden="false" customHeight="false" outlineLevel="0" collapsed="false">
      <c r="A1590" s="9"/>
      <c r="B1590" s="8"/>
      <c r="C1590" s="10" t="str">
        <f aca="false">IF(B1590="","",IFERROR(VLOOKUP(B1590,DonHang!$A$2:$C$500,3,FALSE()),"mã đơn chưa có"))</f>
        <v/>
      </c>
      <c r="D1590" s="14"/>
      <c r="E1590" s="8"/>
      <c r="F1590" s="8"/>
      <c r="G1590" s="8"/>
    </row>
    <row r="1591" customFormat="false" ht="15" hidden="false" customHeight="false" outlineLevel="0" collapsed="false">
      <c r="A1591" s="9"/>
      <c r="B1591" s="8"/>
      <c r="C1591" s="10" t="str">
        <f aca="false">IF(B1591="","",IFERROR(VLOOKUP(B1591,DonHang!$A$2:$C$500,3,FALSE()),"mã đơn chưa có"))</f>
        <v/>
      </c>
      <c r="D1591" s="14"/>
      <c r="E1591" s="8"/>
      <c r="F1591" s="8"/>
      <c r="G1591" s="8"/>
    </row>
    <row r="1592" customFormat="false" ht="15" hidden="false" customHeight="false" outlineLevel="0" collapsed="false">
      <c r="A1592" s="9"/>
      <c r="B1592" s="8"/>
      <c r="C1592" s="10" t="str">
        <f aca="false">IF(B1592="","",IFERROR(VLOOKUP(B1592,DonHang!$A$2:$C$500,3,FALSE()),"mã đơn chưa có"))</f>
        <v/>
      </c>
      <c r="D1592" s="14"/>
      <c r="E1592" s="8"/>
      <c r="F1592" s="8"/>
      <c r="G1592" s="8"/>
    </row>
    <row r="1593" customFormat="false" ht="15" hidden="false" customHeight="false" outlineLevel="0" collapsed="false">
      <c r="A1593" s="9"/>
      <c r="B1593" s="8"/>
      <c r="C1593" s="10" t="str">
        <f aca="false">IF(B1593="","",IFERROR(VLOOKUP(B1593,DonHang!$A$2:$C$500,3,FALSE()),"mã đơn chưa có"))</f>
        <v/>
      </c>
      <c r="D1593" s="14"/>
      <c r="E1593" s="8"/>
      <c r="F1593" s="8"/>
      <c r="G1593" s="8"/>
    </row>
    <row r="1594" customFormat="false" ht="15" hidden="false" customHeight="false" outlineLevel="0" collapsed="false">
      <c r="A1594" s="9"/>
      <c r="B1594" s="8"/>
      <c r="C1594" s="10" t="str">
        <f aca="false">IF(B1594="","",IFERROR(VLOOKUP(B1594,DonHang!$A$2:$C$500,3,FALSE()),"mã đơn chưa có"))</f>
        <v/>
      </c>
      <c r="D1594" s="14"/>
      <c r="E1594" s="8"/>
      <c r="F1594" s="8"/>
      <c r="G1594" s="8"/>
    </row>
    <row r="1595" customFormat="false" ht="15" hidden="false" customHeight="false" outlineLevel="0" collapsed="false">
      <c r="A1595" s="9"/>
      <c r="B1595" s="8"/>
      <c r="C1595" s="10" t="str">
        <f aca="false">IF(B1595="","",IFERROR(VLOOKUP(B1595,DonHang!$A$2:$C$500,3,FALSE()),"mã đơn chưa có"))</f>
        <v/>
      </c>
      <c r="D1595" s="14"/>
      <c r="E1595" s="8"/>
      <c r="F1595" s="8"/>
      <c r="G1595" s="8"/>
    </row>
    <row r="1596" customFormat="false" ht="15" hidden="false" customHeight="false" outlineLevel="0" collapsed="false">
      <c r="A1596" s="9"/>
      <c r="B1596" s="8"/>
      <c r="C1596" s="10" t="str">
        <f aca="false">IF(B1596="","",IFERROR(VLOOKUP(B1596,DonHang!$A$2:$C$500,3,FALSE()),"mã đơn chưa có"))</f>
        <v/>
      </c>
      <c r="D1596" s="14"/>
      <c r="E1596" s="8"/>
      <c r="F1596" s="8"/>
      <c r="G1596" s="8"/>
    </row>
    <row r="1597" customFormat="false" ht="15" hidden="false" customHeight="false" outlineLevel="0" collapsed="false">
      <c r="A1597" s="9"/>
      <c r="B1597" s="8"/>
      <c r="C1597" s="10" t="str">
        <f aca="false">IF(B1597="","",IFERROR(VLOOKUP(B1597,DonHang!$A$2:$C$500,3,FALSE()),"mã đơn chưa có"))</f>
        <v/>
      </c>
      <c r="D1597" s="14"/>
      <c r="E1597" s="8"/>
      <c r="F1597" s="8"/>
      <c r="G1597" s="8"/>
    </row>
    <row r="1598" customFormat="false" ht="15" hidden="false" customHeight="false" outlineLevel="0" collapsed="false">
      <c r="A1598" s="9"/>
      <c r="B1598" s="8"/>
      <c r="C1598" s="10" t="str">
        <f aca="false">IF(B1598="","",IFERROR(VLOOKUP(B1598,DonHang!$A$2:$C$500,3,FALSE()),"mã đơn chưa có"))</f>
        <v/>
      </c>
      <c r="D1598" s="14"/>
      <c r="E1598" s="8"/>
      <c r="F1598" s="8"/>
      <c r="G1598" s="8"/>
    </row>
    <row r="1599" customFormat="false" ht="15" hidden="false" customHeight="false" outlineLevel="0" collapsed="false">
      <c r="A1599" s="9"/>
      <c r="B1599" s="8"/>
      <c r="C1599" s="10" t="str">
        <f aca="false">IF(B1599="","",IFERROR(VLOOKUP(B1599,DonHang!$A$2:$C$500,3,FALSE()),"mã đơn chưa có"))</f>
        <v/>
      </c>
      <c r="D1599" s="14"/>
      <c r="E1599" s="8"/>
      <c r="F1599" s="8"/>
      <c r="G1599" s="8"/>
    </row>
    <row r="1600" customFormat="false" ht="15" hidden="false" customHeight="false" outlineLevel="0" collapsed="false">
      <c r="A1600" s="9"/>
      <c r="B1600" s="8"/>
      <c r="C1600" s="10" t="str">
        <f aca="false">IF(B1600="","",IFERROR(VLOOKUP(B1600,DonHang!$A$2:$C$500,3,FALSE()),"mã đơn chưa có"))</f>
        <v/>
      </c>
      <c r="D1600" s="14"/>
      <c r="E1600" s="8"/>
      <c r="F1600" s="8"/>
      <c r="G1600" s="8"/>
    </row>
    <row r="1601" customFormat="false" ht="15" hidden="false" customHeight="false" outlineLevel="0" collapsed="false">
      <c r="A1601" s="9"/>
      <c r="B1601" s="8"/>
      <c r="C1601" s="10" t="str">
        <f aca="false">IF(B1601="","",IFERROR(VLOOKUP(B1601,DonHang!$A$2:$C$500,3,FALSE()),"mã đơn chưa có"))</f>
        <v/>
      </c>
      <c r="D1601" s="14"/>
      <c r="E1601" s="8"/>
      <c r="F1601" s="8"/>
      <c r="G1601" s="8"/>
    </row>
    <row r="1602" customFormat="false" ht="15" hidden="false" customHeight="false" outlineLevel="0" collapsed="false">
      <c r="A1602" s="9"/>
      <c r="B1602" s="8"/>
      <c r="C1602" s="10" t="str">
        <f aca="false">IF(B1602="","",IFERROR(VLOOKUP(B1602,DonHang!$A$2:$C$500,3,FALSE()),"mã đơn chưa có"))</f>
        <v/>
      </c>
      <c r="D1602" s="14"/>
      <c r="E1602" s="8"/>
      <c r="F1602" s="8"/>
      <c r="G1602" s="8"/>
    </row>
    <row r="1603" customFormat="false" ht="15" hidden="false" customHeight="false" outlineLevel="0" collapsed="false">
      <c r="A1603" s="9"/>
      <c r="B1603" s="8"/>
      <c r="C1603" s="10" t="str">
        <f aca="false">IF(B1603="","",IFERROR(VLOOKUP(B1603,DonHang!$A$2:$C$500,3,FALSE()),"mã đơn chưa có"))</f>
        <v/>
      </c>
      <c r="D1603" s="14"/>
      <c r="E1603" s="8"/>
      <c r="F1603" s="8"/>
      <c r="G1603" s="8"/>
    </row>
    <row r="1604" customFormat="false" ht="15" hidden="false" customHeight="false" outlineLevel="0" collapsed="false">
      <c r="A1604" s="9"/>
      <c r="B1604" s="8"/>
      <c r="C1604" s="10" t="str">
        <f aca="false">IF(B1604="","",IFERROR(VLOOKUP(B1604,DonHang!$A$2:$C$500,3,FALSE()),"mã đơn chưa có"))</f>
        <v/>
      </c>
      <c r="D1604" s="14"/>
      <c r="E1604" s="8"/>
      <c r="F1604" s="8"/>
      <c r="G1604" s="8"/>
    </row>
    <row r="1605" customFormat="false" ht="15" hidden="false" customHeight="false" outlineLevel="0" collapsed="false">
      <c r="A1605" s="9"/>
      <c r="B1605" s="8"/>
      <c r="C1605" s="10" t="str">
        <f aca="false">IF(B1605="","",IFERROR(VLOOKUP(B1605,DonHang!$A$2:$C$500,3,FALSE()),"mã đơn chưa có"))</f>
        <v/>
      </c>
      <c r="D1605" s="14"/>
      <c r="E1605" s="8"/>
      <c r="F1605" s="8"/>
      <c r="G1605" s="8"/>
    </row>
    <row r="1606" customFormat="false" ht="15" hidden="false" customHeight="false" outlineLevel="0" collapsed="false">
      <c r="A1606" s="9"/>
      <c r="B1606" s="8"/>
      <c r="C1606" s="10" t="str">
        <f aca="false">IF(B1606="","",IFERROR(VLOOKUP(B1606,DonHang!$A$2:$C$500,3,FALSE()),"mã đơn chưa có"))</f>
        <v/>
      </c>
      <c r="D1606" s="14"/>
      <c r="E1606" s="8"/>
      <c r="F1606" s="8"/>
      <c r="G1606" s="8"/>
    </row>
    <row r="1607" customFormat="false" ht="15" hidden="false" customHeight="false" outlineLevel="0" collapsed="false">
      <c r="A1607" s="9"/>
      <c r="B1607" s="8"/>
      <c r="C1607" s="10" t="str">
        <f aca="false">IF(B1607="","",IFERROR(VLOOKUP(B1607,DonHang!$A$2:$C$500,3,FALSE()),"mã đơn chưa có"))</f>
        <v/>
      </c>
      <c r="D1607" s="14"/>
      <c r="E1607" s="8"/>
      <c r="F1607" s="8"/>
      <c r="G1607" s="8"/>
    </row>
    <row r="1608" customFormat="false" ht="15" hidden="false" customHeight="false" outlineLevel="0" collapsed="false">
      <c r="A1608" s="9"/>
      <c r="B1608" s="8"/>
      <c r="C1608" s="10" t="str">
        <f aca="false">IF(B1608="","",IFERROR(VLOOKUP(B1608,DonHang!$A$2:$C$500,3,FALSE()),"mã đơn chưa có"))</f>
        <v/>
      </c>
      <c r="D1608" s="14"/>
      <c r="E1608" s="8"/>
      <c r="F1608" s="8"/>
      <c r="G1608" s="8"/>
    </row>
    <row r="1609" customFormat="false" ht="15" hidden="false" customHeight="false" outlineLevel="0" collapsed="false">
      <c r="A1609" s="9"/>
      <c r="B1609" s="8"/>
      <c r="C1609" s="10" t="str">
        <f aca="false">IF(B1609="","",IFERROR(VLOOKUP(B1609,DonHang!$A$2:$C$500,3,FALSE()),"mã đơn chưa có"))</f>
        <v/>
      </c>
      <c r="D1609" s="14"/>
      <c r="E1609" s="8"/>
      <c r="F1609" s="8"/>
      <c r="G1609" s="8"/>
    </row>
    <row r="1610" customFormat="false" ht="15" hidden="false" customHeight="false" outlineLevel="0" collapsed="false">
      <c r="A1610" s="9"/>
      <c r="B1610" s="8"/>
      <c r="C1610" s="10" t="str">
        <f aca="false">IF(B1610="","",IFERROR(VLOOKUP(B1610,DonHang!$A$2:$C$500,3,FALSE()),"mã đơn chưa có"))</f>
        <v/>
      </c>
      <c r="D1610" s="14"/>
      <c r="E1610" s="8"/>
      <c r="F1610" s="8"/>
      <c r="G1610" s="8"/>
    </row>
    <row r="1611" customFormat="false" ht="15" hidden="false" customHeight="false" outlineLevel="0" collapsed="false">
      <c r="A1611" s="9"/>
      <c r="B1611" s="8"/>
      <c r="C1611" s="10" t="str">
        <f aca="false">IF(B1611="","",IFERROR(VLOOKUP(B1611,DonHang!$A$2:$C$500,3,FALSE()),"mã đơn chưa có"))</f>
        <v/>
      </c>
      <c r="D1611" s="14"/>
      <c r="E1611" s="8"/>
      <c r="F1611" s="8"/>
      <c r="G1611" s="8"/>
    </row>
    <row r="1612" customFormat="false" ht="15" hidden="false" customHeight="false" outlineLevel="0" collapsed="false">
      <c r="A1612" s="9"/>
      <c r="B1612" s="8"/>
      <c r="C1612" s="10" t="str">
        <f aca="false">IF(B1612="","",IFERROR(VLOOKUP(B1612,DonHang!$A$2:$C$500,3,FALSE()),"mã đơn chưa có"))</f>
        <v/>
      </c>
      <c r="D1612" s="14"/>
      <c r="E1612" s="8"/>
      <c r="F1612" s="8"/>
      <c r="G1612" s="8"/>
    </row>
    <row r="1613" customFormat="false" ht="15" hidden="false" customHeight="false" outlineLevel="0" collapsed="false">
      <c r="A1613" s="9"/>
      <c r="B1613" s="8"/>
      <c r="C1613" s="10" t="str">
        <f aca="false">IF(B1613="","",IFERROR(VLOOKUP(B1613,DonHang!$A$2:$C$500,3,FALSE()),"mã đơn chưa có"))</f>
        <v/>
      </c>
      <c r="D1613" s="14"/>
      <c r="E1613" s="8"/>
      <c r="F1613" s="8"/>
      <c r="G1613" s="8"/>
    </row>
    <row r="1614" customFormat="false" ht="15" hidden="false" customHeight="false" outlineLevel="0" collapsed="false">
      <c r="A1614" s="9"/>
      <c r="B1614" s="8"/>
      <c r="C1614" s="10" t="str">
        <f aca="false">IF(B1614="","",IFERROR(VLOOKUP(B1614,DonHang!$A$2:$C$500,3,FALSE()),"mã đơn chưa có"))</f>
        <v/>
      </c>
      <c r="D1614" s="14"/>
      <c r="E1614" s="8"/>
      <c r="F1614" s="8"/>
      <c r="G1614" s="8"/>
    </row>
    <row r="1615" customFormat="false" ht="15" hidden="false" customHeight="false" outlineLevel="0" collapsed="false">
      <c r="A1615" s="9"/>
      <c r="B1615" s="8"/>
      <c r="C1615" s="10" t="str">
        <f aca="false">IF(B1615="","",IFERROR(VLOOKUP(B1615,DonHang!$A$2:$C$500,3,FALSE()),"mã đơn chưa có"))</f>
        <v/>
      </c>
      <c r="D1615" s="14"/>
      <c r="E1615" s="8"/>
      <c r="F1615" s="8"/>
      <c r="G1615" s="8"/>
    </row>
    <row r="1616" customFormat="false" ht="15" hidden="false" customHeight="false" outlineLevel="0" collapsed="false">
      <c r="A1616" s="9"/>
      <c r="B1616" s="8"/>
      <c r="C1616" s="10" t="str">
        <f aca="false">IF(B1616="","",IFERROR(VLOOKUP(B1616,DonHang!$A$2:$C$500,3,FALSE()),"mã đơn chưa có"))</f>
        <v/>
      </c>
      <c r="D1616" s="14"/>
      <c r="E1616" s="8"/>
      <c r="F1616" s="8"/>
      <c r="G1616" s="8"/>
    </row>
    <row r="1617" customFormat="false" ht="15" hidden="false" customHeight="false" outlineLevel="0" collapsed="false">
      <c r="A1617" s="9"/>
      <c r="B1617" s="8"/>
      <c r="C1617" s="10" t="str">
        <f aca="false">IF(B1617="","",IFERROR(VLOOKUP(B1617,DonHang!$A$2:$C$500,3,FALSE()),"mã đơn chưa có"))</f>
        <v/>
      </c>
      <c r="D1617" s="14"/>
      <c r="E1617" s="8"/>
      <c r="F1617" s="8"/>
      <c r="G1617" s="8"/>
    </row>
    <row r="1618" customFormat="false" ht="15" hidden="false" customHeight="false" outlineLevel="0" collapsed="false">
      <c r="A1618" s="9"/>
      <c r="B1618" s="8"/>
      <c r="C1618" s="10" t="str">
        <f aca="false">IF(B1618="","",IFERROR(VLOOKUP(B1618,DonHang!$A$2:$C$500,3,FALSE()),"mã đơn chưa có"))</f>
        <v/>
      </c>
      <c r="D1618" s="14"/>
      <c r="E1618" s="8"/>
      <c r="F1618" s="8"/>
      <c r="G1618" s="8"/>
    </row>
    <row r="1619" customFormat="false" ht="15" hidden="false" customHeight="false" outlineLevel="0" collapsed="false">
      <c r="A1619" s="9"/>
      <c r="B1619" s="8"/>
      <c r="C1619" s="10" t="str">
        <f aca="false">IF(B1619="","",IFERROR(VLOOKUP(B1619,DonHang!$A$2:$C$500,3,FALSE()),"mã đơn chưa có"))</f>
        <v/>
      </c>
      <c r="D1619" s="14"/>
      <c r="E1619" s="8"/>
      <c r="F1619" s="8"/>
      <c r="G1619" s="8"/>
    </row>
    <row r="1620" customFormat="false" ht="15" hidden="false" customHeight="false" outlineLevel="0" collapsed="false">
      <c r="A1620" s="9"/>
      <c r="B1620" s="8"/>
      <c r="C1620" s="10" t="str">
        <f aca="false">IF(B1620="","",IFERROR(VLOOKUP(B1620,DonHang!$A$2:$C$500,3,FALSE()),"mã đơn chưa có"))</f>
        <v/>
      </c>
      <c r="D1620" s="14"/>
      <c r="E1620" s="8"/>
      <c r="F1620" s="8"/>
      <c r="G1620" s="8"/>
    </row>
    <row r="1621" customFormat="false" ht="15" hidden="false" customHeight="false" outlineLevel="0" collapsed="false">
      <c r="A1621" s="9"/>
      <c r="B1621" s="8"/>
      <c r="C1621" s="10" t="str">
        <f aca="false">IF(B1621="","",IFERROR(VLOOKUP(B1621,DonHang!$A$2:$C$500,3,FALSE()),"mã đơn chưa có"))</f>
        <v/>
      </c>
      <c r="D1621" s="14"/>
      <c r="E1621" s="8"/>
      <c r="F1621" s="8"/>
      <c r="G1621" s="8"/>
    </row>
    <row r="1622" customFormat="false" ht="15" hidden="false" customHeight="false" outlineLevel="0" collapsed="false">
      <c r="A1622" s="9"/>
      <c r="B1622" s="8"/>
      <c r="C1622" s="10" t="str">
        <f aca="false">IF(B1622="","",IFERROR(VLOOKUP(B1622,DonHang!$A$2:$C$500,3,FALSE()),"mã đơn chưa có"))</f>
        <v/>
      </c>
      <c r="D1622" s="14"/>
      <c r="E1622" s="8"/>
      <c r="F1622" s="8"/>
      <c r="G1622" s="8"/>
    </row>
    <row r="1623" customFormat="false" ht="15" hidden="false" customHeight="false" outlineLevel="0" collapsed="false">
      <c r="A1623" s="9"/>
      <c r="B1623" s="8"/>
      <c r="C1623" s="10" t="str">
        <f aca="false">IF(B1623="","",IFERROR(VLOOKUP(B1623,DonHang!$A$2:$C$500,3,FALSE()),"mã đơn chưa có"))</f>
        <v/>
      </c>
      <c r="D1623" s="14"/>
      <c r="E1623" s="8"/>
      <c r="F1623" s="8"/>
      <c r="G1623" s="8"/>
    </row>
    <row r="1624" customFormat="false" ht="15" hidden="false" customHeight="false" outlineLevel="0" collapsed="false">
      <c r="A1624" s="9"/>
      <c r="B1624" s="8"/>
      <c r="C1624" s="10" t="str">
        <f aca="false">IF(B1624="","",IFERROR(VLOOKUP(B1624,DonHang!$A$2:$C$500,3,FALSE()),"mã đơn chưa có"))</f>
        <v/>
      </c>
      <c r="D1624" s="14"/>
      <c r="E1624" s="8"/>
      <c r="F1624" s="8"/>
      <c r="G1624" s="8"/>
    </row>
    <row r="1625" customFormat="false" ht="15" hidden="false" customHeight="false" outlineLevel="0" collapsed="false">
      <c r="A1625" s="9"/>
      <c r="B1625" s="8"/>
      <c r="C1625" s="10" t="str">
        <f aca="false">IF(B1625="","",IFERROR(VLOOKUP(B1625,DonHang!$A$2:$C$500,3,FALSE()),"mã đơn chưa có"))</f>
        <v/>
      </c>
      <c r="D1625" s="14"/>
      <c r="E1625" s="8"/>
      <c r="F1625" s="8"/>
      <c r="G1625" s="8"/>
    </row>
    <row r="1626" customFormat="false" ht="15" hidden="false" customHeight="false" outlineLevel="0" collapsed="false">
      <c r="A1626" s="9"/>
      <c r="B1626" s="8"/>
      <c r="C1626" s="10" t="str">
        <f aca="false">IF(B1626="","",IFERROR(VLOOKUP(B1626,DonHang!$A$2:$C$500,3,FALSE()),"mã đơn chưa có"))</f>
        <v/>
      </c>
      <c r="D1626" s="14"/>
      <c r="E1626" s="8"/>
      <c r="F1626" s="8"/>
      <c r="G1626" s="8"/>
    </row>
    <row r="1627" customFormat="false" ht="15" hidden="false" customHeight="false" outlineLevel="0" collapsed="false">
      <c r="A1627" s="9"/>
      <c r="B1627" s="8"/>
      <c r="C1627" s="10" t="str">
        <f aca="false">IF(B1627="","",IFERROR(VLOOKUP(B1627,DonHang!$A$2:$C$500,3,FALSE()),"mã đơn chưa có"))</f>
        <v/>
      </c>
      <c r="D1627" s="14"/>
      <c r="E1627" s="8"/>
      <c r="F1627" s="8"/>
      <c r="G1627" s="8"/>
    </row>
    <row r="1628" customFormat="false" ht="15" hidden="false" customHeight="false" outlineLevel="0" collapsed="false">
      <c r="A1628" s="9"/>
      <c r="B1628" s="8"/>
      <c r="C1628" s="10" t="str">
        <f aca="false">IF(B1628="","",IFERROR(VLOOKUP(B1628,DonHang!$A$2:$C$500,3,FALSE()),"mã đơn chưa có"))</f>
        <v/>
      </c>
      <c r="D1628" s="14"/>
      <c r="E1628" s="8"/>
      <c r="F1628" s="8"/>
      <c r="G1628" s="8"/>
    </row>
    <row r="1629" customFormat="false" ht="15" hidden="false" customHeight="false" outlineLevel="0" collapsed="false">
      <c r="A1629" s="9"/>
      <c r="B1629" s="8"/>
      <c r="C1629" s="10" t="str">
        <f aca="false">IF(B1629="","",IFERROR(VLOOKUP(B1629,DonHang!$A$2:$C$500,3,FALSE()),"mã đơn chưa có"))</f>
        <v/>
      </c>
      <c r="D1629" s="14"/>
      <c r="E1629" s="8"/>
      <c r="F1629" s="8"/>
      <c r="G1629" s="8"/>
    </row>
    <row r="1630" customFormat="false" ht="15" hidden="false" customHeight="false" outlineLevel="0" collapsed="false">
      <c r="A1630" s="9"/>
      <c r="B1630" s="8"/>
      <c r="C1630" s="10" t="str">
        <f aca="false">IF(B1630="","",IFERROR(VLOOKUP(B1630,DonHang!$A$2:$C$500,3,FALSE()),"mã đơn chưa có"))</f>
        <v/>
      </c>
      <c r="D1630" s="14"/>
      <c r="E1630" s="8"/>
      <c r="F1630" s="8"/>
      <c r="G1630" s="8"/>
    </row>
    <row r="1631" customFormat="false" ht="15" hidden="false" customHeight="false" outlineLevel="0" collapsed="false">
      <c r="A1631" s="9"/>
      <c r="B1631" s="8"/>
      <c r="C1631" s="10" t="str">
        <f aca="false">IF(B1631="","",IFERROR(VLOOKUP(B1631,DonHang!$A$2:$C$500,3,FALSE()),"mã đơn chưa có"))</f>
        <v/>
      </c>
      <c r="D1631" s="14"/>
      <c r="E1631" s="8"/>
      <c r="F1631" s="8"/>
      <c r="G1631" s="8"/>
    </row>
    <row r="1632" customFormat="false" ht="15" hidden="false" customHeight="false" outlineLevel="0" collapsed="false">
      <c r="A1632" s="9"/>
      <c r="B1632" s="8"/>
      <c r="C1632" s="10" t="str">
        <f aca="false">IF(B1632="","",IFERROR(VLOOKUP(B1632,DonHang!$A$2:$C$500,3,FALSE()),"mã đơn chưa có"))</f>
        <v/>
      </c>
      <c r="D1632" s="14"/>
      <c r="E1632" s="8"/>
      <c r="F1632" s="8"/>
      <c r="G1632" s="8"/>
    </row>
    <row r="1633" customFormat="false" ht="15" hidden="false" customHeight="false" outlineLevel="0" collapsed="false">
      <c r="A1633" s="9"/>
      <c r="B1633" s="8"/>
      <c r="C1633" s="10" t="str">
        <f aca="false">IF(B1633="","",IFERROR(VLOOKUP(B1633,DonHang!$A$2:$C$500,3,FALSE()),"mã đơn chưa có"))</f>
        <v/>
      </c>
      <c r="D1633" s="14"/>
      <c r="E1633" s="8"/>
      <c r="F1633" s="8"/>
      <c r="G1633" s="8"/>
    </row>
    <row r="1634" customFormat="false" ht="15" hidden="false" customHeight="false" outlineLevel="0" collapsed="false">
      <c r="A1634" s="9"/>
      <c r="B1634" s="8"/>
      <c r="C1634" s="10" t="str">
        <f aca="false">IF(B1634="","",IFERROR(VLOOKUP(B1634,DonHang!$A$2:$C$500,3,FALSE()),"mã đơn chưa có"))</f>
        <v/>
      </c>
      <c r="D1634" s="14"/>
      <c r="E1634" s="8"/>
      <c r="F1634" s="8"/>
      <c r="G1634" s="8"/>
    </row>
    <row r="1635" customFormat="false" ht="15" hidden="false" customHeight="false" outlineLevel="0" collapsed="false">
      <c r="A1635" s="9"/>
      <c r="B1635" s="8"/>
      <c r="C1635" s="10" t="str">
        <f aca="false">IF(B1635="","",IFERROR(VLOOKUP(B1635,DonHang!$A$2:$C$500,3,FALSE()),"mã đơn chưa có"))</f>
        <v/>
      </c>
      <c r="D1635" s="14"/>
      <c r="E1635" s="8"/>
      <c r="F1635" s="8"/>
      <c r="G1635" s="8"/>
    </row>
    <row r="1636" customFormat="false" ht="15" hidden="false" customHeight="false" outlineLevel="0" collapsed="false">
      <c r="A1636" s="9"/>
      <c r="B1636" s="8"/>
      <c r="C1636" s="10" t="str">
        <f aca="false">IF(B1636="","",IFERROR(VLOOKUP(B1636,DonHang!$A$2:$C$500,3,FALSE()),"mã đơn chưa có"))</f>
        <v/>
      </c>
      <c r="D1636" s="14"/>
      <c r="E1636" s="8"/>
      <c r="F1636" s="8"/>
      <c r="G1636" s="8"/>
    </row>
    <row r="1637" customFormat="false" ht="15" hidden="false" customHeight="false" outlineLevel="0" collapsed="false">
      <c r="A1637" s="9"/>
      <c r="B1637" s="8"/>
      <c r="C1637" s="10" t="str">
        <f aca="false">IF(B1637="","",IFERROR(VLOOKUP(B1637,DonHang!$A$2:$C$500,3,FALSE()),"mã đơn chưa có"))</f>
        <v/>
      </c>
      <c r="D1637" s="14"/>
      <c r="E1637" s="8"/>
      <c r="F1637" s="8"/>
      <c r="G1637" s="8"/>
    </row>
    <row r="1638" customFormat="false" ht="15" hidden="false" customHeight="false" outlineLevel="0" collapsed="false">
      <c r="A1638" s="9"/>
      <c r="B1638" s="8"/>
      <c r="C1638" s="10" t="str">
        <f aca="false">IF(B1638="","",IFERROR(VLOOKUP(B1638,DonHang!$A$2:$C$500,3,FALSE()),"mã đơn chưa có"))</f>
        <v/>
      </c>
      <c r="D1638" s="14"/>
      <c r="E1638" s="8"/>
      <c r="F1638" s="8"/>
      <c r="G1638" s="8"/>
    </row>
    <row r="1639" customFormat="false" ht="15" hidden="false" customHeight="false" outlineLevel="0" collapsed="false">
      <c r="A1639" s="9"/>
      <c r="B1639" s="8"/>
      <c r="C1639" s="10" t="str">
        <f aca="false">IF(B1639="","",IFERROR(VLOOKUP(B1639,DonHang!$A$2:$C$500,3,FALSE()),"mã đơn chưa có"))</f>
        <v/>
      </c>
      <c r="D1639" s="14"/>
      <c r="E1639" s="8"/>
      <c r="F1639" s="8"/>
      <c r="G1639" s="8"/>
    </row>
    <row r="1640" customFormat="false" ht="15" hidden="false" customHeight="false" outlineLevel="0" collapsed="false">
      <c r="A1640" s="9"/>
      <c r="B1640" s="8"/>
      <c r="C1640" s="10" t="str">
        <f aca="false">IF(B1640="","",IFERROR(VLOOKUP(B1640,DonHang!$A$2:$C$500,3,FALSE()),"mã đơn chưa có"))</f>
        <v/>
      </c>
      <c r="D1640" s="14"/>
      <c r="E1640" s="8"/>
      <c r="F1640" s="8"/>
      <c r="G1640" s="8"/>
    </row>
    <row r="1641" customFormat="false" ht="15" hidden="false" customHeight="false" outlineLevel="0" collapsed="false">
      <c r="A1641" s="9"/>
      <c r="B1641" s="8"/>
      <c r="C1641" s="10" t="str">
        <f aca="false">IF(B1641="","",IFERROR(VLOOKUP(B1641,DonHang!$A$2:$C$500,3,FALSE()),"mã đơn chưa có"))</f>
        <v/>
      </c>
      <c r="D1641" s="14"/>
      <c r="E1641" s="8"/>
      <c r="F1641" s="8"/>
      <c r="G1641" s="8"/>
    </row>
    <row r="1642" customFormat="false" ht="15" hidden="false" customHeight="false" outlineLevel="0" collapsed="false">
      <c r="A1642" s="9"/>
      <c r="B1642" s="8"/>
      <c r="C1642" s="10" t="str">
        <f aca="false">IF(B1642="","",IFERROR(VLOOKUP(B1642,DonHang!$A$2:$C$500,3,FALSE()),"mã đơn chưa có"))</f>
        <v/>
      </c>
      <c r="D1642" s="14"/>
      <c r="E1642" s="8"/>
      <c r="F1642" s="8"/>
      <c r="G1642" s="8"/>
    </row>
    <row r="1643" customFormat="false" ht="15" hidden="false" customHeight="false" outlineLevel="0" collapsed="false">
      <c r="A1643" s="9"/>
      <c r="B1643" s="8"/>
      <c r="C1643" s="10" t="str">
        <f aca="false">IF(B1643="","",IFERROR(VLOOKUP(B1643,DonHang!$A$2:$C$500,3,FALSE()),"mã đơn chưa có"))</f>
        <v/>
      </c>
      <c r="D1643" s="14"/>
      <c r="E1643" s="8"/>
      <c r="F1643" s="8"/>
      <c r="G1643" s="8"/>
    </row>
    <row r="1644" customFormat="false" ht="15" hidden="false" customHeight="false" outlineLevel="0" collapsed="false">
      <c r="A1644" s="9"/>
      <c r="B1644" s="8"/>
      <c r="C1644" s="10" t="str">
        <f aca="false">IF(B1644="","",IFERROR(VLOOKUP(B1644,DonHang!$A$2:$C$500,3,FALSE()),"mã đơn chưa có"))</f>
        <v/>
      </c>
      <c r="D1644" s="14"/>
      <c r="E1644" s="8"/>
      <c r="F1644" s="8"/>
      <c r="G1644" s="8"/>
    </row>
    <row r="1645" customFormat="false" ht="15" hidden="false" customHeight="false" outlineLevel="0" collapsed="false">
      <c r="A1645" s="9"/>
      <c r="B1645" s="8"/>
      <c r="C1645" s="10" t="str">
        <f aca="false">IF(B1645="","",IFERROR(VLOOKUP(B1645,DonHang!$A$2:$C$500,3,FALSE()),"mã đơn chưa có"))</f>
        <v/>
      </c>
      <c r="D1645" s="14"/>
      <c r="E1645" s="8"/>
      <c r="F1645" s="8"/>
      <c r="G1645" s="8"/>
    </row>
    <row r="1646" customFormat="false" ht="15" hidden="false" customHeight="false" outlineLevel="0" collapsed="false">
      <c r="A1646" s="9"/>
      <c r="B1646" s="8"/>
      <c r="C1646" s="10" t="str">
        <f aca="false">IF(B1646="","",IFERROR(VLOOKUP(B1646,DonHang!$A$2:$C$500,3,FALSE()),"mã đơn chưa có"))</f>
        <v/>
      </c>
      <c r="D1646" s="14"/>
      <c r="E1646" s="8"/>
      <c r="F1646" s="8"/>
      <c r="G1646" s="8"/>
    </row>
    <row r="1647" customFormat="false" ht="15" hidden="false" customHeight="false" outlineLevel="0" collapsed="false">
      <c r="A1647" s="9"/>
      <c r="B1647" s="8"/>
      <c r="C1647" s="10" t="str">
        <f aca="false">IF(B1647="","",IFERROR(VLOOKUP(B1647,DonHang!$A$2:$C$500,3,FALSE()),"mã đơn chưa có"))</f>
        <v/>
      </c>
      <c r="D1647" s="14"/>
      <c r="E1647" s="8"/>
      <c r="F1647" s="8"/>
      <c r="G1647" s="8"/>
    </row>
    <row r="1648" customFormat="false" ht="15" hidden="false" customHeight="false" outlineLevel="0" collapsed="false">
      <c r="A1648" s="9"/>
      <c r="B1648" s="8"/>
      <c r="C1648" s="10" t="str">
        <f aca="false">IF(B1648="","",IFERROR(VLOOKUP(B1648,DonHang!$A$2:$C$500,3,FALSE()),"mã đơn chưa có"))</f>
        <v/>
      </c>
      <c r="D1648" s="14"/>
      <c r="E1648" s="8"/>
      <c r="F1648" s="8"/>
      <c r="G1648" s="8"/>
    </row>
    <row r="1649" customFormat="false" ht="15" hidden="false" customHeight="false" outlineLevel="0" collapsed="false">
      <c r="A1649" s="9"/>
      <c r="B1649" s="8"/>
      <c r="C1649" s="10" t="str">
        <f aca="false">IF(B1649="","",IFERROR(VLOOKUP(B1649,DonHang!$A$2:$C$500,3,FALSE()),"mã đơn chưa có"))</f>
        <v/>
      </c>
      <c r="D1649" s="14"/>
      <c r="E1649" s="8"/>
      <c r="F1649" s="8"/>
      <c r="G1649" s="8"/>
    </row>
    <row r="1650" customFormat="false" ht="15" hidden="false" customHeight="false" outlineLevel="0" collapsed="false">
      <c r="A1650" s="9"/>
      <c r="B1650" s="8"/>
      <c r="C1650" s="10" t="str">
        <f aca="false">IF(B1650="","",IFERROR(VLOOKUP(B1650,DonHang!$A$2:$C$500,3,FALSE()),"mã đơn chưa có"))</f>
        <v/>
      </c>
      <c r="D1650" s="14"/>
      <c r="E1650" s="8"/>
      <c r="F1650" s="8"/>
      <c r="G1650" s="8"/>
    </row>
    <row r="1651" customFormat="false" ht="15" hidden="false" customHeight="false" outlineLevel="0" collapsed="false">
      <c r="A1651" s="9"/>
      <c r="B1651" s="8"/>
      <c r="C1651" s="10" t="str">
        <f aca="false">IF(B1651="","",IFERROR(VLOOKUP(B1651,DonHang!$A$2:$C$500,3,FALSE()),"mã đơn chưa có"))</f>
        <v/>
      </c>
      <c r="D1651" s="14"/>
      <c r="E1651" s="8"/>
      <c r="F1651" s="8"/>
      <c r="G1651" s="8"/>
    </row>
    <row r="1652" customFormat="false" ht="15" hidden="false" customHeight="false" outlineLevel="0" collapsed="false">
      <c r="A1652" s="9"/>
      <c r="B1652" s="8"/>
      <c r="C1652" s="10" t="str">
        <f aca="false">IF(B1652="","",IFERROR(VLOOKUP(B1652,DonHang!$A$2:$C$500,3,FALSE()),"mã đơn chưa có"))</f>
        <v/>
      </c>
      <c r="D1652" s="14"/>
      <c r="E1652" s="8"/>
      <c r="F1652" s="8"/>
      <c r="G1652" s="8"/>
    </row>
    <row r="1653" customFormat="false" ht="15" hidden="false" customHeight="false" outlineLevel="0" collapsed="false">
      <c r="A1653" s="9"/>
      <c r="B1653" s="8"/>
      <c r="C1653" s="10" t="str">
        <f aca="false">IF(B1653="","",IFERROR(VLOOKUP(B1653,DonHang!$A$2:$C$500,3,FALSE()),"mã đơn chưa có"))</f>
        <v/>
      </c>
      <c r="D1653" s="14"/>
      <c r="E1653" s="8"/>
      <c r="F1653" s="8"/>
      <c r="G1653" s="8"/>
    </row>
    <row r="1654" customFormat="false" ht="15" hidden="false" customHeight="false" outlineLevel="0" collapsed="false">
      <c r="A1654" s="9"/>
      <c r="B1654" s="8"/>
      <c r="C1654" s="10" t="str">
        <f aca="false">IF(B1654="","",IFERROR(VLOOKUP(B1654,DonHang!$A$2:$C$500,3,FALSE()),"mã đơn chưa có"))</f>
        <v/>
      </c>
      <c r="D1654" s="14"/>
      <c r="E1654" s="8"/>
      <c r="F1654" s="8"/>
      <c r="G1654" s="8"/>
    </row>
    <row r="1655" customFormat="false" ht="15" hidden="false" customHeight="false" outlineLevel="0" collapsed="false">
      <c r="A1655" s="9"/>
      <c r="B1655" s="8"/>
      <c r="C1655" s="10" t="str">
        <f aca="false">IF(B1655="","",IFERROR(VLOOKUP(B1655,DonHang!$A$2:$C$500,3,FALSE()),"mã đơn chưa có"))</f>
        <v/>
      </c>
      <c r="D1655" s="14"/>
      <c r="E1655" s="8"/>
      <c r="F1655" s="8"/>
      <c r="G1655" s="8"/>
    </row>
    <row r="1656" customFormat="false" ht="15" hidden="false" customHeight="false" outlineLevel="0" collapsed="false">
      <c r="A1656" s="9"/>
      <c r="B1656" s="8"/>
      <c r="C1656" s="10" t="str">
        <f aca="false">IF(B1656="","",IFERROR(VLOOKUP(B1656,DonHang!$A$2:$C$500,3,FALSE()),"mã đơn chưa có"))</f>
        <v/>
      </c>
      <c r="D1656" s="14"/>
      <c r="E1656" s="8"/>
      <c r="F1656" s="8"/>
      <c r="G1656" s="8"/>
    </row>
    <row r="1657" customFormat="false" ht="15" hidden="false" customHeight="false" outlineLevel="0" collapsed="false">
      <c r="A1657" s="9"/>
      <c r="B1657" s="8"/>
      <c r="C1657" s="10" t="str">
        <f aca="false">IF(B1657="","",IFERROR(VLOOKUP(B1657,DonHang!$A$2:$C$500,3,FALSE()),"mã đơn chưa có"))</f>
        <v/>
      </c>
      <c r="D1657" s="14"/>
      <c r="E1657" s="8"/>
      <c r="F1657" s="8"/>
      <c r="G1657" s="8"/>
    </row>
    <row r="1658" customFormat="false" ht="15" hidden="false" customHeight="false" outlineLevel="0" collapsed="false">
      <c r="A1658" s="9"/>
      <c r="B1658" s="8"/>
      <c r="C1658" s="10" t="str">
        <f aca="false">IF(B1658="","",IFERROR(VLOOKUP(B1658,DonHang!$A$2:$C$500,3,FALSE()),"mã đơn chưa có"))</f>
        <v/>
      </c>
      <c r="D1658" s="14"/>
      <c r="E1658" s="8"/>
      <c r="F1658" s="8"/>
      <c r="G1658" s="8"/>
    </row>
    <row r="1659" customFormat="false" ht="15" hidden="false" customHeight="false" outlineLevel="0" collapsed="false">
      <c r="A1659" s="9"/>
      <c r="B1659" s="8"/>
      <c r="C1659" s="10" t="str">
        <f aca="false">IF(B1659="","",IFERROR(VLOOKUP(B1659,DonHang!$A$2:$C$500,3,FALSE()),"mã đơn chưa có"))</f>
        <v/>
      </c>
      <c r="D1659" s="14"/>
      <c r="E1659" s="8"/>
      <c r="F1659" s="8"/>
      <c r="G1659" s="8"/>
    </row>
    <row r="1660" customFormat="false" ht="15" hidden="false" customHeight="false" outlineLevel="0" collapsed="false">
      <c r="A1660" s="9"/>
      <c r="B1660" s="8"/>
      <c r="C1660" s="10" t="str">
        <f aca="false">IF(B1660="","",IFERROR(VLOOKUP(B1660,DonHang!$A$2:$C$500,3,FALSE()),"mã đơn chưa có"))</f>
        <v/>
      </c>
      <c r="D1660" s="14"/>
      <c r="E1660" s="8"/>
      <c r="F1660" s="8"/>
      <c r="G1660" s="8"/>
    </row>
    <row r="1661" customFormat="false" ht="15" hidden="false" customHeight="false" outlineLevel="0" collapsed="false">
      <c r="A1661" s="9"/>
      <c r="B1661" s="8"/>
      <c r="C1661" s="10" t="str">
        <f aca="false">IF(B1661="","",IFERROR(VLOOKUP(B1661,DonHang!$A$2:$C$500,3,FALSE()),"mã đơn chưa có"))</f>
        <v/>
      </c>
      <c r="D1661" s="14"/>
      <c r="E1661" s="8"/>
      <c r="F1661" s="8"/>
      <c r="G1661" s="8"/>
    </row>
    <row r="1662" customFormat="false" ht="15" hidden="false" customHeight="false" outlineLevel="0" collapsed="false">
      <c r="A1662" s="9"/>
      <c r="B1662" s="8"/>
      <c r="C1662" s="10" t="str">
        <f aca="false">IF(B1662="","",IFERROR(VLOOKUP(B1662,DonHang!$A$2:$C$500,3,FALSE()),"mã đơn chưa có"))</f>
        <v/>
      </c>
      <c r="D1662" s="14"/>
      <c r="E1662" s="8"/>
      <c r="F1662" s="8"/>
      <c r="G1662" s="8"/>
    </row>
    <row r="1663" customFormat="false" ht="15" hidden="false" customHeight="false" outlineLevel="0" collapsed="false">
      <c r="A1663" s="9"/>
      <c r="B1663" s="8"/>
      <c r="C1663" s="10" t="str">
        <f aca="false">IF(B1663="","",IFERROR(VLOOKUP(B1663,DonHang!$A$2:$C$500,3,FALSE()),"mã đơn chưa có"))</f>
        <v/>
      </c>
      <c r="D1663" s="14"/>
      <c r="E1663" s="8"/>
      <c r="F1663" s="8"/>
      <c r="G1663" s="8"/>
    </row>
    <row r="1664" customFormat="false" ht="15" hidden="false" customHeight="false" outlineLevel="0" collapsed="false">
      <c r="A1664" s="9"/>
      <c r="B1664" s="8"/>
      <c r="C1664" s="10" t="str">
        <f aca="false">IF(B1664="","",IFERROR(VLOOKUP(B1664,DonHang!$A$2:$C$500,3,FALSE()),"mã đơn chưa có"))</f>
        <v/>
      </c>
      <c r="D1664" s="14"/>
      <c r="E1664" s="8"/>
      <c r="F1664" s="8"/>
      <c r="G1664" s="8"/>
    </row>
    <row r="1665" customFormat="false" ht="15" hidden="false" customHeight="false" outlineLevel="0" collapsed="false">
      <c r="A1665" s="9"/>
      <c r="B1665" s="8"/>
      <c r="C1665" s="10" t="str">
        <f aca="false">IF(B1665="","",IFERROR(VLOOKUP(B1665,DonHang!$A$2:$C$500,3,FALSE()),"mã đơn chưa có"))</f>
        <v/>
      </c>
      <c r="D1665" s="14"/>
      <c r="E1665" s="8"/>
      <c r="F1665" s="8"/>
      <c r="G1665" s="8"/>
    </row>
    <row r="1666" customFormat="false" ht="15" hidden="false" customHeight="false" outlineLevel="0" collapsed="false">
      <c r="A1666" s="9"/>
      <c r="B1666" s="8"/>
      <c r="C1666" s="10" t="str">
        <f aca="false">IF(B1666="","",IFERROR(VLOOKUP(B1666,DonHang!$A$2:$C$500,3,FALSE()),"mã đơn chưa có"))</f>
        <v/>
      </c>
      <c r="D1666" s="14"/>
      <c r="E1666" s="8"/>
      <c r="F1666" s="8"/>
      <c r="G1666" s="8"/>
    </row>
    <row r="1667" customFormat="false" ht="15" hidden="false" customHeight="false" outlineLevel="0" collapsed="false">
      <c r="A1667" s="9"/>
      <c r="B1667" s="8"/>
      <c r="C1667" s="10" t="str">
        <f aca="false">IF(B1667="","",IFERROR(VLOOKUP(B1667,DonHang!$A$2:$C$500,3,FALSE()),"mã đơn chưa có"))</f>
        <v/>
      </c>
      <c r="D1667" s="14"/>
      <c r="E1667" s="8"/>
      <c r="F1667" s="8"/>
      <c r="G1667" s="8"/>
    </row>
    <row r="1668" customFormat="false" ht="15" hidden="false" customHeight="false" outlineLevel="0" collapsed="false">
      <c r="A1668" s="9"/>
      <c r="B1668" s="8"/>
      <c r="C1668" s="10" t="str">
        <f aca="false">IF(B1668="","",IFERROR(VLOOKUP(B1668,DonHang!$A$2:$C$500,3,FALSE()),"mã đơn chưa có"))</f>
        <v/>
      </c>
      <c r="D1668" s="14"/>
      <c r="E1668" s="8"/>
      <c r="F1668" s="8"/>
      <c r="G1668" s="8"/>
    </row>
    <row r="1669" customFormat="false" ht="15" hidden="false" customHeight="false" outlineLevel="0" collapsed="false">
      <c r="A1669" s="9"/>
      <c r="B1669" s="8"/>
      <c r="C1669" s="10" t="str">
        <f aca="false">IF(B1669="","",IFERROR(VLOOKUP(B1669,DonHang!$A$2:$C$500,3,FALSE()),"mã đơn chưa có"))</f>
        <v/>
      </c>
      <c r="D1669" s="14"/>
      <c r="E1669" s="8"/>
      <c r="F1669" s="8"/>
      <c r="G1669" s="8"/>
    </row>
    <row r="1670" customFormat="false" ht="15" hidden="false" customHeight="false" outlineLevel="0" collapsed="false">
      <c r="A1670" s="9"/>
      <c r="B1670" s="8"/>
      <c r="C1670" s="10" t="str">
        <f aca="false">IF(B1670="","",IFERROR(VLOOKUP(B1670,DonHang!$A$2:$C$500,3,FALSE()),"mã đơn chưa có"))</f>
        <v/>
      </c>
      <c r="D1670" s="14"/>
      <c r="E1670" s="8"/>
      <c r="F1670" s="8"/>
      <c r="G1670" s="8"/>
    </row>
    <row r="1671" customFormat="false" ht="15" hidden="false" customHeight="false" outlineLevel="0" collapsed="false">
      <c r="A1671" s="9"/>
      <c r="B1671" s="8"/>
      <c r="C1671" s="10" t="str">
        <f aca="false">IF(B1671="","",IFERROR(VLOOKUP(B1671,DonHang!$A$2:$C$500,3,FALSE()),"mã đơn chưa có"))</f>
        <v/>
      </c>
      <c r="D1671" s="14"/>
      <c r="E1671" s="8"/>
      <c r="F1671" s="8"/>
      <c r="G1671" s="8"/>
    </row>
    <row r="1672" customFormat="false" ht="15" hidden="false" customHeight="false" outlineLevel="0" collapsed="false">
      <c r="A1672" s="9"/>
      <c r="B1672" s="8"/>
      <c r="C1672" s="10" t="str">
        <f aca="false">IF(B1672="","",IFERROR(VLOOKUP(B1672,DonHang!$A$2:$C$500,3,FALSE()),"mã đơn chưa có"))</f>
        <v/>
      </c>
      <c r="D1672" s="14"/>
      <c r="E1672" s="8"/>
      <c r="F1672" s="8"/>
      <c r="G1672" s="8"/>
    </row>
    <row r="1673" customFormat="false" ht="15" hidden="false" customHeight="false" outlineLevel="0" collapsed="false">
      <c r="A1673" s="9"/>
      <c r="B1673" s="8"/>
      <c r="C1673" s="10" t="str">
        <f aca="false">IF(B1673="","",IFERROR(VLOOKUP(B1673,DonHang!$A$2:$C$500,3,FALSE()),"mã đơn chưa có"))</f>
        <v/>
      </c>
      <c r="D1673" s="14"/>
      <c r="E1673" s="8"/>
      <c r="F1673" s="8"/>
      <c r="G1673" s="8"/>
    </row>
    <row r="1674" customFormat="false" ht="15" hidden="false" customHeight="false" outlineLevel="0" collapsed="false">
      <c r="A1674" s="9"/>
      <c r="B1674" s="8"/>
      <c r="C1674" s="10" t="str">
        <f aca="false">IF(B1674="","",IFERROR(VLOOKUP(B1674,DonHang!$A$2:$C$500,3,FALSE()),"mã đơn chưa có"))</f>
        <v/>
      </c>
      <c r="D1674" s="14"/>
      <c r="E1674" s="8"/>
      <c r="F1674" s="8"/>
      <c r="G1674" s="8"/>
    </row>
    <row r="1675" customFormat="false" ht="15" hidden="false" customHeight="false" outlineLevel="0" collapsed="false">
      <c r="A1675" s="9"/>
      <c r="B1675" s="8"/>
      <c r="C1675" s="10" t="str">
        <f aca="false">IF(B1675="","",IFERROR(VLOOKUP(B1675,DonHang!$A$2:$C$500,3,FALSE()),"mã đơn chưa có"))</f>
        <v/>
      </c>
      <c r="D1675" s="14"/>
      <c r="E1675" s="8"/>
      <c r="F1675" s="8"/>
      <c r="G1675" s="8"/>
    </row>
    <row r="1676" customFormat="false" ht="15" hidden="false" customHeight="false" outlineLevel="0" collapsed="false">
      <c r="A1676" s="9"/>
      <c r="B1676" s="8"/>
      <c r="C1676" s="10" t="str">
        <f aca="false">IF(B1676="","",IFERROR(VLOOKUP(B1676,DonHang!$A$2:$C$500,3,FALSE()),"mã đơn chưa có"))</f>
        <v/>
      </c>
      <c r="D1676" s="14"/>
      <c r="E1676" s="8"/>
      <c r="F1676" s="8"/>
      <c r="G1676" s="8"/>
    </row>
    <row r="1677" customFormat="false" ht="15" hidden="false" customHeight="false" outlineLevel="0" collapsed="false">
      <c r="A1677" s="9"/>
      <c r="B1677" s="8"/>
      <c r="C1677" s="10" t="str">
        <f aca="false">IF(B1677="","",IFERROR(VLOOKUP(B1677,DonHang!$A$2:$C$500,3,FALSE()),"mã đơn chưa có"))</f>
        <v/>
      </c>
      <c r="D1677" s="14"/>
      <c r="E1677" s="8"/>
      <c r="F1677" s="8"/>
      <c r="G1677" s="8"/>
    </row>
    <row r="1678" customFormat="false" ht="15" hidden="false" customHeight="false" outlineLevel="0" collapsed="false">
      <c r="A1678" s="9"/>
      <c r="B1678" s="8"/>
      <c r="C1678" s="10" t="str">
        <f aca="false">IF(B1678="","",IFERROR(VLOOKUP(B1678,DonHang!$A$2:$C$500,3,FALSE()),"mã đơn chưa có"))</f>
        <v/>
      </c>
      <c r="D1678" s="14"/>
      <c r="E1678" s="8"/>
      <c r="F1678" s="8"/>
      <c r="G1678" s="8"/>
    </row>
    <row r="1679" customFormat="false" ht="15" hidden="false" customHeight="false" outlineLevel="0" collapsed="false">
      <c r="A1679" s="9"/>
      <c r="B1679" s="8"/>
      <c r="C1679" s="10" t="str">
        <f aca="false">IF(B1679="","",IFERROR(VLOOKUP(B1679,DonHang!$A$2:$C$500,3,FALSE()),"mã đơn chưa có"))</f>
        <v/>
      </c>
      <c r="D1679" s="14"/>
      <c r="E1679" s="8"/>
      <c r="F1679" s="8"/>
      <c r="G1679" s="8"/>
    </row>
    <row r="1680" customFormat="false" ht="15" hidden="false" customHeight="false" outlineLevel="0" collapsed="false">
      <c r="A1680" s="9"/>
      <c r="B1680" s="8"/>
      <c r="C1680" s="10" t="str">
        <f aca="false">IF(B1680="","",IFERROR(VLOOKUP(B1680,DonHang!$A$2:$C$500,3,FALSE()),"mã đơn chưa có"))</f>
        <v/>
      </c>
      <c r="D1680" s="14"/>
      <c r="E1680" s="8"/>
      <c r="F1680" s="8"/>
      <c r="G1680" s="8"/>
    </row>
    <row r="1681" customFormat="false" ht="15" hidden="false" customHeight="false" outlineLevel="0" collapsed="false">
      <c r="A1681" s="9"/>
      <c r="B1681" s="8"/>
      <c r="C1681" s="10" t="str">
        <f aca="false">IF(B1681="","",IFERROR(VLOOKUP(B1681,DonHang!$A$2:$C$500,3,FALSE()),"mã đơn chưa có"))</f>
        <v/>
      </c>
      <c r="D1681" s="14"/>
      <c r="E1681" s="8"/>
      <c r="F1681" s="8"/>
      <c r="G1681" s="8"/>
    </row>
    <row r="1682" customFormat="false" ht="15" hidden="false" customHeight="false" outlineLevel="0" collapsed="false">
      <c r="A1682" s="9"/>
      <c r="B1682" s="8"/>
      <c r="C1682" s="10" t="str">
        <f aca="false">IF(B1682="","",IFERROR(VLOOKUP(B1682,DonHang!$A$2:$C$500,3,FALSE()),"mã đơn chưa có"))</f>
        <v/>
      </c>
      <c r="D1682" s="14"/>
      <c r="E1682" s="8"/>
      <c r="F1682" s="8"/>
      <c r="G1682" s="8"/>
    </row>
    <row r="1683" customFormat="false" ht="15" hidden="false" customHeight="false" outlineLevel="0" collapsed="false">
      <c r="A1683" s="9"/>
      <c r="B1683" s="8"/>
      <c r="C1683" s="10" t="str">
        <f aca="false">IF(B1683="","",IFERROR(VLOOKUP(B1683,DonHang!$A$2:$C$500,3,FALSE()),"mã đơn chưa có"))</f>
        <v/>
      </c>
      <c r="D1683" s="14"/>
      <c r="E1683" s="8"/>
      <c r="F1683" s="8"/>
      <c r="G1683" s="8"/>
    </row>
    <row r="1684" customFormat="false" ht="15" hidden="false" customHeight="false" outlineLevel="0" collapsed="false">
      <c r="A1684" s="9"/>
      <c r="B1684" s="8"/>
      <c r="C1684" s="10" t="str">
        <f aca="false">IF(B1684="","",IFERROR(VLOOKUP(B1684,DonHang!$A$2:$C$500,3,FALSE()),"mã đơn chưa có"))</f>
        <v/>
      </c>
      <c r="D1684" s="14"/>
      <c r="E1684" s="8"/>
      <c r="F1684" s="8"/>
      <c r="G1684" s="8"/>
    </row>
    <row r="1685" customFormat="false" ht="15" hidden="false" customHeight="false" outlineLevel="0" collapsed="false">
      <c r="A1685" s="9"/>
      <c r="B1685" s="8"/>
      <c r="C1685" s="10" t="str">
        <f aca="false">IF(B1685="","",IFERROR(VLOOKUP(B1685,DonHang!$A$2:$C$500,3,FALSE()),"mã đơn chưa có"))</f>
        <v/>
      </c>
      <c r="D1685" s="14"/>
      <c r="E1685" s="8"/>
      <c r="F1685" s="8"/>
      <c r="G1685" s="8"/>
    </row>
    <row r="1686" customFormat="false" ht="15" hidden="false" customHeight="false" outlineLevel="0" collapsed="false">
      <c r="A1686" s="9"/>
      <c r="B1686" s="8"/>
      <c r="C1686" s="10" t="str">
        <f aca="false">IF(B1686="","",IFERROR(VLOOKUP(B1686,DonHang!$A$2:$C$500,3,FALSE()),"mã đơn chưa có"))</f>
        <v/>
      </c>
      <c r="D1686" s="14"/>
      <c r="E1686" s="8"/>
      <c r="F1686" s="8"/>
      <c r="G1686" s="8"/>
    </row>
    <row r="1687" customFormat="false" ht="15" hidden="false" customHeight="false" outlineLevel="0" collapsed="false">
      <c r="A1687" s="9"/>
      <c r="B1687" s="8"/>
      <c r="C1687" s="10" t="str">
        <f aca="false">IF(B1687="","",IFERROR(VLOOKUP(B1687,DonHang!$A$2:$C$500,3,FALSE()),"mã đơn chưa có"))</f>
        <v/>
      </c>
      <c r="D1687" s="14"/>
      <c r="E1687" s="8"/>
      <c r="F1687" s="8"/>
      <c r="G1687" s="8"/>
    </row>
    <row r="1688" customFormat="false" ht="15" hidden="false" customHeight="false" outlineLevel="0" collapsed="false">
      <c r="A1688" s="9"/>
      <c r="B1688" s="8"/>
      <c r="C1688" s="10" t="str">
        <f aca="false">IF(B1688="","",IFERROR(VLOOKUP(B1688,DonHang!$A$2:$C$500,3,FALSE()),"mã đơn chưa có"))</f>
        <v/>
      </c>
      <c r="D1688" s="14"/>
      <c r="E1688" s="8"/>
      <c r="F1688" s="8"/>
      <c r="G1688" s="8"/>
    </row>
    <row r="1689" customFormat="false" ht="15" hidden="false" customHeight="false" outlineLevel="0" collapsed="false">
      <c r="A1689" s="9"/>
      <c r="B1689" s="8"/>
      <c r="C1689" s="10" t="str">
        <f aca="false">IF(B1689="","",IFERROR(VLOOKUP(B1689,DonHang!$A$2:$C$500,3,FALSE()),"mã đơn chưa có"))</f>
        <v/>
      </c>
      <c r="D1689" s="14"/>
      <c r="E1689" s="8"/>
      <c r="F1689" s="8"/>
      <c r="G1689" s="8"/>
    </row>
    <row r="1690" customFormat="false" ht="15" hidden="false" customHeight="false" outlineLevel="0" collapsed="false">
      <c r="A1690" s="9"/>
      <c r="B1690" s="8"/>
      <c r="C1690" s="10" t="str">
        <f aca="false">IF(B1690="","",IFERROR(VLOOKUP(B1690,DonHang!$A$2:$C$500,3,FALSE()),"mã đơn chưa có"))</f>
        <v/>
      </c>
      <c r="D1690" s="14"/>
      <c r="E1690" s="8"/>
      <c r="F1690" s="8"/>
      <c r="G1690" s="8"/>
    </row>
    <row r="1691" customFormat="false" ht="15" hidden="false" customHeight="false" outlineLevel="0" collapsed="false">
      <c r="A1691" s="9"/>
      <c r="B1691" s="8"/>
      <c r="C1691" s="10" t="str">
        <f aca="false">IF(B1691="","",IFERROR(VLOOKUP(B1691,DonHang!$A$2:$C$500,3,FALSE()),"mã đơn chưa có"))</f>
        <v/>
      </c>
      <c r="D1691" s="14"/>
      <c r="E1691" s="8"/>
      <c r="F1691" s="8"/>
      <c r="G1691" s="8"/>
    </row>
    <row r="1692" customFormat="false" ht="15" hidden="false" customHeight="false" outlineLevel="0" collapsed="false">
      <c r="A1692" s="9"/>
      <c r="B1692" s="8"/>
      <c r="C1692" s="10" t="str">
        <f aca="false">IF(B1692="","",IFERROR(VLOOKUP(B1692,DonHang!$A$2:$C$500,3,FALSE()),"mã đơn chưa có"))</f>
        <v/>
      </c>
      <c r="D1692" s="14"/>
      <c r="E1692" s="8"/>
      <c r="F1692" s="8"/>
      <c r="G1692" s="8"/>
    </row>
    <row r="1693" customFormat="false" ht="15" hidden="false" customHeight="false" outlineLevel="0" collapsed="false">
      <c r="A1693" s="9"/>
      <c r="B1693" s="8"/>
      <c r="C1693" s="10" t="str">
        <f aca="false">IF(B1693="","",IFERROR(VLOOKUP(B1693,DonHang!$A$2:$C$500,3,FALSE()),"mã đơn chưa có"))</f>
        <v/>
      </c>
      <c r="D1693" s="14"/>
      <c r="E1693" s="8"/>
      <c r="F1693" s="8"/>
      <c r="G1693" s="8"/>
    </row>
    <row r="1694" customFormat="false" ht="15" hidden="false" customHeight="false" outlineLevel="0" collapsed="false">
      <c r="A1694" s="9"/>
      <c r="B1694" s="8"/>
      <c r="C1694" s="10" t="str">
        <f aca="false">IF(B1694="","",IFERROR(VLOOKUP(B1694,DonHang!$A$2:$C$500,3,FALSE()),"mã đơn chưa có"))</f>
        <v/>
      </c>
      <c r="D1694" s="14"/>
      <c r="E1694" s="8"/>
      <c r="F1694" s="8"/>
      <c r="G1694" s="8"/>
    </row>
    <row r="1695" customFormat="false" ht="15" hidden="false" customHeight="false" outlineLevel="0" collapsed="false">
      <c r="A1695" s="9"/>
      <c r="B1695" s="8"/>
      <c r="C1695" s="10" t="str">
        <f aca="false">IF(B1695="","",IFERROR(VLOOKUP(B1695,DonHang!$A$2:$C$500,3,FALSE()),"mã đơn chưa có"))</f>
        <v/>
      </c>
      <c r="D1695" s="14"/>
      <c r="E1695" s="8"/>
      <c r="F1695" s="8"/>
      <c r="G1695" s="8"/>
    </row>
    <row r="1696" customFormat="false" ht="15" hidden="false" customHeight="false" outlineLevel="0" collapsed="false">
      <c r="A1696" s="9"/>
      <c r="B1696" s="8"/>
      <c r="C1696" s="10" t="str">
        <f aca="false">IF(B1696="","",IFERROR(VLOOKUP(B1696,DonHang!$A$2:$C$500,3,FALSE()),"mã đơn chưa có"))</f>
        <v/>
      </c>
      <c r="D1696" s="14"/>
      <c r="E1696" s="8"/>
      <c r="F1696" s="8"/>
      <c r="G1696" s="8"/>
    </row>
    <row r="1697" customFormat="false" ht="15" hidden="false" customHeight="false" outlineLevel="0" collapsed="false">
      <c r="A1697" s="9"/>
      <c r="B1697" s="8"/>
      <c r="C1697" s="10" t="str">
        <f aca="false">IF(B1697="","",IFERROR(VLOOKUP(B1697,DonHang!$A$2:$C$500,3,FALSE()),"mã đơn chưa có"))</f>
        <v/>
      </c>
      <c r="D1697" s="14"/>
      <c r="E1697" s="8"/>
      <c r="F1697" s="8"/>
      <c r="G1697" s="8"/>
    </row>
    <row r="1698" customFormat="false" ht="15" hidden="false" customHeight="false" outlineLevel="0" collapsed="false">
      <c r="A1698" s="9"/>
      <c r="B1698" s="8"/>
      <c r="C1698" s="10" t="str">
        <f aca="false">IF(B1698="","",IFERROR(VLOOKUP(B1698,DonHang!$A$2:$C$500,3,FALSE()),"mã đơn chưa có"))</f>
        <v/>
      </c>
      <c r="D1698" s="14"/>
      <c r="E1698" s="8"/>
      <c r="F1698" s="8"/>
      <c r="G1698" s="8"/>
    </row>
    <row r="1699" customFormat="false" ht="15" hidden="false" customHeight="false" outlineLevel="0" collapsed="false">
      <c r="A1699" s="9"/>
      <c r="B1699" s="8"/>
      <c r="C1699" s="10" t="str">
        <f aca="false">IF(B1699="","",IFERROR(VLOOKUP(B1699,DonHang!$A$2:$C$500,3,FALSE()),"mã đơn chưa có"))</f>
        <v/>
      </c>
      <c r="D1699" s="14"/>
      <c r="E1699" s="8"/>
      <c r="F1699" s="8"/>
      <c r="G1699" s="8"/>
    </row>
    <row r="1700" customFormat="false" ht="15" hidden="false" customHeight="false" outlineLevel="0" collapsed="false">
      <c r="A1700" s="9"/>
      <c r="B1700" s="8"/>
      <c r="C1700" s="10" t="str">
        <f aca="false">IF(B1700="","",IFERROR(VLOOKUP(B1700,DonHang!$A$2:$C$500,3,FALSE()),"mã đơn chưa có"))</f>
        <v/>
      </c>
      <c r="D1700" s="14"/>
      <c r="E1700" s="8"/>
      <c r="F1700" s="8"/>
      <c r="G1700" s="8"/>
    </row>
    <row r="1701" customFormat="false" ht="15" hidden="false" customHeight="false" outlineLevel="0" collapsed="false">
      <c r="A1701" s="9"/>
      <c r="B1701" s="8"/>
      <c r="C1701" s="10" t="str">
        <f aca="false">IF(B1701="","",IFERROR(VLOOKUP(B1701,DonHang!$A$2:$C$500,3,FALSE()),"mã đơn chưa có"))</f>
        <v/>
      </c>
      <c r="D1701" s="14"/>
      <c r="E1701" s="8"/>
      <c r="F1701" s="8"/>
      <c r="G1701" s="8"/>
    </row>
    <row r="1702" customFormat="false" ht="15" hidden="false" customHeight="false" outlineLevel="0" collapsed="false">
      <c r="A1702" s="9"/>
      <c r="B1702" s="8"/>
      <c r="C1702" s="10" t="str">
        <f aca="false">IF(B1702="","",IFERROR(VLOOKUP(B1702,DonHang!$A$2:$C$500,3,FALSE()),"mã đơn chưa có"))</f>
        <v/>
      </c>
      <c r="D1702" s="14"/>
      <c r="E1702" s="8"/>
      <c r="F1702" s="8"/>
      <c r="G1702" s="8"/>
    </row>
    <row r="1703" customFormat="false" ht="15" hidden="false" customHeight="false" outlineLevel="0" collapsed="false">
      <c r="A1703" s="9"/>
      <c r="B1703" s="8"/>
      <c r="C1703" s="10" t="str">
        <f aca="false">IF(B1703="","",IFERROR(VLOOKUP(B1703,DonHang!$A$2:$C$500,3,FALSE()),"mã đơn chưa có"))</f>
        <v/>
      </c>
      <c r="D1703" s="14"/>
      <c r="E1703" s="8"/>
      <c r="F1703" s="8"/>
      <c r="G1703" s="8"/>
    </row>
    <row r="1704" customFormat="false" ht="15" hidden="false" customHeight="false" outlineLevel="0" collapsed="false">
      <c r="A1704" s="9"/>
      <c r="B1704" s="8"/>
      <c r="C1704" s="10" t="str">
        <f aca="false">IF(B1704="","",IFERROR(VLOOKUP(B1704,DonHang!$A$2:$C$500,3,FALSE()),"mã đơn chưa có"))</f>
        <v/>
      </c>
      <c r="D1704" s="14"/>
      <c r="E1704" s="8"/>
      <c r="F1704" s="8"/>
      <c r="G1704" s="8"/>
    </row>
    <row r="1705" customFormat="false" ht="15" hidden="false" customHeight="false" outlineLevel="0" collapsed="false">
      <c r="A1705" s="9"/>
      <c r="B1705" s="8"/>
      <c r="C1705" s="10" t="str">
        <f aca="false">IF(B1705="","",IFERROR(VLOOKUP(B1705,DonHang!$A$2:$C$500,3,FALSE()),"mã đơn chưa có"))</f>
        <v/>
      </c>
      <c r="D1705" s="14"/>
      <c r="E1705" s="8"/>
      <c r="F1705" s="8"/>
      <c r="G1705" s="8"/>
    </row>
    <row r="1706" customFormat="false" ht="15" hidden="false" customHeight="false" outlineLevel="0" collapsed="false">
      <c r="A1706" s="9"/>
      <c r="B1706" s="8"/>
      <c r="C1706" s="10" t="str">
        <f aca="false">IF(B1706="","",IFERROR(VLOOKUP(B1706,DonHang!$A$2:$C$500,3,FALSE()),"mã đơn chưa có"))</f>
        <v/>
      </c>
      <c r="D1706" s="14"/>
      <c r="E1706" s="8"/>
      <c r="F1706" s="8"/>
      <c r="G1706" s="8"/>
    </row>
    <row r="1707" customFormat="false" ht="15" hidden="false" customHeight="false" outlineLevel="0" collapsed="false">
      <c r="A1707" s="9"/>
      <c r="B1707" s="8"/>
      <c r="C1707" s="10" t="str">
        <f aca="false">IF(B1707="","",IFERROR(VLOOKUP(B1707,DonHang!$A$2:$C$500,3,FALSE()),"mã đơn chưa có"))</f>
        <v/>
      </c>
      <c r="D1707" s="14"/>
      <c r="E1707" s="8"/>
      <c r="F1707" s="8"/>
      <c r="G1707" s="8"/>
    </row>
    <row r="1708" customFormat="false" ht="15" hidden="false" customHeight="false" outlineLevel="0" collapsed="false">
      <c r="A1708" s="9"/>
      <c r="B1708" s="8"/>
      <c r="C1708" s="10" t="str">
        <f aca="false">IF(B1708="","",IFERROR(VLOOKUP(B1708,DonHang!$A$2:$C$500,3,FALSE()),"mã đơn chưa có"))</f>
        <v/>
      </c>
      <c r="D1708" s="14"/>
      <c r="E1708" s="8"/>
      <c r="F1708" s="8"/>
      <c r="G1708" s="8"/>
    </row>
    <row r="1709" customFormat="false" ht="15" hidden="false" customHeight="false" outlineLevel="0" collapsed="false">
      <c r="A1709" s="9"/>
      <c r="B1709" s="8"/>
      <c r="C1709" s="10" t="str">
        <f aca="false">IF(B1709="","",IFERROR(VLOOKUP(B1709,DonHang!$A$2:$C$500,3,FALSE()),"mã đơn chưa có"))</f>
        <v/>
      </c>
      <c r="D1709" s="14"/>
      <c r="E1709" s="8"/>
      <c r="F1709" s="8"/>
      <c r="G1709" s="8"/>
    </row>
    <row r="1710" customFormat="false" ht="15" hidden="false" customHeight="false" outlineLevel="0" collapsed="false">
      <c r="A1710" s="9"/>
      <c r="B1710" s="8"/>
      <c r="C1710" s="10" t="str">
        <f aca="false">IF(B1710="","",IFERROR(VLOOKUP(B1710,DonHang!$A$2:$C$500,3,FALSE()),"mã đơn chưa có"))</f>
        <v/>
      </c>
      <c r="D1710" s="14"/>
      <c r="E1710" s="8"/>
      <c r="F1710" s="8"/>
      <c r="G1710" s="8"/>
    </row>
    <row r="1711" customFormat="false" ht="15" hidden="false" customHeight="false" outlineLevel="0" collapsed="false">
      <c r="A1711" s="9"/>
      <c r="B1711" s="8"/>
      <c r="C1711" s="10" t="str">
        <f aca="false">IF(B1711="","",IFERROR(VLOOKUP(B1711,DonHang!$A$2:$C$500,3,FALSE()),"mã đơn chưa có"))</f>
        <v/>
      </c>
      <c r="D1711" s="14"/>
      <c r="E1711" s="8"/>
      <c r="F1711" s="8"/>
      <c r="G1711" s="8"/>
    </row>
    <row r="1712" customFormat="false" ht="15" hidden="false" customHeight="false" outlineLevel="0" collapsed="false">
      <c r="A1712" s="9"/>
      <c r="B1712" s="8"/>
      <c r="C1712" s="10" t="str">
        <f aca="false">IF(B1712="","",IFERROR(VLOOKUP(B1712,DonHang!$A$2:$C$500,3,FALSE()),"mã đơn chưa có"))</f>
        <v/>
      </c>
      <c r="D1712" s="14"/>
      <c r="E1712" s="8"/>
      <c r="F1712" s="8"/>
      <c r="G1712" s="8"/>
    </row>
    <row r="1713" customFormat="false" ht="15" hidden="false" customHeight="false" outlineLevel="0" collapsed="false">
      <c r="A1713" s="9"/>
      <c r="B1713" s="8"/>
      <c r="C1713" s="10" t="str">
        <f aca="false">IF(B1713="","",IFERROR(VLOOKUP(B1713,DonHang!$A$2:$C$500,3,FALSE()),"mã đơn chưa có"))</f>
        <v/>
      </c>
      <c r="D1713" s="14"/>
      <c r="E1713" s="8"/>
      <c r="F1713" s="8"/>
      <c r="G1713" s="8"/>
    </row>
    <row r="1714" customFormat="false" ht="15" hidden="false" customHeight="false" outlineLevel="0" collapsed="false">
      <c r="A1714" s="9"/>
      <c r="B1714" s="8"/>
      <c r="C1714" s="10" t="str">
        <f aca="false">IF(B1714="","",IFERROR(VLOOKUP(B1714,DonHang!$A$2:$C$500,3,FALSE()),"mã đơn chưa có"))</f>
        <v/>
      </c>
      <c r="D1714" s="14"/>
      <c r="E1714" s="8"/>
      <c r="F1714" s="8"/>
      <c r="G1714" s="8"/>
    </row>
    <row r="1715" customFormat="false" ht="15" hidden="false" customHeight="false" outlineLevel="0" collapsed="false">
      <c r="A1715" s="9"/>
      <c r="B1715" s="8"/>
      <c r="C1715" s="10" t="str">
        <f aca="false">IF(B1715="","",IFERROR(VLOOKUP(B1715,DonHang!$A$2:$C$500,3,FALSE()),"mã đơn chưa có"))</f>
        <v/>
      </c>
      <c r="D1715" s="14"/>
      <c r="E1715" s="8"/>
      <c r="F1715" s="8"/>
      <c r="G1715" s="8"/>
    </row>
    <row r="1716" customFormat="false" ht="15" hidden="false" customHeight="false" outlineLevel="0" collapsed="false">
      <c r="A1716" s="9"/>
      <c r="B1716" s="8"/>
      <c r="C1716" s="10" t="str">
        <f aca="false">IF(B1716="","",IFERROR(VLOOKUP(B1716,DonHang!$A$2:$C$500,3,FALSE()),"mã đơn chưa có"))</f>
        <v/>
      </c>
      <c r="D1716" s="14"/>
      <c r="E1716" s="8"/>
      <c r="F1716" s="8"/>
      <c r="G1716" s="8"/>
    </row>
    <row r="1717" customFormat="false" ht="15" hidden="false" customHeight="false" outlineLevel="0" collapsed="false">
      <c r="A1717" s="9"/>
      <c r="B1717" s="8"/>
      <c r="C1717" s="10" t="str">
        <f aca="false">IF(B1717="","",IFERROR(VLOOKUP(B1717,DonHang!$A$2:$C$500,3,FALSE()),"mã đơn chưa có"))</f>
        <v/>
      </c>
      <c r="D1717" s="14"/>
      <c r="E1717" s="8"/>
      <c r="F1717" s="8"/>
      <c r="G1717" s="8"/>
    </row>
    <row r="1718" customFormat="false" ht="15" hidden="false" customHeight="false" outlineLevel="0" collapsed="false">
      <c r="A1718" s="9"/>
      <c r="B1718" s="8"/>
      <c r="C1718" s="10" t="str">
        <f aca="false">IF(B1718="","",IFERROR(VLOOKUP(B1718,DonHang!$A$2:$C$500,3,FALSE()),"mã đơn chưa có"))</f>
        <v/>
      </c>
      <c r="D1718" s="14"/>
      <c r="E1718" s="8"/>
      <c r="F1718" s="8"/>
      <c r="G1718" s="8"/>
    </row>
    <row r="1719" customFormat="false" ht="15" hidden="false" customHeight="false" outlineLevel="0" collapsed="false">
      <c r="A1719" s="9"/>
      <c r="B1719" s="8"/>
      <c r="C1719" s="10" t="str">
        <f aca="false">IF(B1719="","",IFERROR(VLOOKUP(B1719,DonHang!$A$2:$C$500,3,FALSE()),"mã đơn chưa có"))</f>
        <v/>
      </c>
      <c r="D1719" s="14"/>
      <c r="E1719" s="8"/>
      <c r="F1719" s="8"/>
      <c r="G1719" s="8"/>
    </row>
    <row r="1720" customFormat="false" ht="15" hidden="false" customHeight="false" outlineLevel="0" collapsed="false">
      <c r="A1720" s="9"/>
      <c r="B1720" s="8"/>
      <c r="C1720" s="10" t="str">
        <f aca="false">IF(B1720="","",IFERROR(VLOOKUP(B1720,DonHang!$A$2:$C$500,3,FALSE()),"mã đơn chưa có"))</f>
        <v/>
      </c>
      <c r="D1720" s="14"/>
      <c r="E1720" s="8"/>
      <c r="F1720" s="8"/>
      <c r="G1720" s="8"/>
    </row>
    <row r="1721" customFormat="false" ht="15" hidden="false" customHeight="false" outlineLevel="0" collapsed="false">
      <c r="A1721" s="9"/>
      <c r="B1721" s="8"/>
      <c r="C1721" s="10" t="str">
        <f aca="false">IF(B1721="","",IFERROR(VLOOKUP(B1721,DonHang!$A$2:$C$500,3,FALSE()),"mã đơn chưa có"))</f>
        <v/>
      </c>
      <c r="D1721" s="14"/>
      <c r="E1721" s="8"/>
      <c r="F1721" s="8"/>
      <c r="G1721" s="8"/>
    </row>
    <row r="1722" customFormat="false" ht="15" hidden="false" customHeight="false" outlineLevel="0" collapsed="false">
      <c r="A1722" s="9"/>
      <c r="B1722" s="8"/>
      <c r="C1722" s="10" t="str">
        <f aca="false">IF(B1722="","",IFERROR(VLOOKUP(B1722,DonHang!$A$2:$C$500,3,FALSE()),"mã đơn chưa có"))</f>
        <v/>
      </c>
      <c r="D1722" s="14"/>
      <c r="E1722" s="8"/>
      <c r="F1722" s="8"/>
      <c r="G1722" s="8"/>
    </row>
    <row r="1723" customFormat="false" ht="15" hidden="false" customHeight="false" outlineLevel="0" collapsed="false">
      <c r="A1723" s="9"/>
      <c r="B1723" s="8"/>
      <c r="C1723" s="10" t="str">
        <f aca="false">IF(B1723="","",IFERROR(VLOOKUP(B1723,DonHang!$A$2:$C$500,3,FALSE()),"mã đơn chưa có"))</f>
        <v/>
      </c>
      <c r="D1723" s="14"/>
      <c r="E1723" s="8"/>
      <c r="F1723" s="8"/>
      <c r="G1723" s="8"/>
    </row>
    <row r="1724" customFormat="false" ht="15" hidden="false" customHeight="false" outlineLevel="0" collapsed="false">
      <c r="A1724" s="9"/>
      <c r="B1724" s="8"/>
      <c r="C1724" s="10" t="str">
        <f aca="false">IF(B1724="","",IFERROR(VLOOKUP(B1724,DonHang!$A$2:$C$500,3,FALSE()),"mã đơn chưa có"))</f>
        <v/>
      </c>
      <c r="D1724" s="14"/>
      <c r="E1724" s="8"/>
      <c r="F1724" s="8"/>
      <c r="G1724" s="8"/>
    </row>
    <row r="1725" customFormat="false" ht="15" hidden="false" customHeight="false" outlineLevel="0" collapsed="false">
      <c r="A1725" s="9"/>
      <c r="B1725" s="8"/>
      <c r="C1725" s="10" t="str">
        <f aca="false">IF(B1725="","",IFERROR(VLOOKUP(B1725,DonHang!$A$2:$C$500,3,FALSE()),"mã đơn chưa có"))</f>
        <v/>
      </c>
      <c r="D1725" s="14"/>
      <c r="E1725" s="8"/>
      <c r="F1725" s="8"/>
      <c r="G1725" s="8"/>
    </row>
    <row r="1726" customFormat="false" ht="15" hidden="false" customHeight="false" outlineLevel="0" collapsed="false">
      <c r="A1726" s="9"/>
      <c r="B1726" s="8"/>
      <c r="C1726" s="10" t="str">
        <f aca="false">IF(B1726="","",IFERROR(VLOOKUP(B1726,DonHang!$A$2:$C$500,3,FALSE()),"mã đơn chưa có"))</f>
        <v/>
      </c>
      <c r="D1726" s="14"/>
      <c r="E1726" s="8"/>
      <c r="F1726" s="8"/>
      <c r="G1726" s="8"/>
    </row>
    <row r="1727" customFormat="false" ht="15" hidden="false" customHeight="false" outlineLevel="0" collapsed="false">
      <c r="A1727" s="9"/>
      <c r="B1727" s="8"/>
      <c r="C1727" s="10" t="str">
        <f aca="false">IF(B1727="","",IFERROR(VLOOKUP(B1727,DonHang!$A$2:$C$500,3,FALSE()),"mã đơn chưa có"))</f>
        <v/>
      </c>
      <c r="D1727" s="14"/>
      <c r="E1727" s="8"/>
      <c r="F1727" s="8"/>
      <c r="G1727" s="8"/>
    </row>
    <row r="1728" customFormat="false" ht="15" hidden="false" customHeight="false" outlineLevel="0" collapsed="false">
      <c r="A1728" s="9"/>
      <c r="B1728" s="8"/>
      <c r="C1728" s="10" t="str">
        <f aca="false">IF(B1728="","",IFERROR(VLOOKUP(B1728,DonHang!$A$2:$C$500,3,FALSE()),"mã đơn chưa có"))</f>
        <v/>
      </c>
      <c r="D1728" s="14"/>
      <c r="E1728" s="8"/>
      <c r="F1728" s="8"/>
      <c r="G1728" s="8"/>
    </row>
    <row r="1729" customFormat="false" ht="15" hidden="false" customHeight="false" outlineLevel="0" collapsed="false">
      <c r="A1729" s="9"/>
      <c r="B1729" s="8"/>
      <c r="C1729" s="10" t="str">
        <f aca="false">IF(B1729="","",IFERROR(VLOOKUP(B1729,DonHang!$A$2:$C$500,3,FALSE()),"mã đơn chưa có"))</f>
        <v/>
      </c>
      <c r="D1729" s="14"/>
      <c r="E1729" s="8"/>
      <c r="F1729" s="8"/>
      <c r="G1729" s="8"/>
    </row>
    <row r="1730" customFormat="false" ht="15" hidden="false" customHeight="false" outlineLevel="0" collapsed="false">
      <c r="A1730" s="9"/>
      <c r="B1730" s="8"/>
      <c r="C1730" s="10" t="str">
        <f aca="false">IF(B1730="","",IFERROR(VLOOKUP(B1730,DonHang!$A$2:$C$500,3,FALSE()),"mã đơn chưa có"))</f>
        <v/>
      </c>
      <c r="D1730" s="14"/>
      <c r="E1730" s="8"/>
      <c r="F1730" s="8"/>
      <c r="G1730" s="8"/>
    </row>
    <row r="1731" customFormat="false" ht="15" hidden="false" customHeight="false" outlineLevel="0" collapsed="false">
      <c r="A1731" s="9"/>
      <c r="B1731" s="8"/>
      <c r="C1731" s="10" t="str">
        <f aca="false">IF(B1731="","",IFERROR(VLOOKUP(B1731,DonHang!$A$2:$C$500,3,FALSE()),"mã đơn chưa có"))</f>
        <v/>
      </c>
      <c r="D1731" s="14"/>
      <c r="E1731" s="8"/>
      <c r="F1731" s="8"/>
      <c r="G1731" s="8"/>
    </row>
    <row r="1732" customFormat="false" ht="15" hidden="false" customHeight="false" outlineLevel="0" collapsed="false">
      <c r="A1732" s="9"/>
      <c r="B1732" s="8"/>
      <c r="C1732" s="10" t="str">
        <f aca="false">IF(B1732="","",IFERROR(VLOOKUP(B1732,DonHang!$A$2:$C$500,3,FALSE()),"mã đơn chưa có"))</f>
        <v/>
      </c>
      <c r="D1732" s="14"/>
      <c r="E1732" s="8"/>
      <c r="F1732" s="8"/>
      <c r="G1732" s="8"/>
    </row>
    <row r="1733" customFormat="false" ht="15" hidden="false" customHeight="false" outlineLevel="0" collapsed="false">
      <c r="A1733" s="9"/>
      <c r="B1733" s="8"/>
      <c r="C1733" s="10" t="str">
        <f aca="false">IF(B1733="","",IFERROR(VLOOKUP(B1733,DonHang!$A$2:$C$500,3,FALSE()),"mã đơn chưa có"))</f>
        <v/>
      </c>
      <c r="D1733" s="14"/>
      <c r="E1733" s="8"/>
      <c r="F1733" s="8"/>
      <c r="G1733" s="8"/>
    </row>
    <row r="1734" customFormat="false" ht="15" hidden="false" customHeight="false" outlineLevel="0" collapsed="false">
      <c r="A1734" s="9"/>
      <c r="B1734" s="8"/>
      <c r="C1734" s="10" t="str">
        <f aca="false">IF(B1734="","",IFERROR(VLOOKUP(B1734,DonHang!$A$2:$C$500,3,FALSE()),"mã đơn chưa có"))</f>
        <v/>
      </c>
      <c r="D1734" s="14"/>
      <c r="E1734" s="8"/>
      <c r="F1734" s="8"/>
      <c r="G1734" s="8"/>
    </row>
    <row r="1735" customFormat="false" ht="15" hidden="false" customHeight="false" outlineLevel="0" collapsed="false">
      <c r="A1735" s="9"/>
      <c r="B1735" s="8"/>
      <c r="C1735" s="10" t="str">
        <f aca="false">IF(B1735="","",IFERROR(VLOOKUP(B1735,DonHang!$A$2:$C$500,3,FALSE()),"mã đơn chưa có"))</f>
        <v/>
      </c>
      <c r="D1735" s="14"/>
      <c r="E1735" s="8"/>
      <c r="F1735" s="8"/>
      <c r="G1735" s="8"/>
    </row>
    <row r="1736" customFormat="false" ht="15" hidden="false" customHeight="false" outlineLevel="0" collapsed="false">
      <c r="A1736" s="9"/>
      <c r="B1736" s="8"/>
      <c r="C1736" s="10" t="str">
        <f aca="false">IF(B1736="","",IFERROR(VLOOKUP(B1736,DonHang!$A$2:$C$500,3,FALSE()),"mã đơn chưa có"))</f>
        <v/>
      </c>
      <c r="D1736" s="14"/>
      <c r="E1736" s="8"/>
      <c r="F1736" s="8"/>
      <c r="G1736" s="8"/>
    </row>
    <row r="1737" customFormat="false" ht="15" hidden="false" customHeight="false" outlineLevel="0" collapsed="false">
      <c r="A1737" s="9"/>
      <c r="B1737" s="8"/>
      <c r="C1737" s="10" t="str">
        <f aca="false">IF(B1737="","",IFERROR(VLOOKUP(B1737,DonHang!$A$2:$C$500,3,FALSE()),"mã đơn chưa có"))</f>
        <v/>
      </c>
      <c r="D1737" s="14"/>
      <c r="E1737" s="8"/>
      <c r="F1737" s="8"/>
      <c r="G1737" s="8"/>
    </row>
    <row r="1738" customFormat="false" ht="15" hidden="false" customHeight="false" outlineLevel="0" collapsed="false">
      <c r="A1738" s="9"/>
      <c r="B1738" s="8"/>
      <c r="C1738" s="10" t="str">
        <f aca="false">IF(B1738="","",IFERROR(VLOOKUP(B1738,DonHang!$A$2:$C$500,3,FALSE()),"mã đơn chưa có"))</f>
        <v/>
      </c>
      <c r="D1738" s="14"/>
      <c r="E1738" s="8"/>
      <c r="F1738" s="8"/>
      <c r="G1738" s="8"/>
    </row>
    <row r="1739" customFormat="false" ht="15" hidden="false" customHeight="false" outlineLevel="0" collapsed="false">
      <c r="A1739" s="9"/>
      <c r="B1739" s="8"/>
      <c r="C1739" s="10" t="str">
        <f aca="false">IF(B1739="","",IFERROR(VLOOKUP(B1739,DonHang!$A$2:$C$500,3,FALSE()),"mã đơn chưa có"))</f>
        <v/>
      </c>
      <c r="D1739" s="14"/>
      <c r="E1739" s="8"/>
      <c r="F1739" s="8"/>
      <c r="G1739" s="8"/>
    </row>
    <row r="1740" customFormat="false" ht="15" hidden="false" customHeight="false" outlineLevel="0" collapsed="false">
      <c r="A1740" s="9"/>
      <c r="B1740" s="8"/>
      <c r="C1740" s="10" t="str">
        <f aca="false">IF(B1740="","",IFERROR(VLOOKUP(B1740,DonHang!$A$2:$C$500,3,FALSE()),"mã đơn chưa có"))</f>
        <v/>
      </c>
      <c r="D1740" s="14"/>
      <c r="E1740" s="8"/>
      <c r="F1740" s="8"/>
      <c r="G1740" s="8"/>
    </row>
    <row r="1741" customFormat="false" ht="15" hidden="false" customHeight="false" outlineLevel="0" collapsed="false">
      <c r="A1741" s="9"/>
      <c r="B1741" s="8"/>
      <c r="C1741" s="10" t="str">
        <f aca="false">IF(B1741="","",IFERROR(VLOOKUP(B1741,DonHang!$A$2:$C$500,3,FALSE()),"mã đơn chưa có"))</f>
        <v/>
      </c>
      <c r="D1741" s="14"/>
      <c r="E1741" s="8"/>
      <c r="F1741" s="8"/>
      <c r="G1741" s="8"/>
    </row>
    <row r="1742" customFormat="false" ht="15" hidden="false" customHeight="false" outlineLevel="0" collapsed="false">
      <c r="A1742" s="9"/>
      <c r="B1742" s="8"/>
      <c r="C1742" s="10" t="str">
        <f aca="false">IF(B1742="","",IFERROR(VLOOKUP(B1742,DonHang!$A$2:$C$500,3,FALSE()),"mã đơn chưa có"))</f>
        <v/>
      </c>
      <c r="D1742" s="14"/>
      <c r="E1742" s="8"/>
      <c r="F1742" s="8"/>
      <c r="G1742" s="8"/>
    </row>
    <row r="1743" customFormat="false" ht="15" hidden="false" customHeight="false" outlineLevel="0" collapsed="false">
      <c r="A1743" s="9"/>
      <c r="B1743" s="8"/>
      <c r="C1743" s="10" t="str">
        <f aca="false">IF(B1743="","",IFERROR(VLOOKUP(B1743,DonHang!$A$2:$C$500,3,FALSE()),"mã đơn chưa có"))</f>
        <v/>
      </c>
      <c r="D1743" s="14"/>
      <c r="E1743" s="8"/>
      <c r="F1743" s="8"/>
      <c r="G1743" s="8"/>
    </row>
    <row r="1744" customFormat="false" ht="15" hidden="false" customHeight="false" outlineLevel="0" collapsed="false">
      <c r="A1744" s="9"/>
      <c r="B1744" s="8"/>
      <c r="C1744" s="10" t="str">
        <f aca="false">IF(B1744="","",IFERROR(VLOOKUP(B1744,DonHang!$A$2:$C$500,3,FALSE()),"mã đơn chưa có"))</f>
        <v/>
      </c>
      <c r="D1744" s="14"/>
      <c r="E1744" s="8"/>
      <c r="F1744" s="8"/>
      <c r="G1744" s="8"/>
    </row>
    <row r="1745" customFormat="false" ht="15" hidden="false" customHeight="false" outlineLevel="0" collapsed="false">
      <c r="A1745" s="9"/>
      <c r="B1745" s="8"/>
      <c r="C1745" s="10" t="str">
        <f aca="false">IF(B1745="","",IFERROR(VLOOKUP(B1745,DonHang!$A$2:$C$500,3,FALSE()),"mã đơn chưa có"))</f>
        <v/>
      </c>
      <c r="D1745" s="14"/>
      <c r="E1745" s="8"/>
      <c r="F1745" s="8"/>
      <c r="G1745" s="8"/>
    </row>
    <row r="1746" customFormat="false" ht="15" hidden="false" customHeight="false" outlineLevel="0" collapsed="false">
      <c r="A1746" s="9"/>
      <c r="B1746" s="8"/>
      <c r="C1746" s="10" t="str">
        <f aca="false">IF(B1746="","",IFERROR(VLOOKUP(B1746,DonHang!$A$2:$C$500,3,FALSE()),"mã đơn chưa có"))</f>
        <v/>
      </c>
      <c r="D1746" s="14"/>
      <c r="E1746" s="8"/>
      <c r="F1746" s="8"/>
      <c r="G1746" s="8"/>
    </row>
    <row r="1747" customFormat="false" ht="15" hidden="false" customHeight="false" outlineLevel="0" collapsed="false">
      <c r="A1747" s="9"/>
      <c r="B1747" s="8"/>
      <c r="C1747" s="10" t="str">
        <f aca="false">IF(B1747="","",IFERROR(VLOOKUP(B1747,DonHang!$A$2:$C$500,3,FALSE()),"mã đơn chưa có"))</f>
        <v/>
      </c>
      <c r="D1747" s="14"/>
      <c r="E1747" s="8"/>
      <c r="F1747" s="8"/>
      <c r="G1747" s="8"/>
    </row>
    <row r="1748" customFormat="false" ht="15" hidden="false" customHeight="false" outlineLevel="0" collapsed="false">
      <c r="A1748" s="9"/>
      <c r="B1748" s="8"/>
      <c r="C1748" s="10" t="str">
        <f aca="false">IF(B1748="","",IFERROR(VLOOKUP(B1748,DonHang!$A$2:$C$500,3,FALSE()),"mã đơn chưa có"))</f>
        <v/>
      </c>
      <c r="D1748" s="14"/>
      <c r="E1748" s="8"/>
      <c r="F1748" s="8"/>
      <c r="G1748" s="8"/>
    </row>
    <row r="1749" customFormat="false" ht="15" hidden="false" customHeight="false" outlineLevel="0" collapsed="false">
      <c r="A1749" s="9"/>
      <c r="B1749" s="8"/>
      <c r="C1749" s="10" t="str">
        <f aca="false">IF(B1749="","",IFERROR(VLOOKUP(B1749,DonHang!$A$2:$C$500,3,FALSE()),"mã đơn chưa có"))</f>
        <v/>
      </c>
      <c r="D1749" s="14"/>
      <c r="E1749" s="8"/>
      <c r="F1749" s="8"/>
      <c r="G1749" s="8"/>
    </row>
    <row r="1750" customFormat="false" ht="15" hidden="false" customHeight="false" outlineLevel="0" collapsed="false">
      <c r="A1750" s="9"/>
      <c r="B1750" s="8"/>
      <c r="C1750" s="10" t="str">
        <f aca="false">IF(B1750="","",IFERROR(VLOOKUP(B1750,DonHang!$A$2:$C$500,3,FALSE()),"mã đơn chưa có"))</f>
        <v/>
      </c>
      <c r="D1750" s="14"/>
      <c r="E1750" s="8"/>
      <c r="F1750" s="8"/>
      <c r="G1750" s="8"/>
    </row>
    <row r="1751" customFormat="false" ht="15" hidden="false" customHeight="false" outlineLevel="0" collapsed="false">
      <c r="A1751" s="9"/>
      <c r="B1751" s="8"/>
      <c r="C1751" s="10" t="str">
        <f aca="false">IF(B1751="","",IFERROR(VLOOKUP(B1751,DonHang!$A$2:$C$500,3,FALSE()),"mã đơn chưa có"))</f>
        <v/>
      </c>
      <c r="D1751" s="14"/>
      <c r="E1751" s="8"/>
      <c r="F1751" s="8"/>
      <c r="G1751" s="8"/>
    </row>
    <row r="1752" customFormat="false" ht="15" hidden="false" customHeight="false" outlineLevel="0" collapsed="false">
      <c r="A1752" s="9"/>
      <c r="B1752" s="8"/>
      <c r="C1752" s="10" t="str">
        <f aca="false">IF(B1752="","",IFERROR(VLOOKUP(B1752,DonHang!$A$2:$C$500,3,FALSE()),"mã đơn chưa có"))</f>
        <v/>
      </c>
      <c r="D1752" s="14"/>
      <c r="E1752" s="8"/>
      <c r="F1752" s="8"/>
      <c r="G1752" s="8"/>
    </row>
    <row r="1753" customFormat="false" ht="15" hidden="false" customHeight="false" outlineLevel="0" collapsed="false">
      <c r="A1753" s="9"/>
      <c r="B1753" s="8"/>
      <c r="C1753" s="10" t="str">
        <f aca="false">IF(B1753="","",IFERROR(VLOOKUP(B1753,DonHang!$A$2:$C$500,3,FALSE()),"mã đơn chưa có"))</f>
        <v/>
      </c>
      <c r="D1753" s="14"/>
      <c r="E1753" s="8"/>
      <c r="F1753" s="8"/>
      <c r="G1753" s="8"/>
    </row>
    <row r="1754" customFormat="false" ht="15" hidden="false" customHeight="false" outlineLevel="0" collapsed="false">
      <c r="A1754" s="9"/>
      <c r="B1754" s="8"/>
      <c r="C1754" s="10" t="str">
        <f aca="false">IF(B1754="","",IFERROR(VLOOKUP(B1754,DonHang!$A$2:$C$500,3,FALSE()),"mã đơn chưa có"))</f>
        <v/>
      </c>
      <c r="D1754" s="14"/>
      <c r="E1754" s="8"/>
      <c r="F1754" s="8"/>
      <c r="G1754" s="8"/>
    </row>
    <row r="1755" customFormat="false" ht="15" hidden="false" customHeight="false" outlineLevel="0" collapsed="false">
      <c r="A1755" s="9"/>
      <c r="B1755" s="8"/>
      <c r="C1755" s="10" t="str">
        <f aca="false">IF(B1755="","",IFERROR(VLOOKUP(B1755,DonHang!$A$2:$C$500,3,FALSE()),"mã đơn chưa có"))</f>
        <v/>
      </c>
      <c r="D1755" s="14"/>
      <c r="E1755" s="8"/>
      <c r="F1755" s="8"/>
      <c r="G1755" s="8"/>
    </row>
    <row r="1756" customFormat="false" ht="15" hidden="false" customHeight="false" outlineLevel="0" collapsed="false">
      <c r="A1756" s="9"/>
      <c r="B1756" s="8"/>
      <c r="C1756" s="10" t="str">
        <f aca="false">IF(B1756="","",IFERROR(VLOOKUP(B1756,DonHang!$A$2:$C$500,3,FALSE()),"mã đơn chưa có"))</f>
        <v/>
      </c>
      <c r="D1756" s="14"/>
      <c r="E1756" s="8"/>
      <c r="F1756" s="8"/>
      <c r="G1756" s="8"/>
    </row>
    <row r="1757" customFormat="false" ht="15" hidden="false" customHeight="false" outlineLevel="0" collapsed="false">
      <c r="A1757" s="9"/>
      <c r="B1757" s="8"/>
      <c r="C1757" s="10" t="str">
        <f aca="false">IF(B1757="","",IFERROR(VLOOKUP(B1757,DonHang!$A$2:$C$500,3,FALSE()),"mã đơn chưa có"))</f>
        <v/>
      </c>
      <c r="D1757" s="14"/>
      <c r="E1757" s="8"/>
      <c r="F1757" s="8"/>
      <c r="G1757" s="8"/>
    </row>
    <row r="1758" customFormat="false" ht="15" hidden="false" customHeight="false" outlineLevel="0" collapsed="false">
      <c r="A1758" s="9"/>
      <c r="B1758" s="8"/>
      <c r="C1758" s="10" t="str">
        <f aca="false">IF(B1758="","",IFERROR(VLOOKUP(B1758,DonHang!$A$2:$C$500,3,FALSE()),"mã đơn chưa có"))</f>
        <v/>
      </c>
      <c r="D1758" s="14"/>
      <c r="E1758" s="8"/>
      <c r="F1758" s="8"/>
      <c r="G1758" s="8"/>
    </row>
    <row r="1759" customFormat="false" ht="15" hidden="false" customHeight="false" outlineLevel="0" collapsed="false">
      <c r="A1759" s="9"/>
      <c r="B1759" s="8"/>
      <c r="C1759" s="10" t="str">
        <f aca="false">IF(B1759="","",IFERROR(VLOOKUP(B1759,DonHang!$A$2:$C$500,3,FALSE()),"mã đơn chưa có"))</f>
        <v/>
      </c>
      <c r="D1759" s="14"/>
      <c r="E1759" s="8"/>
      <c r="F1759" s="8"/>
      <c r="G1759" s="8"/>
    </row>
    <row r="1760" customFormat="false" ht="15" hidden="false" customHeight="false" outlineLevel="0" collapsed="false">
      <c r="A1760" s="9"/>
      <c r="B1760" s="8"/>
      <c r="C1760" s="10" t="str">
        <f aca="false">IF(B1760="","",IFERROR(VLOOKUP(B1760,DonHang!$A$2:$C$500,3,FALSE()),"mã đơn chưa có"))</f>
        <v/>
      </c>
      <c r="D1760" s="14"/>
      <c r="E1760" s="8"/>
      <c r="F1760" s="8"/>
      <c r="G1760" s="8"/>
    </row>
    <row r="1761" customFormat="false" ht="15" hidden="false" customHeight="false" outlineLevel="0" collapsed="false">
      <c r="A1761" s="9"/>
      <c r="B1761" s="8"/>
      <c r="C1761" s="10" t="str">
        <f aca="false">IF(B1761="","",IFERROR(VLOOKUP(B1761,DonHang!$A$2:$C$500,3,FALSE()),"mã đơn chưa có"))</f>
        <v/>
      </c>
      <c r="D1761" s="14"/>
      <c r="E1761" s="8"/>
      <c r="F1761" s="8"/>
      <c r="G1761" s="8"/>
    </row>
    <row r="1762" customFormat="false" ht="15" hidden="false" customHeight="false" outlineLevel="0" collapsed="false">
      <c r="A1762" s="9"/>
      <c r="B1762" s="8"/>
      <c r="C1762" s="10" t="str">
        <f aca="false">IF(B1762="","",IFERROR(VLOOKUP(B1762,DonHang!$A$2:$C$500,3,FALSE()),"mã đơn chưa có"))</f>
        <v/>
      </c>
      <c r="D1762" s="14"/>
      <c r="E1762" s="8"/>
      <c r="F1762" s="8"/>
      <c r="G1762" s="8"/>
    </row>
    <row r="1763" customFormat="false" ht="15" hidden="false" customHeight="false" outlineLevel="0" collapsed="false">
      <c r="A1763" s="9"/>
      <c r="B1763" s="8"/>
      <c r="C1763" s="10" t="str">
        <f aca="false">IF(B1763="","",IFERROR(VLOOKUP(B1763,DonHang!$A$2:$C$500,3,FALSE()),"mã đơn chưa có"))</f>
        <v/>
      </c>
      <c r="D1763" s="14"/>
      <c r="E1763" s="8"/>
      <c r="F1763" s="8"/>
      <c r="G1763" s="8"/>
    </row>
    <row r="1764" customFormat="false" ht="15" hidden="false" customHeight="false" outlineLevel="0" collapsed="false">
      <c r="A1764" s="9"/>
      <c r="B1764" s="8"/>
      <c r="C1764" s="10" t="str">
        <f aca="false">IF(B1764="","",IFERROR(VLOOKUP(B1764,DonHang!$A$2:$C$500,3,FALSE()),"mã đơn chưa có"))</f>
        <v/>
      </c>
      <c r="D1764" s="14"/>
      <c r="E1764" s="8"/>
      <c r="F1764" s="8"/>
      <c r="G1764" s="8"/>
    </row>
    <row r="1765" customFormat="false" ht="15" hidden="false" customHeight="false" outlineLevel="0" collapsed="false">
      <c r="A1765" s="9"/>
      <c r="B1765" s="8"/>
      <c r="C1765" s="10" t="str">
        <f aca="false">IF(B1765="","",IFERROR(VLOOKUP(B1765,DonHang!$A$2:$C$500,3,FALSE()),"mã đơn chưa có"))</f>
        <v/>
      </c>
      <c r="D1765" s="14"/>
      <c r="E1765" s="8"/>
      <c r="F1765" s="8"/>
      <c r="G1765" s="8"/>
    </row>
    <row r="1766" customFormat="false" ht="15" hidden="false" customHeight="false" outlineLevel="0" collapsed="false">
      <c r="A1766" s="9"/>
      <c r="B1766" s="8"/>
      <c r="C1766" s="10" t="str">
        <f aca="false">IF(B1766="","",IFERROR(VLOOKUP(B1766,DonHang!$A$2:$C$500,3,FALSE()),"mã đơn chưa có"))</f>
        <v/>
      </c>
      <c r="D1766" s="14"/>
      <c r="E1766" s="8"/>
      <c r="F1766" s="8"/>
      <c r="G1766" s="8"/>
    </row>
    <row r="1767" customFormat="false" ht="15" hidden="false" customHeight="false" outlineLevel="0" collapsed="false">
      <c r="A1767" s="9"/>
      <c r="B1767" s="8"/>
      <c r="C1767" s="10" t="str">
        <f aca="false">IF(B1767="","",IFERROR(VLOOKUP(B1767,DonHang!$A$2:$C$500,3,FALSE()),"mã đơn chưa có"))</f>
        <v/>
      </c>
      <c r="D1767" s="14"/>
      <c r="E1767" s="8"/>
      <c r="F1767" s="8"/>
      <c r="G1767" s="8"/>
    </row>
    <row r="1768" customFormat="false" ht="15" hidden="false" customHeight="false" outlineLevel="0" collapsed="false">
      <c r="A1768" s="9"/>
      <c r="B1768" s="8"/>
      <c r="C1768" s="10" t="str">
        <f aca="false">IF(B1768="","",IFERROR(VLOOKUP(B1768,DonHang!$A$2:$C$500,3,FALSE()),"mã đơn chưa có"))</f>
        <v/>
      </c>
      <c r="D1768" s="14"/>
      <c r="E1768" s="8"/>
      <c r="F1768" s="8"/>
      <c r="G1768" s="8"/>
    </row>
    <row r="1769" customFormat="false" ht="15" hidden="false" customHeight="false" outlineLevel="0" collapsed="false">
      <c r="A1769" s="9"/>
      <c r="B1769" s="8"/>
      <c r="C1769" s="10" t="str">
        <f aca="false">IF(B1769="","",IFERROR(VLOOKUP(B1769,DonHang!$A$2:$C$500,3,FALSE()),"mã đơn chưa có"))</f>
        <v/>
      </c>
      <c r="D1769" s="14"/>
      <c r="E1769" s="8"/>
      <c r="F1769" s="8"/>
      <c r="G1769" s="8"/>
    </row>
    <row r="1770" customFormat="false" ht="15" hidden="false" customHeight="false" outlineLevel="0" collapsed="false">
      <c r="A1770" s="9"/>
      <c r="B1770" s="8"/>
      <c r="C1770" s="10" t="str">
        <f aca="false">IF(B1770="","",IFERROR(VLOOKUP(B1770,DonHang!$A$2:$C$500,3,FALSE()),"mã đơn chưa có"))</f>
        <v/>
      </c>
      <c r="D1770" s="14"/>
      <c r="E1770" s="8"/>
      <c r="F1770" s="8"/>
      <c r="G1770" s="8"/>
    </row>
    <row r="1771" customFormat="false" ht="15" hidden="false" customHeight="false" outlineLevel="0" collapsed="false">
      <c r="A1771" s="9"/>
      <c r="B1771" s="8"/>
      <c r="C1771" s="10" t="str">
        <f aca="false">IF(B1771="","",IFERROR(VLOOKUP(B1771,DonHang!$A$2:$C$500,3,FALSE()),"mã đơn chưa có"))</f>
        <v/>
      </c>
      <c r="D1771" s="14"/>
      <c r="E1771" s="8"/>
      <c r="F1771" s="8"/>
      <c r="G1771" s="8"/>
    </row>
    <row r="1772" customFormat="false" ht="15" hidden="false" customHeight="false" outlineLevel="0" collapsed="false">
      <c r="A1772" s="9"/>
      <c r="B1772" s="8"/>
      <c r="C1772" s="10" t="str">
        <f aca="false">IF(B1772="","",IFERROR(VLOOKUP(B1772,DonHang!$A$2:$C$500,3,FALSE()),"mã đơn chưa có"))</f>
        <v/>
      </c>
      <c r="D1772" s="14"/>
      <c r="E1772" s="8"/>
      <c r="F1772" s="8"/>
      <c r="G1772" s="8"/>
    </row>
    <row r="1773" customFormat="false" ht="15" hidden="false" customHeight="false" outlineLevel="0" collapsed="false">
      <c r="A1773" s="9"/>
      <c r="B1773" s="8"/>
      <c r="C1773" s="10" t="str">
        <f aca="false">IF(B1773="","",IFERROR(VLOOKUP(B1773,DonHang!$A$2:$C$500,3,FALSE()),"mã đơn chưa có"))</f>
        <v/>
      </c>
      <c r="D1773" s="14"/>
      <c r="E1773" s="8"/>
      <c r="F1773" s="8"/>
      <c r="G1773" s="8"/>
    </row>
    <row r="1774" customFormat="false" ht="15" hidden="false" customHeight="false" outlineLevel="0" collapsed="false">
      <c r="A1774" s="9"/>
      <c r="B1774" s="8"/>
      <c r="C1774" s="10" t="str">
        <f aca="false">IF(B1774="","",IFERROR(VLOOKUP(B1774,DonHang!$A$2:$C$500,3,FALSE()),"mã đơn chưa có"))</f>
        <v/>
      </c>
      <c r="D1774" s="14"/>
      <c r="E1774" s="8"/>
      <c r="F1774" s="8"/>
      <c r="G1774" s="8"/>
    </row>
    <row r="1775" customFormat="false" ht="15" hidden="false" customHeight="false" outlineLevel="0" collapsed="false">
      <c r="A1775" s="9"/>
      <c r="B1775" s="8"/>
      <c r="C1775" s="10" t="str">
        <f aca="false">IF(B1775="","",IFERROR(VLOOKUP(B1775,DonHang!$A$2:$C$500,3,FALSE()),"mã đơn chưa có"))</f>
        <v/>
      </c>
      <c r="D1775" s="14"/>
      <c r="E1775" s="8"/>
      <c r="F1775" s="8"/>
      <c r="G1775" s="8"/>
    </row>
    <row r="1776" customFormat="false" ht="15" hidden="false" customHeight="false" outlineLevel="0" collapsed="false">
      <c r="A1776" s="9"/>
      <c r="B1776" s="8"/>
      <c r="C1776" s="10" t="str">
        <f aca="false">IF(B1776="","",IFERROR(VLOOKUP(B1776,DonHang!$A$2:$C$500,3,FALSE()),"mã đơn chưa có"))</f>
        <v/>
      </c>
      <c r="D1776" s="14"/>
      <c r="E1776" s="8"/>
      <c r="F1776" s="8"/>
      <c r="G1776" s="8"/>
    </row>
    <row r="1777" customFormat="false" ht="15" hidden="false" customHeight="false" outlineLevel="0" collapsed="false">
      <c r="A1777" s="9"/>
      <c r="B1777" s="8"/>
      <c r="C1777" s="10" t="str">
        <f aca="false">IF(B1777="","",IFERROR(VLOOKUP(B1777,DonHang!$A$2:$C$500,3,FALSE()),"mã đơn chưa có"))</f>
        <v/>
      </c>
      <c r="D1777" s="14"/>
      <c r="E1777" s="8"/>
      <c r="F1777" s="8"/>
      <c r="G1777" s="8"/>
    </row>
    <row r="1778" customFormat="false" ht="15" hidden="false" customHeight="false" outlineLevel="0" collapsed="false">
      <c r="A1778" s="9"/>
      <c r="B1778" s="8"/>
      <c r="C1778" s="10" t="str">
        <f aca="false">IF(B1778="","",IFERROR(VLOOKUP(B1778,DonHang!$A$2:$C$500,3,FALSE()),"mã đơn chưa có"))</f>
        <v/>
      </c>
      <c r="D1778" s="14"/>
      <c r="E1778" s="8"/>
      <c r="F1778" s="8"/>
      <c r="G1778" s="8"/>
    </row>
    <row r="1779" customFormat="false" ht="15" hidden="false" customHeight="false" outlineLevel="0" collapsed="false">
      <c r="A1779" s="9"/>
      <c r="B1779" s="8"/>
      <c r="C1779" s="10" t="str">
        <f aca="false">IF(B1779="","",IFERROR(VLOOKUP(B1779,DonHang!$A$2:$C$500,3,FALSE()),"mã đơn chưa có"))</f>
        <v/>
      </c>
      <c r="D1779" s="14"/>
      <c r="E1779" s="8"/>
      <c r="F1779" s="8"/>
      <c r="G1779" s="8"/>
    </row>
    <row r="1780" customFormat="false" ht="15" hidden="false" customHeight="false" outlineLevel="0" collapsed="false">
      <c r="A1780" s="9"/>
      <c r="B1780" s="8"/>
      <c r="C1780" s="10" t="str">
        <f aca="false">IF(B1780="","",IFERROR(VLOOKUP(B1780,DonHang!$A$2:$C$500,3,FALSE()),"mã đơn chưa có"))</f>
        <v/>
      </c>
      <c r="D1780" s="14"/>
      <c r="E1780" s="8"/>
      <c r="F1780" s="8"/>
      <c r="G1780" s="8"/>
    </row>
    <row r="1781" customFormat="false" ht="15" hidden="false" customHeight="false" outlineLevel="0" collapsed="false">
      <c r="A1781" s="9"/>
      <c r="B1781" s="8"/>
      <c r="C1781" s="10" t="str">
        <f aca="false">IF(B1781="","",IFERROR(VLOOKUP(B1781,DonHang!$A$2:$C$500,3,FALSE()),"mã đơn chưa có"))</f>
        <v/>
      </c>
      <c r="D1781" s="14"/>
      <c r="E1781" s="8"/>
      <c r="F1781" s="8"/>
      <c r="G1781" s="8"/>
    </row>
    <row r="1782" customFormat="false" ht="15" hidden="false" customHeight="false" outlineLevel="0" collapsed="false">
      <c r="A1782" s="9"/>
      <c r="B1782" s="8"/>
      <c r="C1782" s="10" t="str">
        <f aca="false">IF(B1782="","",IFERROR(VLOOKUP(B1782,DonHang!$A$2:$C$500,3,FALSE()),"mã đơn chưa có"))</f>
        <v/>
      </c>
      <c r="D1782" s="14"/>
      <c r="E1782" s="8"/>
      <c r="F1782" s="8"/>
      <c r="G1782" s="8"/>
    </row>
    <row r="1783" customFormat="false" ht="15" hidden="false" customHeight="false" outlineLevel="0" collapsed="false">
      <c r="A1783" s="9"/>
      <c r="B1783" s="8"/>
      <c r="C1783" s="10" t="str">
        <f aca="false">IF(B1783="","",IFERROR(VLOOKUP(B1783,DonHang!$A$2:$C$500,3,FALSE()),"mã đơn chưa có"))</f>
        <v/>
      </c>
      <c r="D1783" s="14"/>
      <c r="E1783" s="8"/>
      <c r="F1783" s="8"/>
      <c r="G1783" s="8"/>
    </row>
    <row r="1784" customFormat="false" ht="15" hidden="false" customHeight="false" outlineLevel="0" collapsed="false">
      <c r="A1784" s="9"/>
      <c r="B1784" s="8"/>
      <c r="C1784" s="10" t="str">
        <f aca="false">IF(B1784="","",IFERROR(VLOOKUP(B1784,DonHang!$A$2:$C$500,3,FALSE()),"mã đơn chưa có"))</f>
        <v/>
      </c>
      <c r="D1784" s="14"/>
      <c r="E1784" s="8"/>
      <c r="F1784" s="8"/>
      <c r="G1784" s="8"/>
    </row>
    <row r="1785" customFormat="false" ht="15" hidden="false" customHeight="false" outlineLevel="0" collapsed="false">
      <c r="A1785" s="9"/>
      <c r="B1785" s="8"/>
      <c r="C1785" s="10" t="str">
        <f aca="false">IF(B1785="","",IFERROR(VLOOKUP(B1785,DonHang!$A$2:$C$500,3,FALSE()),"mã đơn chưa có"))</f>
        <v/>
      </c>
      <c r="D1785" s="14"/>
      <c r="E1785" s="8"/>
      <c r="F1785" s="8"/>
      <c r="G1785" s="8"/>
    </row>
    <row r="1786" customFormat="false" ht="15" hidden="false" customHeight="false" outlineLevel="0" collapsed="false">
      <c r="A1786" s="9"/>
      <c r="B1786" s="8"/>
      <c r="C1786" s="10" t="str">
        <f aca="false">IF(B1786="","",IFERROR(VLOOKUP(B1786,DonHang!$A$2:$C$500,3,FALSE()),"mã đơn chưa có"))</f>
        <v/>
      </c>
      <c r="D1786" s="14"/>
      <c r="E1786" s="8"/>
      <c r="F1786" s="8"/>
      <c r="G1786" s="8"/>
    </row>
    <row r="1787" customFormat="false" ht="15" hidden="false" customHeight="false" outlineLevel="0" collapsed="false">
      <c r="A1787" s="9"/>
      <c r="B1787" s="8"/>
      <c r="C1787" s="10" t="str">
        <f aca="false">IF(B1787="","",IFERROR(VLOOKUP(B1787,DonHang!$A$2:$C$500,3,FALSE()),"mã đơn chưa có"))</f>
        <v/>
      </c>
      <c r="D1787" s="14"/>
      <c r="E1787" s="8"/>
      <c r="F1787" s="8"/>
      <c r="G1787" s="8"/>
    </row>
    <row r="1788" customFormat="false" ht="15" hidden="false" customHeight="false" outlineLevel="0" collapsed="false">
      <c r="A1788" s="9"/>
      <c r="B1788" s="8"/>
      <c r="C1788" s="10" t="str">
        <f aca="false">IF(B1788="","",IFERROR(VLOOKUP(B1788,DonHang!$A$2:$C$500,3,FALSE()),"mã đơn chưa có"))</f>
        <v/>
      </c>
      <c r="D1788" s="14"/>
      <c r="E1788" s="8"/>
      <c r="F1788" s="8"/>
      <c r="G1788" s="8"/>
    </row>
    <row r="1789" customFormat="false" ht="15" hidden="false" customHeight="false" outlineLevel="0" collapsed="false">
      <c r="A1789" s="9"/>
      <c r="B1789" s="8"/>
      <c r="C1789" s="10" t="str">
        <f aca="false">IF(B1789="","",IFERROR(VLOOKUP(B1789,DonHang!$A$2:$C$500,3,FALSE()),"mã đơn chưa có"))</f>
        <v/>
      </c>
      <c r="D1789" s="14"/>
      <c r="E1789" s="8"/>
      <c r="F1789" s="8"/>
      <c r="G1789" s="8"/>
    </row>
    <row r="1790" customFormat="false" ht="15" hidden="false" customHeight="false" outlineLevel="0" collapsed="false">
      <c r="A1790" s="9"/>
      <c r="B1790" s="8"/>
      <c r="C1790" s="10" t="str">
        <f aca="false">IF(B1790="","",IFERROR(VLOOKUP(B1790,DonHang!$A$2:$C$500,3,FALSE()),"mã đơn chưa có"))</f>
        <v/>
      </c>
      <c r="D1790" s="14"/>
      <c r="E1790" s="8"/>
      <c r="F1790" s="8"/>
      <c r="G1790" s="8"/>
    </row>
    <row r="1791" customFormat="false" ht="15" hidden="false" customHeight="false" outlineLevel="0" collapsed="false">
      <c r="A1791" s="9"/>
      <c r="B1791" s="8"/>
      <c r="C1791" s="10" t="str">
        <f aca="false">IF(B1791="","",IFERROR(VLOOKUP(B1791,DonHang!$A$2:$C$500,3,FALSE()),"mã đơn chưa có"))</f>
        <v/>
      </c>
      <c r="D1791" s="14"/>
      <c r="E1791" s="8"/>
      <c r="F1791" s="8"/>
      <c r="G1791" s="8"/>
    </row>
    <row r="1792" customFormat="false" ht="15" hidden="false" customHeight="false" outlineLevel="0" collapsed="false">
      <c r="A1792" s="9"/>
      <c r="B1792" s="8"/>
      <c r="C1792" s="10" t="str">
        <f aca="false">IF(B1792="","",IFERROR(VLOOKUP(B1792,DonHang!$A$2:$C$500,3,FALSE()),"mã đơn chưa có"))</f>
        <v/>
      </c>
      <c r="D1792" s="14"/>
      <c r="E1792" s="8"/>
      <c r="F1792" s="8"/>
      <c r="G1792" s="8"/>
    </row>
    <row r="1793" customFormat="false" ht="15" hidden="false" customHeight="false" outlineLevel="0" collapsed="false">
      <c r="A1793" s="9"/>
      <c r="B1793" s="8"/>
      <c r="C1793" s="10" t="str">
        <f aca="false">IF(B1793="","",IFERROR(VLOOKUP(B1793,DonHang!$A$2:$C$500,3,FALSE()),"mã đơn chưa có"))</f>
        <v/>
      </c>
      <c r="D1793" s="14"/>
      <c r="E1793" s="8"/>
      <c r="F1793" s="8"/>
      <c r="G1793" s="8"/>
    </row>
    <row r="1794" customFormat="false" ht="15" hidden="false" customHeight="false" outlineLevel="0" collapsed="false">
      <c r="A1794" s="9"/>
      <c r="B1794" s="8"/>
      <c r="C1794" s="10" t="str">
        <f aca="false">IF(B1794="","",IFERROR(VLOOKUP(B1794,DonHang!$A$2:$C$500,3,FALSE()),"mã đơn chưa có"))</f>
        <v/>
      </c>
      <c r="D1794" s="14"/>
      <c r="E1794" s="8"/>
      <c r="F1794" s="8"/>
      <c r="G1794" s="8"/>
    </row>
    <row r="1795" customFormat="false" ht="15" hidden="false" customHeight="false" outlineLevel="0" collapsed="false">
      <c r="A1795" s="9"/>
      <c r="B1795" s="8"/>
      <c r="C1795" s="10" t="str">
        <f aca="false">IF(B1795="","",IFERROR(VLOOKUP(B1795,DonHang!$A$2:$C$500,3,FALSE()),"mã đơn chưa có"))</f>
        <v/>
      </c>
      <c r="D1795" s="14"/>
      <c r="E1795" s="8"/>
      <c r="F1795" s="8"/>
      <c r="G1795" s="8"/>
    </row>
    <row r="1796" customFormat="false" ht="15" hidden="false" customHeight="false" outlineLevel="0" collapsed="false">
      <c r="A1796" s="9"/>
      <c r="B1796" s="8"/>
      <c r="C1796" s="10" t="str">
        <f aca="false">IF(B1796="","",IFERROR(VLOOKUP(B1796,DonHang!$A$2:$C$500,3,FALSE()),"mã đơn chưa có"))</f>
        <v/>
      </c>
      <c r="D1796" s="14"/>
      <c r="E1796" s="8"/>
      <c r="F1796" s="8"/>
      <c r="G1796" s="8"/>
    </row>
    <row r="1797" customFormat="false" ht="15" hidden="false" customHeight="false" outlineLevel="0" collapsed="false">
      <c r="A1797" s="9"/>
      <c r="B1797" s="8"/>
      <c r="C1797" s="10" t="str">
        <f aca="false">IF(B1797="","",IFERROR(VLOOKUP(B1797,DonHang!$A$2:$C$500,3,FALSE()),"mã đơn chưa có"))</f>
        <v/>
      </c>
      <c r="D1797" s="14"/>
      <c r="E1797" s="8"/>
      <c r="F1797" s="8"/>
      <c r="G1797" s="8"/>
    </row>
    <row r="1798" customFormat="false" ht="15" hidden="false" customHeight="false" outlineLevel="0" collapsed="false">
      <c r="A1798" s="9"/>
      <c r="B1798" s="8"/>
      <c r="C1798" s="10" t="str">
        <f aca="false">IF(B1798="","",IFERROR(VLOOKUP(B1798,DonHang!$A$2:$C$500,3,FALSE()),"mã đơn chưa có"))</f>
        <v/>
      </c>
      <c r="D1798" s="14"/>
      <c r="E1798" s="8"/>
      <c r="F1798" s="8"/>
      <c r="G1798" s="8"/>
    </row>
    <row r="1799" customFormat="false" ht="15" hidden="false" customHeight="false" outlineLevel="0" collapsed="false">
      <c r="A1799" s="9"/>
      <c r="B1799" s="8"/>
      <c r="C1799" s="10" t="str">
        <f aca="false">IF(B1799="","",IFERROR(VLOOKUP(B1799,DonHang!$A$2:$C$500,3,FALSE()),"mã đơn chưa có"))</f>
        <v/>
      </c>
      <c r="D1799" s="14"/>
      <c r="E1799" s="8"/>
      <c r="F1799" s="8"/>
      <c r="G1799" s="8"/>
    </row>
    <row r="1800" customFormat="false" ht="15" hidden="false" customHeight="false" outlineLevel="0" collapsed="false">
      <c r="A1800" s="9"/>
      <c r="B1800" s="8"/>
      <c r="C1800" s="10" t="str">
        <f aca="false">IF(B1800="","",IFERROR(VLOOKUP(B1800,DonHang!$A$2:$C$500,3,FALSE()),"mã đơn chưa có"))</f>
        <v/>
      </c>
      <c r="D1800" s="14"/>
      <c r="E1800" s="8"/>
      <c r="F1800" s="8"/>
      <c r="G1800" s="8"/>
    </row>
    <row r="1801" customFormat="false" ht="15" hidden="false" customHeight="false" outlineLevel="0" collapsed="false">
      <c r="A1801" s="9"/>
      <c r="B1801" s="8"/>
      <c r="C1801" s="10" t="str">
        <f aca="false">IF(B1801="","",IFERROR(VLOOKUP(B1801,DonHang!$A$2:$C$500,3,FALSE()),"mã đơn chưa có"))</f>
        <v/>
      </c>
      <c r="D1801" s="14"/>
      <c r="E1801" s="8"/>
      <c r="F1801" s="8"/>
      <c r="G1801" s="8"/>
    </row>
    <row r="1802" customFormat="false" ht="15" hidden="false" customHeight="false" outlineLevel="0" collapsed="false">
      <c r="A1802" s="9"/>
      <c r="B1802" s="8"/>
      <c r="C1802" s="10" t="str">
        <f aca="false">IF(B1802="","",IFERROR(VLOOKUP(B1802,DonHang!$A$2:$C$500,3,FALSE()),"mã đơn chưa có"))</f>
        <v/>
      </c>
      <c r="D1802" s="14"/>
      <c r="E1802" s="8"/>
      <c r="F1802" s="8"/>
      <c r="G1802" s="8"/>
    </row>
    <row r="1803" customFormat="false" ht="15" hidden="false" customHeight="false" outlineLevel="0" collapsed="false">
      <c r="A1803" s="9"/>
      <c r="B1803" s="8"/>
      <c r="C1803" s="10" t="str">
        <f aca="false">IF(B1803="","",IFERROR(VLOOKUP(B1803,DonHang!$A$2:$C$500,3,FALSE()),"mã đơn chưa có"))</f>
        <v/>
      </c>
      <c r="D1803" s="14"/>
      <c r="E1803" s="8"/>
      <c r="F1803" s="8"/>
      <c r="G1803" s="8"/>
    </row>
    <row r="1804" customFormat="false" ht="15" hidden="false" customHeight="false" outlineLevel="0" collapsed="false">
      <c r="A1804" s="9"/>
      <c r="B1804" s="8"/>
      <c r="C1804" s="10" t="str">
        <f aca="false">IF(B1804="","",IFERROR(VLOOKUP(B1804,DonHang!$A$2:$C$500,3,FALSE()),"mã đơn chưa có"))</f>
        <v/>
      </c>
      <c r="D1804" s="14"/>
      <c r="E1804" s="8"/>
      <c r="F1804" s="8"/>
      <c r="G1804" s="8"/>
    </row>
    <row r="1805" customFormat="false" ht="15" hidden="false" customHeight="false" outlineLevel="0" collapsed="false">
      <c r="A1805" s="9"/>
      <c r="B1805" s="8"/>
      <c r="C1805" s="10" t="str">
        <f aca="false">IF(B1805="","",IFERROR(VLOOKUP(B1805,DonHang!$A$2:$C$500,3,FALSE()),"mã đơn chưa có"))</f>
        <v/>
      </c>
      <c r="D1805" s="14"/>
      <c r="E1805" s="8"/>
      <c r="F1805" s="8"/>
      <c r="G1805" s="8"/>
    </row>
    <row r="1806" customFormat="false" ht="15" hidden="false" customHeight="false" outlineLevel="0" collapsed="false">
      <c r="A1806" s="9"/>
      <c r="B1806" s="8"/>
      <c r="C1806" s="10" t="str">
        <f aca="false">IF(B1806="","",IFERROR(VLOOKUP(B1806,DonHang!$A$2:$C$500,3,FALSE()),"mã đơn chưa có"))</f>
        <v/>
      </c>
      <c r="D1806" s="14"/>
      <c r="E1806" s="8"/>
      <c r="F1806" s="8"/>
      <c r="G1806" s="8"/>
    </row>
    <row r="1807" customFormat="false" ht="15" hidden="false" customHeight="false" outlineLevel="0" collapsed="false">
      <c r="A1807" s="9"/>
      <c r="B1807" s="8"/>
      <c r="C1807" s="10" t="str">
        <f aca="false">IF(B1807="","",IFERROR(VLOOKUP(B1807,DonHang!$A$2:$C$500,3,FALSE()),"mã đơn chưa có"))</f>
        <v/>
      </c>
      <c r="D1807" s="14"/>
      <c r="E1807" s="8"/>
      <c r="F1807" s="8"/>
      <c r="G1807" s="8"/>
    </row>
    <row r="1808" customFormat="false" ht="15" hidden="false" customHeight="false" outlineLevel="0" collapsed="false">
      <c r="A1808" s="9"/>
      <c r="B1808" s="8"/>
      <c r="C1808" s="10" t="str">
        <f aca="false">IF(B1808="","",IFERROR(VLOOKUP(B1808,DonHang!$A$2:$C$500,3,FALSE()),"mã đơn chưa có"))</f>
        <v/>
      </c>
      <c r="D1808" s="14"/>
      <c r="E1808" s="8"/>
      <c r="F1808" s="8"/>
      <c r="G1808" s="8"/>
    </row>
    <row r="1809" customFormat="false" ht="15" hidden="false" customHeight="false" outlineLevel="0" collapsed="false">
      <c r="A1809" s="9"/>
      <c r="B1809" s="8"/>
      <c r="C1809" s="10" t="str">
        <f aca="false">IF(B1809="","",IFERROR(VLOOKUP(B1809,DonHang!$A$2:$C$500,3,FALSE()),"mã đơn chưa có"))</f>
        <v/>
      </c>
      <c r="D1809" s="14"/>
      <c r="E1809" s="8"/>
      <c r="F1809" s="8"/>
      <c r="G1809" s="8"/>
    </row>
    <row r="1810" customFormat="false" ht="15" hidden="false" customHeight="false" outlineLevel="0" collapsed="false">
      <c r="A1810" s="9"/>
      <c r="B1810" s="8"/>
      <c r="C1810" s="10" t="str">
        <f aca="false">IF(B1810="","",IFERROR(VLOOKUP(B1810,DonHang!$A$2:$C$500,3,FALSE()),"mã đơn chưa có"))</f>
        <v/>
      </c>
      <c r="D1810" s="14"/>
      <c r="E1810" s="8"/>
      <c r="F1810" s="8"/>
      <c r="G1810" s="8"/>
    </row>
    <row r="1811" customFormat="false" ht="15" hidden="false" customHeight="false" outlineLevel="0" collapsed="false">
      <c r="A1811" s="9"/>
      <c r="B1811" s="8"/>
      <c r="C1811" s="10" t="str">
        <f aca="false">IF(B1811="","",IFERROR(VLOOKUP(B1811,DonHang!$A$2:$C$500,3,FALSE()),"mã đơn chưa có"))</f>
        <v/>
      </c>
      <c r="D1811" s="14"/>
      <c r="E1811" s="8"/>
      <c r="F1811" s="8"/>
      <c r="G1811" s="8"/>
    </row>
    <row r="1812" customFormat="false" ht="15" hidden="false" customHeight="false" outlineLevel="0" collapsed="false">
      <c r="A1812" s="9"/>
      <c r="B1812" s="8"/>
      <c r="C1812" s="10" t="str">
        <f aca="false">IF(B1812="","",IFERROR(VLOOKUP(B1812,DonHang!$A$2:$C$500,3,FALSE()),"mã đơn chưa có"))</f>
        <v/>
      </c>
      <c r="D1812" s="14"/>
      <c r="E1812" s="8"/>
      <c r="F1812" s="8"/>
      <c r="G1812" s="8"/>
    </row>
    <row r="1813" customFormat="false" ht="15" hidden="false" customHeight="false" outlineLevel="0" collapsed="false">
      <c r="A1813" s="9"/>
      <c r="B1813" s="8"/>
      <c r="C1813" s="10" t="str">
        <f aca="false">IF(B1813="","",IFERROR(VLOOKUP(B1813,DonHang!$A$2:$C$500,3,FALSE()),"mã đơn chưa có"))</f>
        <v/>
      </c>
      <c r="D1813" s="14"/>
      <c r="E1813" s="8"/>
      <c r="F1813" s="8"/>
      <c r="G1813" s="8"/>
    </row>
    <row r="1814" customFormat="false" ht="15" hidden="false" customHeight="false" outlineLevel="0" collapsed="false">
      <c r="A1814" s="9"/>
      <c r="B1814" s="8"/>
      <c r="C1814" s="10" t="str">
        <f aca="false">IF(B1814="","",IFERROR(VLOOKUP(B1814,DonHang!$A$2:$C$500,3,FALSE()),"mã đơn chưa có"))</f>
        <v/>
      </c>
      <c r="D1814" s="14"/>
      <c r="E1814" s="8"/>
      <c r="F1814" s="8"/>
      <c r="G1814" s="8"/>
    </row>
    <row r="1815" customFormat="false" ht="15" hidden="false" customHeight="false" outlineLevel="0" collapsed="false">
      <c r="A1815" s="9"/>
      <c r="B1815" s="8"/>
      <c r="C1815" s="10" t="str">
        <f aca="false">IF(B1815="","",IFERROR(VLOOKUP(B1815,DonHang!$A$2:$C$500,3,FALSE()),"mã đơn chưa có"))</f>
        <v/>
      </c>
      <c r="D1815" s="14"/>
      <c r="E1815" s="8"/>
      <c r="F1815" s="8"/>
      <c r="G1815" s="8"/>
    </row>
    <row r="1816" customFormat="false" ht="15" hidden="false" customHeight="false" outlineLevel="0" collapsed="false">
      <c r="A1816" s="9"/>
      <c r="B1816" s="8"/>
      <c r="C1816" s="10" t="str">
        <f aca="false">IF(B1816="","",IFERROR(VLOOKUP(B1816,DonHang!$A$2:$C$500,3,FALSE()),"mã đơn chưa có"))</f>
        <v/>
      </c>
      <c r="D1816" s="14"/>
      <c r="E1816" s="8"/>
      <c r="F1816" s="8"/>
      <c r="G1816" s="8"/>
    </row>
    <row r="1817" customFormat="false" ht="15" hidden="false" customHeight="false" outlineLevel="0" collapsed="false">
      <c r="A1817" s="9"/>
      <c r="B1817" s="8"/>
      <c r="C1817" s="10" t="str">
        <f aca="false">IF(B1817="","",IFERROR(VLOOKUP(B1817,DonHang!$A$2:$C$500,3,FALSE()),"mã đơn chưa có"))</f>
        <v/>
      </c>
      <c r="D1817" s="14"/>
      <c r="E1817" s="8"/>
      <c r="F1817" s="8"/>
      <c r="G1817" s="8"/>
    </row>
    <row r="1818" customFormat="false" ht="15" hidden="false" customHeight="false" outlineLevel="0" collapsed="false">
      <c r="A1818" s="9"/>
      <c r="B1818" s="8"/>
      <c r="C1818" s="10" t="str">
        <f aca="false">IF(B1818="","",IFERROR(VLOOKUP(B1818,DonHang!$A$2:$C$500,3,FALSE()),"mã đơn chưa có"))</f>
        <v/>
      </c>
      <c r="D1818" s="14"/>
      <c r="E1818" s="8"/>
      <c r="F1818" s="8"/>
      <c r="G1818" s="8"/>
    </row>
    <row r="1819" customFormat="false" ht="15" hidden="false" customHeight="false" outlineLevel="0" collapsed="false">
      <c r="A1819" s="9"/>
      <c r="B1819" s="8"/>
      <c r="C1819" s="10" t="str">
        <f aca="false">IF(B1819="","",IFERROR(VLOOKUP(B1819,DonHang!$A$2:$C$500,3,FALSE()),"mã đơn chưa có"))</f>
        <v/>
      </c>
      <c r="D1819" s="14"/>
      <c r="E1819" s="8"/>
      <c r="F1819" s="8"/>
      <c r="G1819" s="8"/>
    </row>
    <row r="1820" customFormat="false" ht="15" hidden="false" customHeight="false" outlineLevel="0" collapsed="false">
      <c r="A1820" s="9"/>
      <c r="B1820" s="8"/>
      <c r="C1820" s="10" t="str">
        <f aca="false">IF(B1820="","",IFERROR(VLOOKUP(B1820,DonHang!$A$2:$C$500,3,FALSE()),"mã đơn chưa có"))</f>
        <v/>
      </c>
      <c r="D1820" s="14"/>
      <c r="E1820" s="8"/>
      <c r="F1820" s="8"/>
      <c r="G1820" s="8"/>
    </row>
    <row r="1821" customFormat="false" ht="15" hidden="false" customHeight="false" outlineLevel="0" collapsed="false">
      <c r="A1821" s="9"/>
      <c r="B1821" s="8"/>
      <c r="C1821" s="10" t="str">
        <f aca="false">IF(B1821="","",IFERROR(VLOOKUP(B1821,DonHang!$A$2:$C$500,3,FALSE()),"mã đơn chưa có"))</f>
        <v/>
      </c>
      <c r="D1821" s="14"/>
      <c r="E1821" s="8"/>
      <c r="F1821" s="8"/>
      <c r="G1821" s="8"/>
    </row>
    <row r="1822" customFormat="false" ht="15" hidden="false" customHeight="false" outlineLevel="0" collapsed="false">
      <c r="A1822" s="9"/>
      <c r="B1822" s="8"/>
      <c r="C1822" s="10" t="str">
        <f aca="false">IF(B1822="","",IFERROR(VLOOKUP(B1822,DonHang!$A$2:$C$500,3,FALSE()),"mã đơn chưa có"))</f>
        <v/>
      </c>
      <c r="D1822" s="14"/>
      <c r="E1822" s="8"/>
      <c r="F1822" s="8"/>
      <c r="G1822" s="8"/>
    </row>
    <row r="1823" customFormat="false" ht="15" hidden="false" customHeight="false" outlineLevel="0" collapsed="false">
      <c r="A1823" s="9"/>
      <c r="B1823" s="8"/>
      <c r="C1823" s="10" t="str">
        <f aca="false">IF(B1823="","",IFERROR(VLOOKUP(B1823,DonHang!$A$2:$C$500,3,FALSE()),"mã đơn chưa có"))</f>
        <v/>
      </c>
      <c r="D1823" s="14"/>
      <c r="E1823" s="8"/>
      <c r="F1823" s="8"/>
      <c r="G1823" s="8"/>
    </row>
    <row r="1824" customFormat="false" ht="15" hidden="false" customHeight="false" outlineLevel="0" collapsed="false">
      <c r="A1824" s="9"/>
      <c r="B1824" s="8"/>
      <c r="C1824" s="10" t="str">
        <f aca="false">IF(B1824="","",IFERROR(VLOOKUP(B1824,DonHang!$A$2:$C$500,3,FALSE()),"mã đơn chưa có"))</f>
        <v/>
      </c>
      <c r="D1824" s="14"/>
      <c r="E1824" s="8"/>
      <c r="F1824" s="8"/>
      <c r="G1824" s="8"/>
    </row>
    <row r="1825" customFormat="false" ht="15" hidden="false" customHeight="false" outlineLevel="0" collapsed="false">
      <c r="A1825" s="9"/>
      <c r="B1825" s="8"/>
      <c r="C1825" s="10" t="str">
        <f aca="false">IF(B1825="","",IFERROR(VLOOKUP(B1825,DonHang!$A$2:$C$500,3,FALSE()),"mã đơn chưa có"))</f>
        <v/>
      </c>
      <c r="D1825" s="14"/>
      <c r="E1825" s="8"/>
      <c r="F1825" s="8"/>
      <c r="G1825" s="8"/>
    </row>
    <row r="1826" customFormat="false" ht="15" hidden="false" customHeight="false" outlineLevel="0" collapsed="false">
      <c r="A1826" s="9"/>
      <c r="B1826" s="8"/>
      <c r="C1826" s="10" t="str">
        <f aca="false">IF(B1826="","",IFERROR(VLOOKUP(B1826,DonHang!$A$2:$C$500,3,FALSE()),"mã đơn chưa có"))</f>
        <v/>
      </c>
      <c r="D1826" s="14"/>
      <c r="E1826" s="8"/>
      <c r="F1826" s="8"/>
      <c r="G1826" s="8"/>
    </row>
    <row r="1827" customFormat="false" ht="15" hidden="false" customHeight="false" outlineLevel="0" collapsed="false">
      <c r="A1827" s="9"/>
      <c r="B1827" s="8"/>
      <c r="C1827" s="10" t="str">
        <f aca="false">IF(B1827="","",IFERROR(VLOOKUP(B1827,DonHang!$A$2:$C$500,3,FALSE()),"mã đơn chưa có"))</f>
        <v/>
      </c>
      <c r="D1827" s="14"/>
      <c r="E1827" s="8"/>
      <c r="F1827" s="8"/>
      <c r="G1827" s="8"/>
    </row>
    <row r="1828" customFormat="false" ht="15" hidden="false" customHeight="false" outlineLevel="0" collapsed="false">
      <c r="A1828" s="9"/>
      <c r="B1828" s="8"/>
      <c r="C1828" s="10" t="str">
        <f aca="false">IF(B1828="","",IFERROR(VLOOKUP(B1828,DonHang!$A$2:$C$500,3,FALSE()),"mã đơn chưa có"))</f>
        <v/>
      </c>
      <c r="D1828" s="14"/>
      <c r="E1828" s="8"/>
      <c r="F1828" s="8"/>
      <c r="G1828" s="8"/>
    </row>
    <row r="1829" customFormat="false" ht="15" hidden="false" customHeight="false" outlineLevel="0" collapsed="false">
      <c r="A1829" s="9"/>
      <c r="B1829" s="8"/>
      <c r="C1829" s="10" t="str">
        <f aca="false">IF(B1829="","",IFERROR(VLOOKUP(B1829,DonHang!$A$2:$C$500,3,FALSE()),"mã đơn chưa có"))</f>
        <v/>
      </c>
      <c r="D1829" s="14"/>
      <c r="E1829" s="8"/>
      <c r="F1829" s="8"/>
      <c r="G1829" s="8"/>
    </row>
    <row r="1830" customFormat="false" ht="15" hidden="false" customHeight="false" outlineLevel="0" collapsed="false">
      <c r="A1830" s="9"/>
      <c r="B1830" s="8"/>
      <c r="C1830" s="10" t="str">
        <f aca="false">IF(B1830="","",IFERROR(VLOOKUP(B1830,DonHang!$A$2:$C$500,3,FALSE()),"mã đơn chưa có"))</f>
        <v/>
      </c>
      <c r="D1830" s="14"/>
      <c r="E1830" s="8"/>
      <c r="F1830" s="8"/>
      <c r="G1830" s="8"/>
    </row>
    <row r="1831" customFormat="false" ht="15" hidden="false" customHeight="false" outlineLevel="0" collapsed="false">
      <c r="A1831" s="9"/>
      <c r="B1831" s="8"/>
      <c r="C1831" s="10" t="str">
        <f aca="false">IF(B1831="","",IFERROR(VLOOKUP(B1831,DonHang!$A$2:$C$500,3,FALSE()),"mã đơn chưa có"))</f>
        <v/>
      </c>
      <c r="D1831" s="14"/>
      <c r="E1831" s="8"/>
      <c r="F1831" s="8"/>
      <c r="G1831" s="8"/>
    </row>
    <row r="1832" customFormat="false" ht="15" hidden="false" customHeight="false" outlineLevel="0" collapsed="false">
      <c r="A1832" s="9"/>
      <c r="B1832" s="8"/>
      <c r="C1832" s="10" t="str">
        <f aca="false">IF(B1832="","",IFERROR(VLOOKUP(B1832,DonHang!$A$2:$C$500,3,FALSE()),"mã đơn chưa có"))</f>
        <v/>
      </c>
      <c r="D1832" s="14"/>
      <c r="E1832" s="8"/>
      <c r="F1832" s="8"/>
      <c r="G1832" s="8"/>
    </row>
    <row r="1833" customFormat="false" ht="15" hidden="false" customHeight="false" outlineLevel="0" collapsed="false">
      <c r="A1833" s="9"/>
      <c r="B1833" s="8"/>
      <c r="C1833" s="10" t="str">
        <f aca="false">IF(B1833="","",IFERROR(VLOOKUP(B1833,DonHang!$A$2:$C$500,3,FALSE()),"mã đơn chưa có"))</f>
        <v/>
      </c>
      <c r="D1833" s="14"/>
      <c r="E1833" s="8"/>
      <c r="F1833" s="8"/>
      <c r="G1833" s="8"/>
    </row>
    <row r="1834" customFormat="false" ht="15" hidden="false" customHeight="false" outlineLevel="0" collapsed="false">
      <c r="A1834" s="9"/>
      <c r="B1834" s="8"/>
      <c r="C1834" s="10" t="str">
        <f aca="false">IF(B1834="","",IFERROR(VLOOKUP(B1834,DonHang!$A$2:$C$500,3,FALSE()),"mã đơn chưa có"))</f>
        <v/>
      </c>
      <c r="D1834" s="14"/>
      <c r="E1834" s="8"/>
      <c r="F1834" s="8"/>
      <c r="G1834" s="8"/>
    </row>
    <row r="1835" customFormat="false" ht="15" hidden="false" customHeight="false" outlineLevel="0" collapsed="false">
      <c r="A1835" s="9"/>
      <c r="B1835" s="8"/>
      <c r="C1835" s="10" t="str">
        <f aca="false">IF(B1835="","",IFERROR(VLOOKUP(B1835,DonHang!$A$2:$C$500,3,FALSE()),"mã đơn chưa có"))</f>
        <v/>
      </c>
      <c r="D1835" s="14"/>
      <c r="E1835" s="8"/>
      <c r="F1835" s="8"/>
      <c r="G1835" s="8"/>
    </row>
    <row r="1836" customFormat="false" ht="15" hidden="false" customHeight="false" outlineLevel="0" collapsed="false">
      <c r="A1836" s="9"/>
      <c r="B1836" s="8"/>
      <c r="C1836" s="10" t="str">
        <f aca="false">IF(B1836="","",IFERROR(VLOOKUP(B1836,DonHang!$A$2:$C$500,3,FALSE()),"mã đơn chưa có"))</f>
        <v/>
      </c>
      <c r="D1836" s="14"/>
      <c r="E1836" s="8"/>
      <c r="F1836" s="8"/>
      <c r="G1836" s="8"/>
    </row>
    <row r="1837" customFormat="false" ht="15" hidden="false" customHeight="false" outlineLevel="0" collapsed="false">
      <c r="A1837" s="9"/>
      <c r="B1837" s="8"/>
      <c r="C1837" s="10" t="str">
        <f aca="false">IF(B1837="","",IFERROR(VLOOKUP(B1837,DonHang!$A$2:$C$500,3,FALSE()),"mã đơn chưa có"))</f>
        <v/>
      </c>
      <c r="D1837" s="14"/>
      <c r="E1837" s="8"/>
      <c r="F1837" s="8"/>
      <c r="G1837" s="8"/>
    </row>
    <row r="1838" customFormat="false" ht="15" hidden="false" customHeight="false" outlineLevel="0" collapsed="false">
      <c r="A1838" s="9"/>
      <c r="B1838" s="8"/>
      <c r="C1838" s="10" t="str">
        <f aca="false">IF(B1838="","",IFERROR(VLOOKUP(B1838,DonHang!$A$2:$C$500,3,FALSE()),"mã đơn chưa có"))</f>
        <v/>
      </c>
      <c r="D1838" s="14"/>
      <c r="E1838" s="8"/>
      <c r="F1838" s="8"/>
      <c r="G1838" s="8"/>
    </row>
    <row r="1839" customFormat="false" ht="15" hidden="false" customHeight="false" outlineLevel="0" collapsed="false">
      <c r="A1839" s="9"/>
      <c r="B1839" s="8"/>
      <c r="C1839" s="10" t="str">
        <f aca="false">IF(B1839="","",IFERROR(VLOOKUP(B1839,DonHang!$A$2:$C$500,3,FALSE()),"mã đơn chưa có"))</f>
        <v/>
      </c>
      <c r="D1839" s="14"/>
      <c r="E1839" s="8"/>
      <c r="F1839" s="8"/>
      <c r="G1839" s="8"/>
    </row>
    <row r="1840" customFormat="false" ht="15" hidden="false" customHeight="false" outlineLevel="0" collapsed="false">
      <c r="A1840" s="9"/>
      <c r="B1840" s="8"/>
      <c r="C1840" s="10" t="str">
        <f aca="false">IF(B1840="","",IFERROR(VLOOKUP(B1840,DonHang!$A$2:$C$500,3,FALSE()),"mã đơn chưa có"))</f>
        <v/>
      </c>
      <c r="D1840" s="14"/>
      <c r="E1840" s="8"/>
      <c r="F1840" s="8"/>
      <c r="G1840" s="8"/>
    </row>
    <row r="1841" customFormat="false" ht="15" hidden="false" customHeight="false" outlineLevel="0" collapsed="false">
      <c r="A1841" s="9"/>
      <c r="B1841" s="8"/>
      <c r="C1841" s="10" t="str">
        <f aca="false">IF(B1841="","",IFERROR(VLOOKUP(B1841,DonHang!$A$2:$C$500,3,FALSE()),"mã đơn chưa có"))</f>
        <v/>
      </c>
      <c r="D1841" s="14"/>
      <c r="E1841" s="8"/>
      <c r="F1841" s="8"/>
      <c r="G1841" s="8"/>
    </row>
    <row r="1842" customFormat="false" ht="15" hidden="false" customHeight="false" outlineLevel="0" collapsed="false">
      <c r="A1842" s="9"/>
      <c r="B1842" s="8"/>
      <c r="C1842" s="10" t="str">
        <f aca="false">IF(B1842="","",IFERROR(VLOOKUP(B1842,DonHang!$A$2:$C$500,3,FALSE()),"mã đơn chưa có"))</f>
        <v/>
      </c>
      <c r="D1842" s="14"/>
      <c r="E1842" s="8"/>
      <c r="F1842" s="8"/>
      <c r="G1842" s="8"/>
    </row>
    <row r="1843" customFormat="false" ht="15" hidden="false" customHeight="false" outlineLevel="0" collapsed="false">
      <c r="A1843" s="9"/>
      <c r="B1843" s="8"/>
      <c r="C1843" s="10" t="str">
        <f aca="false">IF(B1843="","",IFERROR(VLOOKUP(B1843,DonHang!$A$2:$C$500,3,FALSE()),"mã đơn chưa có"))</f>
        <v/>
      </c>
      <c r="D1843" s="14"/>
      <c r="E1843" s="8"/>
      <c r="F1843" s="8"/>
      <c r="G1843" s="8"/>
    </row>
    <row r="1844" customFormat="false" ht="15" hidden="false" customHeight="false" outlineLevel="0" collapsed="false">
      <c r="A1844" s="9"/>
      <c r="B1844" s="8"/>
      <c r="C1844" s="10" t="str">
        <f aca="false">IF(B1844="","",IFERROR(VLOOKUP(B1844,DonHang!$A$2:$C$500,3,FALSE()),"mã đơn chưa có"))</f>
        <v/>
      </c>
      <c r="D1844" s="14"/>
      <c r="E1844" s="8"/>
      <c r="F1844" s="8"/>
      <c r="G1844" s="8"/>
    </row>
    <row r="1845" customFormat="false" ht="15" hidden="false" customHeight="false" outlineLevel="0" collapsed="false">
      <c r="A1845" s="9"/>
      <c r="B1845" s="8"/>
      <c r="C1845" s="10" t="str">
        <f aca="false">IF(B1845="","",IFERROR(VLOOKUP(B1845,DonHang!$A$2:$C$500,3,FALSE()),"mã đơn chưa có"))</f>
        <v/>
      </c>
      <c r="D1845" s="14"/>
      <c r="E1845" s="8"/>
      <c r="F1845" s="8"/>
      <c r="G1845" s="8"/>
    </row>
    <row r="1846" customFormat="false" ht="15" hidden="false" customHeight="false" outlineLevel="0" collapsed="false">
      <c r="A1846" s="9"/>
      <c r="B1846" s="8"/>
      <c r="C1846" s="10" t="str">
        <f aca="false">IF(B1846="","",IFERROR(VLOOKUP(B1846,DonHang!$A$2:$C$500,3,FALSE()),"mã đơn chưa có"))</f>
        <v/>
      </c>
      <c r="D1846" s="14"/>
      <c r="E1846" s="8"/>
      <c r="F1846" s="8"/>
      <c r="G1846" s="8"/>
    </row>
    <row r="1847" customFormat="false" ht="15" hidden="false" customHeight="false" outlineLevel="0" collapsed="false">
      <c r="A1847" s="9"/>
      <c r="B1847" s="8"/>
      <c r="C1847" s="10" t="str">
        <f aca="false">IF(B1847="","",IFERROR(VLOOKUP(B1847,DonHang!$A$2:$C$500,3,FALSE()),"mã đơn chưa có"))</f>
        <v/>
      </c>
      <c r="D1847" s="14"/>
      <c r="E1847" s="8"/>
      <c r="F1847" s="8"/>
      <c r="G1847" s="8"/>
    </row>
    <row r="1848" customFormat="false" ht="15" hidden="false" customHeight="false" outlineLevel="0" collapsed="false">
      <c r="A1848" s="9"/>
      <c r="B1848" s="8"/>
      <c r="C1848" s="10" t="str">
        <f aca="false">IF(B1848="","",IFERROR(VLOOKUP(B1848,DonHang!$A$2:$C$500,3,FALSE()),"mã đơn chưa có"))</f>
        <v/>
      </c>
      <c r="D1848" s="14"/>
      <c r="E1848" s="8"/>
      <c r="F1848" s="8"/>
      <c r="G1848" s="8"/>
    </row>
    <row r="1849" customFormat="false" ht="15" hidden="false" customHeight="false" outlineLevel="0" collapsed="false">
      <c r="A1849" s="9"/>
      <c r="B1849" s="8"/>
      <c r="C1849" s="10" t="str">
        <f aca="false">IF(B1849="","",IFERROR(VLOOKUP(B1849,DonHang!$A$2:$C$500,3,FALSE()),"mã đơn chưa có"))</f>
        <v/>
      </c>
      <c r="D1849" s="14"/>
      <c r="E1849" s="8"/>
      <c r="F1849" s="8"/>
      <c r="G1849" s="8"/>
    </row>
    <row r="1850" customFormat="false" ht="15" hidden="false" customHeight="false" outlineLevel="0" collapsed="false">
      <c r="A1850" s="9"/>
      <c r="B1850" s="8"/>
      <c r="C1850" s="10" t="str">
        <f aca="false">IF(B1850="","",IFERROR(VLOOKUP(B1850,DonHang!$A$2:$C$500,3,FALSE()),"mã đơn chưa có"))</f>
        <v/>
      </c>
      <c r="D1850" s="14"/>
      <c r="E1850" s="8"/>
      <c r="F1850" s="8"/>
      <c r="G1850" s="8"/>
    </row>
    <row r="1851" customFormat="false" ht="15" hidden="false" customHeight="false" outlineLevel="0" collapsed="false">
      <c r="A1851" s="9"/>
      <c r="B1851" s="8"/>
      <c r="C1851" s="10" t="str">
        <f aca="false">IF(B1851="","",IFERROR(VLOOKUP(B1851,DonHang!$A$2:$C$500,3,FALSE()),"mã đơn chưa có"))</f>
        <v/>
      </c>
      <c r="D1851" s="14"/>
      <c r="E1851" s="8"/>
      <c r="F1851" s="8"/>
      <c r="G1851" s="8"/>
    </row>
    <row r="1852" customFormat="false" ht="15" hidden="false" customHeight="false" outlineLevel="0" collapsed="false">
      <c r="A1852" s="9"/>
      <c r="B1852" s="8"/>
      <c r="C1852" s="10" t="str">
        <f aca="false">IF(B1852="","",IFERROR(VLOOKUP(B1852,DonHang!$A$2:$C$500,3,FALSE()),"mã đơn chưa có"))</f>
        <v/>
      </c>
      <c r="D1852" s="14"/>
      <c r="E1852" s="8"/>
      <c r="F1852" s="8"/>
      <c r="G1852" s="8"/>
    </row>
    <row r="1853" customFormat="false" ht="15" hidden="false" customHeight="false" outlineLevel="0" collapsed="false">
      <c r="A1853" s="9"/>
      <c r="B1853" s="8"/>
      <c r="C1853" s="10" t="str">
        <f aca="false">IF(B1853="","",IFERROR(VLOOKUP(B1853,DonHang!$A$2:$C$500,3,FALSE()),"mã đơn chưa có"))</f>
        <v/>
      </c>
      <c r="D1853" s="14"/>
      <c r="E1853" s="8"/>
      <c r="F1853" s="8"/>
      <c r="G1853" s="8"/>
    </row>
    <row r="1854" customFormat="false" ht="15" hidden="false" customHeight="false" outlineLevel="0" collapsed="false">
      <c r="A1854" s="9"/>
      <c r="B1854" s="8"/>
      <c r="C1854" s="10" t="str">
        <f aca="false">IF(B1854="","",IFERROR(VLOOKUP(B1854,DonHang!$A$2:$C$500,3,FALSE()),"mã đơn chưa có"))</f>
        <v/>
      </c>
      <c r="D1854" s="14"/>
      <c r="E1854" s="8"/>
      <c r="F1854" s="8"/>
      <c r="G1854" s="8"/>
    </row>
    <row r="1855" customFormat="false" ht="15" hidden="false" customHeight="false" outlineLevel="0" collapsed="false">
      <c r="A1855" s="9"/>
      <c r="B1855" s="8"/>
      <c r="C1855" s="10" t="str">
        <f aca="false">IF(B1855="","",IFERROR(VLOOKUP(B1855,DonHang!$A$2:$C$500,3,FALSE()),"mã đơn chưa có"))</f>
        <v/>
      </c>
      <c r="D1855" s="14"/>
      <c r="E1855" s="8"/>
      <c r="F1855" s="8"/>
      <c r="G1855" s="8"/>
    </row>
    <row r="1856" customFormat="false" ht="15" hidden="false" customHeight="false" outlineLevel="0" collapsed="false">
      <c r="A1856" s="9"/>
      <c r="B1856" s="8"/>
      <c r="C1856" s="10" t="str">
        <f aca="false">IF(B1856="","",IFERROR(VLOOKUP(B1856,DonHang!$A$2:$C$500,3,FALSE()),"mã đơn chưa có"))</f>
        <v/>
      </c>
      <c r="D1856" s="14"/>
      <c r="E1856" s="8"/>
      <c r="F1856" s="8"/>
      <c r="G1856" s="8"/>
    </row>
    <row r="1857" customFormat="false" ht="15" hidden="false" customHeight="false" outlineLevel="0" collapsed="false">
      <c r="A1857" s="9"/>
      <c r="B1857" s="8"/>
      <c r="C1857" s="10" t="str">
        <f aca="false">IF(B1857="","",IFERROR(VLOOKUP(B1857,DonHang!$A$2:$C$500,3,FALSE()),"mã đơn chưa có"))</f>
        <v/>
      </c>
      <c r="D1857" s="14"/>
      <c r="E1857" s="8"/>
      <c r="F1857" s="8"/>
      <c r="G1857" s="8"/>
    </row>
    <row r="1858" customFormat="false" ht="15" hidden="false" customHeight="false" outlineLevel="0" collapsed="false">
      <c r="A1858" s="9"/>
      <c r="B1858" s="8"/>
      <c r="C1858" s="10" t="str">
        <f aca="false">IF(B1858="","",IFERROR(VLOOKUP(B1858,DonHang!$A$2:$C$500,3,FALSE()),"mã đơn chưa có"))</f>
        <v/>
      </c>
      <c r="D1858" s="14"/>
      <c r="E1858" s="8"/>
      <c r="F1858" s="8"/>
      <c r="G1858" s="8"/>
    </row>
    <row r="1859" customFormat="false" ht="15" hidden="false" customHeight="false" outlineLevel="0" collapsed="false">
      <c r="A1859" s="9"/>
      <c r="B1859" s="8"/>
      <c r="C1859" s="10" t="str">
        <f aca="false">IF(B1859="","",IFERROR(VLOOKUP(B1859,DonHang!$A$2:$C$500,3,FALSE()),"mã đơn chưa có"))</f>
        <v/>
      </c>
      <c r="D1859" s="14"/>
      <c r="E1859" s="8"/>
      <c r="F1859" s="8"/>
      <c r="G1859" s="8"/>
    </row>
    <row r="1860" customFormat="false" ht="15" hidden="false" customHeight="false" outlineLevel="0" collapsed="false">
      <c r="A1860" s="9"/>
      <c r="B1860" s="8"/>
      <c r="C1860" s="10" t="str">
        <f aca="false">IF(B1860="","",IFERROR(VLOOKUP(B1860,DonHang!$A$2:$C$500,3,FALSE()),"mã đơn chưa có"))</f>
        <v/>
      </c>
      <c r="D1860" s="14"/>
      <c r="E1860" s="8"/>
      <c r="F1860" s="8"/>
      <c r="G1860" s="8"/>
    </row>
    <row r="1861" customFormat="false" ht="15" hidden="false" customHeight="false" outlineLevel="0" collapsed="false">
      <c r="A1861" s="9"/>
      <c r="B1861" s="8"/>
      <c r="C1861" s="10" t="str">
        <f aca="false">IF(B1861="","",IFERROR(VLOOKUP(B1861,DonHang!$A$2:$C$500,3,FALSE()),"mã đơn chưa có"))</f>
        <v/>
      </c>
      <c r="D1861" s="14"/>
      <c r="E1861" s="8"/>
      <c r="F1861" s="8"/>
      <c r="G1861" s="8"/>
    </row>
    <row r="1862" customFormat="false" ht="15" hidden="false" customHeight="false" outlineLevel="0" collapsed="false">
      <c r="A1862" s="9"/>
      <c r="B1862" s="8"/>
      <c r="C1862" s="10" t="str">
        <f aca="false">IF(B1862="","",IFERROR(VLOOKUP(B1862,DonHang!$A$2:$C$500,3,FALSE()),"mã đơn chưa có"))</f>
        <v/>
      </c>
      <c r="D1862" s="14"/>
      <c r="E1862" s="8"/>
      <c r="F1862" s="8"/>
      <c r="G1862" s="8"/>
    </row>
    <row r="1863" customFormat="false" ht="15" hidden="false" customHeight="false" outlineLevel="0" collapsed="false">
      <c r="A1863" s="9"/>
      <c r="B1863" s="8"/>
      <c r="C1863" s="10" t="str">
        <f aca="false">IF(B1863="","",IFERROR(VLOOKUP(B1863,DonHang!$A$2:$C$500,3,FALSE()),"mã đơn chưa có"))</f>
        <v/>
      </c>
      <c r="D1863" s="14"/>
      <c r="E1863" s="8"/>
      <c r="F1863" s="8"/>
      <c r="G1863" s="8"/>
    </row>
    <row r="1864" customFormat="false" ht="15" hidden="false" customHeight="false" outlineLevel="0" collapsed="false">
      <c r="A1864" s="9"/>
      <c r="B1864" s="8"/>
      <c r="C1864" s="10" t="str">
        <f aca="false">IF(B1864="","",IFERROR(VLOOKUP(B1864,DonHang!$A$2:$C$500,3,FALSE()),"mã đơn chưa có"))</f>
        <v/>
      </c>
      <c r="D1864" s="14"/>
      <c r="E1864" s="8"/>
      <c r="F1864" s="8"/>
      <c r="G1864" s="8"/>
    </row>
    <row r="1865" customFormat="false" ht="15" hidden="false" customHeight="false" outlineLevel="0" collapsed="false">
      <c r="A1865" s="9"/>
      <c r="B1865" s="8"/>
      <c r="C1865" s="10" t="str">
        <f aca="false">IF(B1865="","",IFERROR(VLOOKUP(B1865,DonHang!$A$2:$C$500,3,FALSE()),"mã đơn chưa có"))</f>
        <v/>
      </c>
      <c r="D1865" s="14"/>
      <c r="E1865" s="8"/>
      <c r="F1865" s="8"/>
      <c r="G1865" s="8"/>
    </row>
    <row r="1866" customFormat="false" ht="15" hidden="false" customHeight="false" outlineLevel="0" collapsed="false">
      <c r="A1866" s="9"/>
      <c r="B1866" s="8"/>
      <c r="C1866" s="10" t="str">
        <f aca="false">IF(B1866="","",IFERROR(VLOOKUP(B1866,DonHang!$A$2:$C$500,3,FALSE()),"mã đơn chưa có"))</f>
        <v/>
      </c>
      <c r="D1866" s="14"/>
      <c r="E1866" s="8"/>
      <c r="F1866" s="8"/>
      <c r="G1866" s="8"/>
    </row>
    <row r="1867" customFormat="false" ht="15" hidden="false" customHeight="false" outlineLevel="0" collapsed="false">
      <c r="A1867" s="9"/>
      <c r="B1867" s="8"/>
      <c r="C1867" s="10" t="str">
        <f aca="false">IF(B1867="","",IFERROR(VLOOKUP(B1867,DonHang!$A$2:$C$500,3,FALSE()),"mã đơn chưa có"))</f>
        <v/>
      </c>
      <c r="D1867" s="14"/>
      <c r="E1867" s="8"/>
      <c r="F1867" s="8"/>
      <c r="G1867" s="8"/>
    </row>
    <row r="1868" customFormat="false" ht="15" hidden="false" customHeight="false" outlineLevel="0" collapsed="false">
      <c r="A1868" s="9"/>
      <c r="B1868" s="8"/>
      <c r="C1868" s="10" t="str">
        <f aca="false">IF(B1868="","",IFERROR(VLOOKUP(B1868,DonHang!$A$2:$C$500,3,FALSE()),"mã đơn chưa có"))</f>
        <v/>
      </c>
      <c r="D1868" s="14"/>
      <c r="E1868" s="8"/>
      <c r="F1868" s="8"/>
      <c r="G1868" s="8"/>
    </row>
    <row r="1869" customFormat="false" ht="15" hidden="false" customHeight="false" outlineLevel="0" collapsed="false">
      <c r="A1869" s="9"/>
      <c r="B1869" s="8"/>
      <c r="C1869" s="10" t="str">
        <f aca="false">IF(B1869="","",IFERROR(VLOOKUP(B1869,DonHang!$A$2:$C$500,3,FALSE()),"mã đơn chưa có"))</f>
        <v/>
      </c>
      <c r="D1869" s="14"/>
      <c r="E1869" s="8"/>
      <c r="F1869" s="8"/>
      <c r="G1869" s="8"/>
    </row>
    <row r="1870" customFormat="false" ht="15" hidden="false" customHeight="false" outlineLevel="0" collapsed="false">
      <c r="A1870" s="9"/>
      <c r="B1870" s="8"/>
      <c r="C1870" s="10" t="str">
        <f aca="false">IF(B1870="","",IFERROR(VLOOKUP(B1870,DonHang!$A$2:$C$500,3,FALSE()),"mã đơn chưa có"))</f>
        <v/>
      </c>
      <c r="D1870" s="14"/>
      <c r="E1870" s="8"/>
      <c r="F1870" s="8"/>
      <c r="G1870" s="8"/>
    </row>
    <row r="1871" customFormat="false" ht="15" hidden="false" customHeight="false" outlineLevel="0" collapsed="false">
      <c r="A1871" s="9"/>
      <c r="B1871" s="8"/>
      <c r="C1871" s="10" t="str">
        <f aca="false">IF(B1871="","",IFERROR(VLOOKUP(B1871,DonHang!$A$2:$C$500,3,FALSE()),"mã đơn chưa có"))</f>
        <v/>
      </c>
      <c r="D1871" s="14"/>
      <c r="E1871" s="8"/>
      <c r="F1871" s="8"/>
      <c r="G1871" s="8"/>
    </row>
    <row r="1872" customFormat="false" ht="15" hidden="false" customHeight="false" outlineLevel="0" collapsed="false">
      <c r="A1872" s="9"/>
      <c r="B1872" s="8"/>
      <c r="C1872" s="10" t="str">
        <f aca="false">IF(B1872="","",IFERROR(VLOOKUP(B1872,DonHang!$A$2:$C$500,3,FALSE()),"mã đơn chưa có"))</f>
        <v/>
      </c>
      <c r="D1872" s="14"/>
      <c r="E1872" s="8"/>
      <c r="F1872" s="8"/>
      <c r="G1872" s="8"/>
    </row>
    <row r="1873" customFormat="false" ht="15" hidden="false" customHeight="false" outlineLevel="0" collapsed="false">
      <c r="A1873" s="9"/>
      <c r="B1873" s="8"/>
      <c r="C1873" s="10" t="str">
        <f aca="false">IF(B1873="","",IFERROR(VLOOKUP(B1873,DonHang!$A$2:$C$500,3,FALSE()),"mã đơn chưa có"))</f>
        <v/>
      </c>
      <c r="D1873" s="14"/>
      <c r="E1873" s="8"/>
      <c r="F1873" s="8"/>
      <c r="G1873" s="8"/>
    </row>
    <row r="1874" customFormat="false" ht="15" hidden="false" customHeight="false" outlineLevel="0" collapsed="false">
      <c r="A1874" s="9"/>
      <c r="B1874" s="8"/>
      <c r="C1874" s="10" t="str">
        <f aca="false">IF(B1874="","",IFERROR(VLOOKUP(B1874,DonHang!$A$2:$C$500,3,FALSE()),"mã đơn chưa có"))</f>
        <v/>
      </c>
      <c r="D1874" s="14"/>
      <c r="E1874" s="8"/>
      <c r="F1874" s="8"/>
      <c r="G1874" s="8"/>
    </row>
    <row r="1875" customFormat="false" ht="15" hidden="false" customHeight="false" outlineLevel="0" collapsed="false">
      <c r="A1875" s="9"/>
      <c r="B1875" s="8"/>
      <c r="C1875" s="10" t="str">
        <f aca="false">IF(B1875="","",IFERROR(VLOOKUP(B1875,DonHang!$A$2:$C$500,3,FALSE()),"mã đơn chưa có"))</f>
        <v/>
      </c>
      <c r="D1875" s="14"/>
      <c r="E1875" s="8"/>
      <c r="F1875" s="8"/>
      <c r="G1875" s="8"/>
    </row>
    <row r="1876" customFormat="false" ht="15" hidden="false" customHeight="false" outlineLevel="0" collapsed="false">
      <c r="A1876" s="9"/>
      <c r="B1876" s="8"/>
      <c r="C1876" s="10" t="str">
        <f aca="false">IF(B1876="","",IFERROR(VLOOKUP(B1876,DonHang!$A$2:$C$500,3,FALSE()),"mã đơn chưa có"))</f>
        <v/>
      </c>
      <c r="D1876" s="14"/>
      <c r="E1876" s="8"/>
      <c r="F1876" s="8"/>
      <c r="G1876" s="8"/>
    </row>
    <row r="1877" customFormat="false" ht="15" hidden="false" customHeight="false" outlineLevel="0" collapsed="false">
      <c r="A1877" s="9"/>
      <c r="B1877" s="8"/>
      <c r="C1877" s="10" t="str">
        <f aca="false">IF(B1877="","",IFERROR(VLOOKUP(B1877,DonHang!$A$2:$C$500,3,FALSE()),"mã đơn chưa có"))</f>
        <v/>
      </c>
      <c r="D1877" s="14"/>
      <c r="E1877" s="8"/>
      <c r="F1877" s="8"/>
      <c r="G1877" s="8"/>
    </row>
    <row r="1878" customFormat="false" ht="15" hidden="false" customHeight="false" outlineLevel="0" collapsed="false">
      <c r="A1878" s="9"/>
      <c r="B1878" s="8"/>
      <c r="C1878" s="10" t="str">
        <f aca="false">IF(B1878="","",IFERROR(VLOOKUP(B1878,DonHang!$A$2:$C$500,3,FALSE()),"mã đơn chưa có"))</f>
        <v/>
      </c>
      <c r="D1878" s="14"/>
      <c r="E1878" s="8"/>
      <c r="F1878" s="8"/>
      <c r="G1878" s="8"/>
    </row>
    <row r="1879" customFormat="false" ht="15" hidden="false" customHeight="false" outlineLevel="0" collapsed="false">
      <c r="A1879" s="9"/>
      <c r="B1879" s="8"/>
      <c r="C1879" s="10" t="str">
        <f aca="false">IF(B1879="","",IFERROR(VLOOKUP(B1879,DonHang!$A$2:$C$500,3,FALSE()),"mã đơn chưa có"))</f>
        <v/>
      </c>
      <c r="D1879" s="14"/>
      <c r="E1879" s="8"/>
      <c r="F1879" s="8"/>
      <c r="G1879" s="8"/>
    </row>
    <row r="1880" customFormat="false" ht="15" hidden="false" customHeight="false" outlineLevel="0" collapsed="false">
      <c r="A1880" s="9"/>
      <c r="B1880" s="8"/>
      <c r="C1880" s="10" t="str">
        <f aca="false">IF(B1880="","",IFERROR(VLOOKUP(B1880,DonHang!$A$2:$C$500,3,FALSE()),"mã đơn chưa có"))</f>
        <v/>
      </c>
      <c r="D1880" s="14"/>
      <c r="E1880" s="8"/>
      <c r="F1880" s="8"/>
      <c r="G1880" s="8"/>
    </row>
    <row r="1881" customFormat="false" ht="15" hidden="false" customHeight="false" outlineLevel="0" collapsed="false">
      <c r="A1881" s="9"/>
      <c r="B1881" s="8"/>
      <c r="C1881" s="10" t="str">
        <f aca="false">IF(B1881="","",IFERROR(VLOOKUP(B1881,DonHang!$A$2:$C$500,3,FALSE()),"mã đơn chưa có"))</f>
        <v/>
      </c>
      <c r="D1881" s="14"/>
      <c r="E1881" s="8"/>
      <c r="F1881" s="8"/>
      <c r="G1881" s="8"/>
    </row>
    <row r="1882" customFormat="false" ht="15" hidden="false" customHeight="false" outlineLevel="0" collapsed="false">
      <c r="A1882" s="9"/>
      <c r="B1882" s="8"/>
      <c r="C1882" s="10" t="str">
        <f aca="false">IF(B1882="","",IFERROR(VLOOKUP(B1882,DonHang!$A$2:$C$500,3,FALSE()),"mã đơn chưa có"))</f>
        <v/>
      </c>
      <c r="D1882" s="14"/>
      <c r="E1882" s="8"/>
      <c r="F1882" s="8"/>
      <c r="G1882" s="8"/>
    </row>
    <row r="1883" customFormat="false" ht="15" hidden="false" customHeight="false" outlineLevel="0" collapsed="false">
      <c r="A1883" s="9"/>
      <c r="B1883" s="8"/>
      <c r="C1883" s="10" t="str">
        <f aca="false">IF(B1883="","",IFERROR(VLOOKUP(B1883,DonHang!$A$2:$C$500,3,FALSE()),"mã đơn chưa có"))</f>
        <v/>
      </c>
      <c r="D1883" s="14"/>
      <c r="E1883" s="8"/>
      <c r="F1883" s="8"/>
      <c r="G1883" s="8"/>
    </row>
    <row r="1884" customFormat="false" ht="15" hidden="false" customHeight="false" outlineLevel="0" collapsed="false">
      <c r="A1884" s="9"/>
      <c r="B1884" s="8"/>
      <c r="C1884" s="10" t="str">
        <f aca="false">IF(B1884="","",IFERROR(VLOOKUP(B1884,DonHang!$A$2:$C$500,3,FALSE()),"mã đơn chưa có"))</f>
        <v/>
      </c>
      <c r="D1884" s="14"/>
      <c r="E1884" s="8"/>
      <c r="F1884" s="8"/>
      <c r="G1884" s="8"/>
    </row>
    <row r="1885" customFormat="false" ht="15" hidden="false" customHeight="false" outlineLevel="0" collapsed="false">
      <c r="A1885" s="9"/>
      <c r="B1885" s="8"/>
      <c r="C1885" s="10" t="str">
        <f aca="false">IF(B1885="","",IFERROR(VLOOKUP(B1885,DonHang!$A$2:$C$500,3,FALSE()),"mã đơn chưa có"))</f>
        <v/>
      </c>
      <c r="D1885" s="14"/>
      <c r="E1885" s="8"/>
      <c r="F1885" s="8"/>
      <c r="G1885" s="8"/>
    </row>
    <row r="1886" customFormat="false" ht="15" hidden="false" customHeight="false" outlineLevel="0" collapsed="false">
      <c r="A1886" s="9"/>
      <c r="B1886" s="8"/>
      <c r="C1886" s="10" t="str">
        <f aca="false">IF(B1886="","",IFERROR(VLOOKUP(B1886,DonHang!$A$2:$C$500,3,FALSE()),"mã đơn chưa có"))</f>
        <v/>
      </c>
      <c r="D1886" s="14"/>
      <c r="E1886" s="8"/>
      <c r="F1886" s="8"/>
      <c r="G1886" s="8"/>
    </row>
    <row r="1887" customFormat="false" ht="15" hidden="false" customHeight="false" outlineLevel="0" collapsed="false">
      <c r="A1887" s="9"/>
      <c r="B1887" s="8"/>
      <c r="C1887" s="10" t="str">
        <f aca="false">IF(B1887="","",IFERROR(VLOOKUP(B1887,DonHang!$A$2:$C$500,3,FALSE()),"mã đơn chưa có"))</f>
        <v/>
      </c>
      <c r="D1887" s="14"/>
      <c r="E1887" s="8"/>
      <c r="F1887" s="8"/>
      <c r="G1887" s="8"/>
    </row>
    <row r="1888" customFormat="false" ht="15" hidden="false" customHeight="false" outlineLevel="0" collapsed="false">
      <c r="A1888" s="9"/>
      <c r="B1888" s="8"/>
      <c r="C1888" s="10" t="str">
        <f aca="false">IF(B1888="","",IFERROR(VLOOKUP(B1888,DonHang!$A$2:$C$500,3,FALSE()),"mã đơn chưa có"))</f>
        <v/>
      </c>
      <c r="D1888" s="14"/>
      <c r="E1888" s="8"/>
      <c r="F1888" s="8"/>
      <c r="G1888" s="8"/>
    </row>
    <row r="1889" customFormat="false" ht="15" hidden="false" customHeight="false" outlineLevel="0" collapsed="false">
      <c r="A1889" s="9"/>
      <c r="B1889" s="8"/>
      <c r="C1889" s="10" t="str">
        <f aca="false">IF(B1889="","",IFERROR(VLOOKUP(B1889,DonHang!$A$2:$C$500,3,FALSE()),"mã đơn chưa có"))</f>
        <v/>
      </c>
      <c r="D1889" s="14"/>
      <c r="E1889" s="8"/>
      <c r="F1889" s="8"/>
      <c r="G1889" s="8"/>
    </row>
    <row r="1890" customFormat="false" ht="15" hidden="false" customHeight="false" outlineLevel="0" collapsed="false">
      <c r="A1890" s="9"/>
      <c r="B1890" s="8"/>
      <c r="C1890" s="10" t="str">
        <f aca="false">IF(B1890="","",IFERROR(VLOOKUP(B1890,DonHang!$A$2:$C$500,3,FALSE()),"mã đơn chưa có"))</f>
        <v/>
      </c>
      <c r="D1890" s="14"/>
      <c r="E1890" s="8"/>
      <c r="F1890" s="8"/>
      <c r="G1890" s="8"/>
    </row>
    <row r="1891" customFormat="false" ht="15" hidden="false" customHeight="false" outlineLevel="0" collapsed="false">
      <c r="A1891" s="9"/>
      <c r="B1891" s="8"/>
      <c r="C1891" s="10" t="str">
        <f aca="false">IF(B1891="","",IFERROR(VLOOKUP(B1891,DonHang!$A$2:$C$500,3,FALSE()),"mã đơn chưa có"))</f>
        <v/>
      </c>
      <c r="D1891" s="14"/>
      <c r="E1891" s="8"/>
      <c r="F1891" s="8"/>
      <c r="G1891" s="8"/>
    </row>
    <row r="1892" customFormat="false" ht="15" hidden="false" customHeight="false" outlineLevel="0" collapsed="false">
      <c r="A1892" s="9"/>
      <c r="B1892" s="8"/>
      <c r="C1892" s="10" t="str">
        <f aca="false">IF(B1892="","",IFERROR(VLOOKUP(B1892,DonHang!$A$2:$C$500,3,FALSE()),"mã đơn chưa có"))</f>
        <v/>
      </c>
      <c r="D1892" s="14"/>
      <c r="E1892" s="8"/>
      <c r="F1892" s="8"/>
      <c r="G1892" s="8"/>
    </row>
    <row r="1893" customFormat="false" ht="15" hidden="false" customHeight="false" outlineLevel="0" collapsed="false">
      <c r="A1893" s="9"/>
      <c r="B1893" s="8"/>
      <c r="C1893" s="10" t="str">
        <f aca="false">IF(B1893="","",IFERROR(VLOOKUP(B1893,DonHang!$A$2:$C$500,3,FALSE()),"mã đơn chưa có"))</f>
        <v/>
      </c>
      <c r="D1893" s="14"/>
      <c r="E1893" s="8"/>
      <c r="F1893" s="8"/>
      <c r="G1893" s="8"/>
    </row>
    <row r="1894" customFormat="false" ht="15" hidden="false" customHeight="false" outlineLevel="0" collapsed="false">
      <c r="A1894" s="9"/>
      <c r="B1894" s="8"/>
      <c r="C1894" s="10" t="str">
        <f aca="false">IF(B1894="","",IFERROR(VLOOKUP(B1894,DonHang!$A$2:$C$500,3,FALSE()),"mã đơn chưa có"))</f>
        <v/>
      </c>
      <c r="D1894" s="14"/>
      <c r="E1894" s="8"/>
      <c r="F1894" s="8"/>
      <c r="G1894" s="8"/>
    </row>
    <row r="1895" customFormat="false" ht="15" hidden="false" customHeight="false" outlineLevel="0" collapsed="false">
      <c r="A1895" s="9"/>
      <c r="B1895" s="8"/>
      <c r="C1895" s="10" t="str">
        <f aca="false">IF(B1895="","",IFERROR(VLOOKUP(B1895,DonHang!$A$2:$C$500,3,FALSE()),"mã đơn chưa có"))</f>
        <v/>
      </c>
      <c r="D1895" s="14"/>
      <c r="E1895" s="8"/>
      <c r="F1895" s="8"/>
      <c r="G1895" s="8"/>
    </row>
    <row r="1896" customFormat="false" ht="15" hidden="false" customHeight="false" outlineLevel="0" collapsed="false">
      <c r="A1896" s="9"/>
      <c r="B1896" s="8"/>
      <c r="C1896" s="10" t="str">
        <f aca="false">IF(B1896="","",IFERROR(VLOOKUP(B1896,DonHang!$A$2:$C$500,3,FALSE()),"mã đơn chưa có"))</f>
        <v/>
      </c>
      <c r="D1896" s="14"/>
      <c r="E1896" s="8"/>
      <c r="F1896" s="8"/>
      <c r="G1896" s="8"/>
    </row>
    <row r="1897" customFormat="false" ht="15" hidden="false" customHeight="false" outlineLevel="0" collapsed="false">
      <c r="A1897" s="9"/>
      <c r="B1897" s="8"/>
      <c r="C1897" s="10" t="str">
        <f aca="false">IF(B1897="","",IFERROR(VLOOKUP(B1897,DonHang!$A$2:$C$500,3,FALSE()),"mã đơn chưa có"))</f>
        <v/>
      </c>
      <c r="D1897" s="14"/>
      <c r="E1897" s="8"/>
      <c r="F1897" s="8"/>
      <c r="G1897" s="8"/>
    </row>
    <row r="1898" customFormat="false" ht="15" hidden="false" customHeight="false" outlineLevel="0" collapsed="false">
      <c r="A1898" s="9"/>
      <c r="B1898" s="8"/>
      <c r="C1898" s="10" t="str">
        <f aca="false">IF(B1898="","",IFERROR(VLOOKUP(B1898,DonHang!$A$2:$C$500,3,FALSE()),"mã đơn chưa có"))</f>
        <v/>
      </c>
      <c r="D1898" s="14"/>
      <c r="E1898" s="8"/>
      <c r="F1898" s="8"/>
      <c r="G1898" s="8"/>
    </row>
    <row r="1899" customFormat="false" ht="15" hidden="false" customHeight="false" outlineLevel="0" collapsed="false">
      <c r="A1899" s="9"/>
      <c r="B1899" s="8"/>
      <c r="C1899" s="10" t="str">
        <f aca="false">IF(B1899="","",IFERROR(VLOOKUP(B1899,DonHang!$A$2:$C$500,3,FALSE()),"mã đơn chưa có"))</f>
        <v/>
      </c>
      <c r="D1899" s="14"/>
      <c r="E1899" s="8"/>
      <c r="F1899" s="8"/>
      <c r="G1899" s="8"/>
    </row>
    <row r="1900" customFormat="false" ht="15" hidden="false" customHeight="false" outlineLevel="0" collapsed="false">
      <c r="A1900" s="9"/>
      <c r="B1900" s="8"/>
      <c r="C1900" s="10" t="str">
        <f aca="false">IF(B1900="","",IFERROR(VLOOKUP(B1900,DonHang!$A$2:$C$500,3,FALSE()),"mã đơn chưa có"))</f>
        <v/>
      </c>
      <c r="D1900" s="14"/>
      <c r="E1900" s="8"/>
      <c r="F1900" s="8"/>
      <c r="G1900" s="8"/>
    </row>
    <row r="1901" customFormat="false" ht="15" hidden="false" customHeight="false" outlineLevel="0" collapsed="false">
      <c r="A1901" s="9"/>
      <c r="B1901" s="8"/>
      <c r="C1901" s="10" t="str">
        <f aca="false">IF(B1901="","",IFERROR(VLOOKUP(B1901,DonHang!$A$2:$C$500,3,FALSE()),"mã đơn chưa có"))</f>
        <v/>
      </c>
      <c r="D1901" s="14"/>
      <c r="E1901" s="8"/>
      <c r="F1901" s="8"/>
      <c r="G1901" s="8"/>
    </row>
    <row r="1902" customFormat="false" ht="15" hidden="false" customHeight="false" outlineLevel="0" collapsed="false">
      <c r="A1902" s="9"/>
      <c r="B1902" s="8"/>
      <c r="C1902" s="10" t="str">
        <f aca="false">IF(B1902="","",IFERROR(VLOOKUP(B1902,DonHang!$A$2:$C$500,3,FALSE()),"mã đơn chưa có"))</f>
        <v/>
      </c>
      <c r="D1902" s="14"/>
      <c r="E1902" s="8"/>
      <c r="F1902" s="8"/>
      <c r="G1902" s="8"/>
    </row>
    <row r="1903" customFormat="false" ht="15" hidden="false" customHeight="false" outlineLevel="0" collapsed="false">
      <c r="A1903" s="9"/>
      <c r="B1903" s="8"/>
      <c r="C1903" s="10" t="str">
        <f aca="false">IF(B1903="","",IFERROR(VLOOKUP(B1903,DonHang!$A$2:$C$500,3,FALSE()),"mã đơn chưa có"))</f>
        <v/>
      </c>
      <c r="D1903" s="14"/>
      <c r="E1903" s="8"/>
      <c r="F1903" s="8"/>
      <c r="G1903" s="8"/>
    </row>
    <row r="1904" customFormat="false" ht="15" hidden="false" customHeight="false" outlineLevel="0" collapsed="false">
      <c r="A1904" s="9"/>
      <c r="B1904" s="8"/>
      <c r="C1904" s="10" t="str">
        <f aca="false">IF(B1904="","",IFERROR(VLOOKUP(B1904,DonHang!$A$2:$C$500,3,FALSE()),"mã đơn chưa có"))</f>
        <v/>
      </c>
      <c r="D1904" s="14"/>
      <c r="E1904" s="8"/>
      <c r="F1904" s="8"/>
      <c r="G1904" s="8"/>
    </row>
    <row r="1905" customFormat="false" ht="15" hidden="false" customHeight="false" outlineLevel="0" collapsed="false">
      <c r="A1905" s="9"/>
      <c r="B1905" s="8"/>
      <c r="C1905" s="10" t="str">
        <f aca="false">IF(B1905="","",IFERROR(VLOOKUP(B1905,DonHang!$A$2:$C$500,3,FALSE()),"mã đơn chưa có"))</f>
        <v/>
      </c>
      <c r="D1905" s="14"/>
      <c r="E1905" s="8"/>
      <c r="F1905" s="8"/>
      <c r="G1905" s="8"/>
    </row>
    <row r="1906" customFormat="false" ht="15" hidden="false" customHeight="false" outlineLevel="0" collapsed="false">
      <c r="A1906" s="9"/>
      <c r="B1906" s="8"/>
      <c r="C1906" s="10" t="str">
        <f aca="false">IF(B1906="","",IFERROR(VLOOKUP(B1906,DonHang!$A$2:$C$500,3,FALSE()),"mã đơn chưa có"))</f>
        <v/>
      </c>
      <c r="D1906" s="14"/>
      <c r="E1906" s="8"/>
      <c r="F1906" s="8"/>
      <c r="G1906" s="8"/>
    </row>
    <row r="1907" customFormat="false" ht="15" hidden="false" customHeight="false" outlineLevel="0" collapsed="false">
      <c r="A1907" s="9"/>
      <c r="B1907" s="8"/>
      <c r="C1907" s="10" t="str">
        <f aca="false">IF(B1907="","",IFERROR(VLOOKUP(B1907,DonHang!$A$2:$C$500,3,FALSE()),"mã đơn chưa có"))</f>
        <v/>
      </c>
      <c r="D1907" s="14"/>
      <c r="E1907" s="8"/>
      <c r="F1907" s="8"/>
      <c r="G1907" s="8"/>
    </row>
    <row r="1908" customFormat="false" ht="15" hidden="false" customHeight="false" outlineLevel="0" collapsed="false">
      <c r="A1908" s="9"/>
      <c r="B1908" s="8"/>
      <c r="C1908" s="10" t="str">
        <f aca="false">IF(B1908="","",IFERROR(VLOOKUP(B1908,DonHang!$A$2:$C$500,3,FALSE()),"mã đơn chưa có"))</f>
        <v/>
      </c>
      <c r="D1908" s="14"/>
      <c r="E1908" s="8"/>
      <c r="F1908" s="8"/>
      <c r="G1908" s="8"/>
    </row>
    <row r="1909" customFormat="false" ht="15" hidden="false" customHeight="false" outlineLevel="0" collapsed="false">
      <c r="A1909" s="9"/>
      <c r="B1909" s="8"/>
      <c r="C1909" s="10" t="str">
        <f aca="false">IF(B1909="","",IFERROR(VLOOKUP(B1909,DonHang!$A$2:$C$500,3,FALSE()),"mã đơn chưa có"))</f>
        <v/>
      </c>
      <c r="D1909" s="14"/>
      <c r="E1909" s="8"/>
      <c r="F1909" s="8"/>
      <c r="G1909" s="8"/>
    </row>
    <row r="1910" customFormat="false" ht="15" hidden="false" customHeight="false" outlineLevel="0" collapsed="false">
      <c r="A1910" s="9"/>
      <c r="B1910" s="8"/>
      <c r="C1910" s="10" t="str">
        <f aca="false">IF(B1910="","",IFERROR(VLOOKUP(B1910,DonHang!$A$2:$C$500,3,FALSE()),"mã đơn chưa có"))</f>
        <v/>
      </c>
      <c r="D1910" s="14"/>
      <c r="E1910" s="8"/>
      <c r="F1910" s="8"/>
      <c r="G1910" s="8"/>
    </row>
    <row r="1911" customFormat="false" ht="15" hidden="false" customHeight="false" outlineLevel="0" collapsed="false">
      <c r="A1911" s="9"/>
      <c r="B1911" s="8"/>
      <c r="C1911" s="10" t="str">
        <f aca="false">IF(B1911="","",IFERROR(VLOOKUP(B1911,DonHang!$A$2:$C$500,3,FALSE()),"mã đơn chưa có"))</f>
        <v/>
      </c>
      <c r="D1911" s="14"/>
      <c r="E1911" s="8"/>
      <c r="F1911" s="8"/>
      <c r="G1911" s="8"/>
    </row>
    <row r="1912" customFormat="false" ht="15" hidden="false" customHeight="false" outlineLevel="0" collapsed="false">
      <c r="A1912" s="9"/>
      <c r="B1912" s="8"/>
      <c r="C1912" s="10" t="str">
        <f aca="false">IF(B1912="","",IFERROR(VLOOKUP(B1912,DonHang!$A$2:$C$500,3,FALSE()),"mã đơn chưa có"))</f>
        <v/>
      </c>
      <c r="D1912" s="14"/>
      <c r="E1912" s="8"/>
      <c r="F1912" s="8"/>
      <c r="G1912" s="8"/>
    </row>
    <row r="1913" customFormat="false" ht="15" hidden="false" customHeight="false" outlineLevel="0" collapsed="false">
      <c r="A1913" s="9"/>
      <c r="B1913" s="8"/>
      <c r="C1913" s="10" t="str">
        <f aca="false">IF(B1913="","",IFERROR(VLOOKUP(B1913,DonHang!$A$2:$C$500,3,FALSE()),"mã đơn chưa có"))</f>
        <v/>
      </c>
      <c r="D1913" s="14"/>
      <c r="E1913" s="8"/>
      <c r="F1913" s="8"/>
      <c r="G1913" s="8"/>
    </row>
    <row r="1914" customFormat="false" ht="15" hidden="false" customHeight="false" outlineLevel="0" collapsed="false">
      <c r="A1914" s="9"/>
      <c r="B1914" s="8"/>
      <c r="C1914" s="10" t="str">
        <f aca="false">IF(B1914="","",IFERROR(VLOOKUP(B1914,DonHang!$A$2:$C$500,3,FALSE()),"mã đơn chưa có"))</f>
        <v/>
      </c>
      <c r="D1914" s="14"/>
      <c r="E1914" s="8"/>
      <c r="F1914" s="8"/>
      <c r="G1914" s="8"/>
    </row>
    <row r="1915" customFormat="false" ht="15" hidden="false" customHeight="false" outlineLevel="0" collapsed="false">
      <c r="A1915" s="9"/>
      <c r="B1915" s="8"/>
      <c r="C1915" s="10" t="str">
        <f aca="false">IF(B1915="","",IFERROR(VLOOKUP(B1915,DonHang!$A$2:$C$500,3,FALSE()),"mã đơn chưa có"))</f>
        <v/>
      </c>
      <c r="D1915" s="14"/>
      <c r="E1915" s="8"/>
      <c r="F1915" s="8"/>
      <c r="G1915" s="8"/>
    </row>
    <row r="1916" customFormat="false" ht="15" hidden="false" customHeight="false" outlineLevel="0" collapsed="false">
      <c r="A1916" s="9"/>
      <c r="B1916" s="8"/>
      <c r="C1916" s="10" t="str">
        <f aca="false">IF(B1916="","",IFERROR(VLOOKUP(B1916,DonHang!$A$2:$C$500,3,FALSE()),"mã đơn chưa có"))</f>
        <v/>
      </c>
      <c r="D1916" s="14"/>
      <c r="E1916" s="8"/>
      <c r="F1916" s="8"/>
      <c r="G1916" s="8"/>
    </row>
    <row r="1917" customFormat="false" ht="15" hidden="false" customHeight="false" outlineLevel="0" collapsed="false">
      <c r="A1917" s="9"/>
      <c r="B1917" s="8"/>
      <c r="C1917" s="10" t="str">
        <f aca="false">IF(B1917="","",IFERROR(VLOOKUP(B1917,DonHang!$A$2:$C$500,3,FALSE()),"mã đơn chưa có"))</f>
        <v/>
      </c>
      <c r="D1917" s="14"/>
      <c r="E1917" s="8"/>
      <c r="F1917" s="8"/>
      <c r="G1917" s="8"/>
    </row>
    <row r="1918" customFormat="false" ht="15" hidden="false" customHeight="false" outlineLevel="0" collapsed="false">
      <c r="A1918" s="9"/>
      <c r="B1918" s="8"/>
      <c r="C1918" s="10" t="str">
        <f aca="false">IF(B1918="","",IFERROR(VLOOKUP(B1918,DonHang!$A$2:$C$500,3,FALSE()),"mã đơn chưa có"))</f>
        <v/>
      </c>
      <c r="D1918" s="14"/>
      <c r="E1918" s="8"/>
      <c r="F1918" s="8"/>
      <c r="G1918" s="8"/>
    </row>
    <row r="1919" customFormat="false" ht="15" hidden="false" customHeight="false" outlineLevel="0" collapsed="false">
      <c r="A1919" s="9"/>
      <c r="B1919" s="8"/>
      <c r="C1919" s="10" t="str">
        <f aca="false">IF(B1919="","",IFERROR(VLOOKUP(B1919,DonHang!$A$2:$C$500,3,FALSE()),"mã đơn chưa có"))</f>
        <v/>
      </c>
      <c r="D1919" s="14"/>
      <c r="E1919" s="8"/>
      <c r="F1919" s="8"/>
      <c r="G1919" s="8"/>
    </row>
    <row r="1920" customFormat="false" ht="15" hidden="false" customHeight="false" outlineLevel="0" collapsed="false">
      <c r="A1920" s="9"/>
      <c r="B1920" s="8"/>
      <c r="C1920" s="10" t="str">
        <f aca="false">IF(B1920="","",IFERROR(VLOOKUP(B1920,DonHang!$A$2:$C$500,3,FALSE()),"mã đơn chưa có"))</f>
        <v/>
      </c>
      <c r="D1920" s="14"/>
      <c r="E1920" s="8"/>
      <c r="F1920" s="8"/>
      <c r="G1920" s="8"/>
    </row>
    <row r="1921" customFormat="false" ht="15" hidden="false" customHeight="false" outlineLevel="0" collapsed="false">
      <c r="A1921" s="9"/>
      <c r="B1921" s="8"/>
      <c r="C1921" s="10" t="str">
        <f aca="false">IF(B1921="","",IFERROR(VLOOKUP(B1921,DonHang!$A$2:$C$500,3,FALSE()),"mã đơn chưa có"))</f>
        <v/>
      </c>
      <c r="D1921" s="14"/>
      <c r="E1921" s="8"/>
      <c r="F1921" s="8"/>
      <c r="G1921" s="8"/>
    </row>
    <row r="1922" customFormat="false" ht="15" hidden="false" customHeight="false" outlineLevel="0" collapsed="false">
      <c r="A1922" s="9"/>
      <c r="B1922" s="8"/>
      <c r="C1922" s="10" t="str">
        <f aca="false">IF(B1922="","",IFERROR(VLOOKUP(B1922,DonHang!$A$2:$C$500,3,FALSE()),"mã đơn chưa có"))</f>
        <v/>
      </c>
      <c r="D1922" s="14"/>
      <c r="E1922" s="8"/>
      <c r="F1922" s="8"/>
      <c r="G1922" s="8"/>
    </row>
    <row r="1923" customFormat="false" ht="15" hidden="false" customHeight="false" outlineLevel="0" collapsed="false">
      <c r="A1923" s="9"/>
      <c r="B1923" s="8"/>
      <c r="C1923" s="10" t="str">
        <f aca="false">IF(B1923="","",IFERROR(VLOOKUP(B1923,DonHang!$A$2:$C$500,3,FALSE()),"mã đơn chưa có"))</f>
        <v/>
      </c>
      <c r="D1923" s="14"/>
      <c r="E1923" s="8"/>
      <c r="F1923" s="8"/>
      <c r="G1923" s="8"/>
    </row>
    <row r="1924" customFormat="false" ht="15" hidden="false" customHeight="false" outlineLevel="0" collapsed="false">
      <c r="A1924" s="9"/>
      <c r="B1924" s="8"/>
      <c r="C1924" s="10" t="str">
        <f aca="false">IF(B1924="","",IFERROR(VLOOKUP(B1924,DonHang!$A$2:$C$500,3,FALSE()),"mã đơn chưa có"))</f>
        <v/>
      </c>
      <c r="D1924" s="14"/>
      <c r="E1924" s="8"/>
      <c r="F1924" s="8"/>
      <c r="G1924" s="8"/>
    </row>
    <row r="1925" customFormat="false" ht="15" hidden="false" customHeight="false" outlineLevel="0" collapsed="false">
      <c r="A1925" s="9"/>
      <c r="B1925" s="8"/>
      <c r="C1925" s="10" t="str">
        <f aca="false">IF(B1925="","",IFERROR(VLOOKUP(B1925,DonHang!$A$2:$C$500,3,FALSE()),"mã đơn chưa có"))</f>
        <v/>
      </c>
      <c r="D1925" s="14"/>
      <c r="E1925" s="8"/>
      <c r="F1925" s="8"/>
      <c r="G1925" s="8"/>
    </row>
    <row r="1926" customFormat="false" ht="15" hidden="false" customHeight="false" outlineLevel="0" collapsed="false">
      <c r="A1926" s="9"/>
      <c r="B1926" s="8"/>
      <c r="C1926" s="10" t="str">
        <f aca="false">IF(B1926="","",IFERROR(VLOOKUP(B1926,DonHang!$A$2:$C$500,3,FALSE()),"mã đơn chưa có"))</f>
        <v/>
      </c>
      <c r="D1926" s="14"/>
      <c r="E1926" s="8"/>
      <c r="F1926" s="8"/>
      <c r="G1926" s="8"/>
    </row>
    <row r="1927" customFormat="false" ht="15" hidden="false" customHeight="false" outlineLevel="0" collapsed="false">
      <c r="A1927" s="9"/>
      <c r="B1927" s="8"/>
      <c r="C1927" s="10" t="str">
        <f aca="false">IF(B1927="","",IFERROR(VLOOKUP(B1927,DonHang!$A$2:$C$500,3,FALSE()),"mã đơn chưa có"))</f>
        <v/>
      </c>
      <c r="D1927" s="14"/>
      <c r="E1927" s="8"/>
      <c r="F1927" s="8"/>
      <c r="G1927" s="8"/>
    </row>
    <row r="1928" customFormat="false" ht="15" hidden="false" customHeight="false" outlineLevel="0" collapsed="false">
      <c r="A1928" s="9"/>
      <c r="B1928" s="8"/>
      <c r="C1928" s="10" t="str">
        <f aca="false">IF(B1928="","",IFERROR(VLOOKUP(B1928,DonHang!$A$2:$C$500,3,FALSE()),"mã đơn chưa có"))</f>
        <v/>
      </c>
      <c r="D1928" s="14"/>
      <c r="E1928" s="8"/>
      <c r="F1928" s="8"/>
      <c r="G1928" s="8"/>
    </row>
    <row r="1929" customFormat="false" ht="15" hidden="false" customHeight="false" outlineLevel="0" collapsed="false">
      <c r="A1929" s="9"/>
      <c r="B1929" s="8"/>
      <c r="C1929" s="10" t="str">
        <f aca="false">IF(B1929="","",IFERROR(VLOOKUP(B1929,DonHang!$A$2:$C$500,3,FALSE()),"mã đơn chưa có"))</f>
        <v/>
      </c>
      <c r="D1929" s="14"/>
      <c r="E1929" s="8"/>
      <c r="F1929" s="8"/>
      <c r="G1929" s="8"/>
    </row>
    <row r="1930" customFormat="false" ht="15" hidden="false" customHeight="false" outlineLevel="0" collapsed="false">
      <c r="A1930" s="9"/>
      <c r="B1930" s="8"/>
      <c r="C1930" s="10" t="str">
        <f aca="false">IF(B1930="","",IFERROR(VLOOKUP(B1930,DonHang!$A$2:$C$500,3,FALSE()),"mã đơn chưa có"))</f>
        <v/>
      </c>
      <c r="D1930" s="14"/>
      <c r="E1930" s="8"/>
      <c r="F1930" s="8"/>
      <c r="G1930" s="8"/>
    </row>
    <row r="1931" customFormat="false" ht="15" hidden="false" customHeight="false" outlineLevel="0" collapsed="false">
      <c r="A1931" s="9"/>
      <c r="B1931" s="8"/>
      <c r="C1931" s="10" t="str">
        <f aca="false">IF(B1931="","",IFERROR(VLOOKUP(B1931,DonHang!$A$2:$C$500,3,FALSE()),"mã đơn chưa có"))</f>
        <v/>
      </c>
      <c r="D1931" s="14"/>
      <c r="E1931" s="8"/>
      <c r="F1931" s="8"/>
      <c r="G1931" s="8"/>
    </row>
    <row r="1932" customFormat="false" ht="15" hidden="false" customHeight="false" outlineLevel="0" collapsed="false">
      <c r="A1932" s="9"/>
      <c r="B1932" s="8"/>
      <c r="C1932" s="10" t="str">
        <f aca="false">IF(B1932="","",IFERROR(VLOOKUP(B1932,DonHang!$A$2:$C$500,3,FALSE()),"mã đơn chưa có"))</f>
        <v/>
      </c>
      <c r="D1932" s="14"/>
      <c r="E1932" s="8"/>
      <c r="F1932" s="8"/>
      <c r="G1932" s="8"/>
    </row>
    <row r="1933" customFormat="false" ht="15" hidden="false" customHeight="false" outlineLevel="0" collapsed="false">
      <c r="A1933" s="9"/>
      <c r="B1933" s="8"/>
      <c r="C1933" s="10" t="str">
        <f aca="false">IF(B1933="","",IFERROR(VLOOKUP(B1933,DonHang!$A$2:$C$500,3,FALSE()),"mã đơn chưa có"))</f>
        <v/>
      </c>
      <c r="D1933" s="14"/>
      <c r="E1933" s="8"/>
      <c r="F1933" s="8"/>
      <c r="G1933" s="8"/>
    </row>
    <row r="1934" customFormat="false" ht="15" hidden="false" customHeight="false" outlineLevel="0" collapsed="false">
      <c r="A1934" s="9"/>
      <c r="B1934" s="8"/>
      <c r="C1934" s="10" t="str">
        <f aca="false">IF(B1934="","",IFERROR(VLOOKUP(B1934,DonHang!$A$2:$C$500,3,FALSE()),"mã đơn chưa có"))</f>
        <v/>
      </c>
      <c r="D1934" s="14"/>
      <c r="E1934" s="8"/>
      <c r="F1934" s="8"/>
      <c r="G1934" s="8"/>
    </row>
    <row r="1935" customFormat="false" ht="15" hidden="false" customHeight="false" outlineLevel="0" collapsed="false">
      <c r="A1935" s="9"/>
      <c r="B1935" s="8"/>
      <c r="C1935" s="10" t="str">
        <f aca="false">IF(B1935="","",IFERROR(VLOOKUP(B1935,DonHang!$A$2:$C$500,3,FALSE()),"mã đơn chưa có"))</f>
        <v/>
      </c>
      <c r="D1935" s="14"/>
      <c r="E1935" s="8"/>
      <c r="F1935" s="8"/>
      <c r="G1935" s="8"/>
    </row>
    <row r="1936" customFormat="false" ht="15" hidden="false" customHeight="false" outlineLevel="0" collapsed="false">
      <c r="A1936" s="9"/>
      <c r="B1936" s="8"/>
      <c r="C1936" s="10" t="str">
        <f aca="false">IF(B1936="","",IFERROR(VLOOKUP(B1936,DonHang!$A$2:$C$500,3,FALSE()),"mã đơn chưa có"))</f>
        <v/>
      </c>
      <c r="D1936" s="14"/>
      <c r="E1936" s="8"/>
      <c r="F1936" s="8"/>
      <c r="G1936" s="8"/>
    </row>
    <row r="1937" customFormat="false" ht="15" hidden="false" customHeight="false" outlineLevel="0" collapsed="false">
      <c r="A1937" s="9"/>
      <c r="B1937" s="8"/>
      <c r="C1937" s="10" t="str">
        <f aca="false">IF(B1937="","",IFERROR(VLOOKUP(B1937,DonHang!$A$2:$C$500,3,FALSE()),"mã đơn chưa có"))</f>
        <v/>
      </c>
      <c r="D1937" s="14"/>
      <c r="E1937" s="8"/>
      <c r="F1937" s="8"/>
      <c r="G1937" s="8"/>
    </row>
    <row r="1938" customFormat="false" ht="15" hidden="false" customHeight="false" outlineLevel="0" collapsed="false">
      <c r="A1938" s="9"/>
      <c r="B1938" s="8"/>
      <c r="C1938" s="10" t="str">
        <f aca="false">IF(B1938="","",IFERROR(VLOOKUP(B1938,DonHang!$A$2:$C$500,3,FALSE()),"mã đơn chưa có"))</f>
        <v/>
      </c>
      <c r="D1938" s="14"/>
      <c r="E1938" s="8"/>
      <c r="F1938" s="8"/>
      <c r="G1938" s="8"/>
    </row>
    <row r="1939" customFormat="false" ht="15" hidden="false" customHeight="false" outlineLevel="0" collapsed="false">
      <c r="A1939" s="9"/>
      <c r="B1939" s="8"/>
      <c r="C1939" s="10" t="str">
        <f aca="false">IF(B1939="","",IFERROR(VLOOKUP(B1939,DonHang!$A$2:$C$500,3,FALSE()),"mã đơn chưa có"))</f>
        <v/>
      </c>
      <c r="D1939" s="14"/>
      <c r="E1939" s="8"/>
      <c r="F1939" s="8"/>
      <c r="G1939" s="8"/>
    </row>
    <row r="1940" customFormat="false" ht="15" hidden="false" customHeight="false" outlineLevel="0" collapsed="false">
      <c r="A1940" s="9"/>
      <c r="B1940" s="8"/>
      <c r="C1940" s="10" t="str">
        <f aca="false">IF(B1940="","",IFERROR(VLOOKUP(B1940,DonHang!$A$2:$C$500,3,FALSE()),"mã đơn chưa có"))</f>
        <v/>
      </c>
      <c r="D1940" s="14"/>
      <c r="E1940" s="8"/>
      <c r="F1940" s="8"/>
      <c r="G1940" s="8"/>
    </row>
    <row r="1941" customFormat="false" ht="15" hidden="false" customHeight="false" outlineLevel="0" collapsed="false">
      <c r="A1941" s="9"/>
      <c r="B1941" s="8"/>
      <c r="C1941" s="10" t="str">
        <f aca="false">IF(B1941="","",IFERROR(VLOOKUP(B1941,DonHang!$A$2:$C$500,3,FALSE()),"mã đơn chưa có"))</f>
        <v/>
      </c>
      <c r="D1941" s="14"/>
      <c r="E1941" s="8"/>
      <c r="F1941" s="8"/>
      <c r="G1941" s="8"/>
    </row>
    <row r="1942" customFormat="false" ht="15" hidden="false" customHeight="false" outlineLevel="0" collapsed="false">
      <c r="A1942" s="9"/>
      <c r="B1942" s="8"/>
      <c r="C1942" s="10" t="str">
        <f aca="false">IF(B1942="","",IFERROR(VLOOKUP(B1942,DonHang!$A$2:$C$500,3,FALSE()),"mã đơn chưa có"))</f>
        <v/>
      </c>
      <c r="D1942" s="14"/>
      <c r="E1942" s="8"/>
      <c r="F1942" s="8"/>
      <c r="G1942" s="8"/>
    </row>
    <row r="1943" customFormat="false" ht="15" hidden="false" customHeight="false" outlineLevel="0" collapsed="false">
      <c r="A1943" s="9"/>
      <c r="B1943" s="8"/>
      <c r="C1943" s="10" t="str">
        <f aca="false">IF(B1943="","",IFERROR(VLOOKUP(B1943,DonHang!$A$2:$C$500,3,FALSE()),"mã đơn chưa có"))</f>
        <v/>
      </c>
      <c r="D1943" s="14"/>
      <c r="E1943" s="8"/>
      <c r="F1943" s="8"/>
      <c r="G1943" s="8"/>
    </row>
    <row r="1944" customFormat="false" ht="15" hidden="false" customHeight="false" outlineLevel="0" collapsed="false">
      <c r="A1944" s="9"/>
      <c r="B1944" s="8"/>
      <c r="C1944" s="10" t="str">
        <f aca="false">IF(B1944="","",IFERROR(VLOOKUP(B1944,DonHang!$A$2:$C$500,3,FALSE()),"mã đơn chưa có"))</f>
        <v/>
      </c>
      <c r="D1944" s="14"/>
      <c r="E1944" s="8"/>
      <c r="F1944" s="8"/>
      <c r="G1944" s="8"/>
    </row>
    <row r="1945" customFormat="false" ht="15" hidden="false" customHeight="false" outlineLevel="0" collapsed="false">
      <c r="A1945" s="9"/>
      <c r="B1945" s="8"/>
      <c r="C1945" s="10" t="str">
        <f aca="false">IF(B1945="","",IFERROR(VLOOKUP(B1945,DonHang!$A$2:$C$500,3,FALSE()),"mã đơn chưa có"))</f>
        <v/>
      </c>
      <c r="D1945" s="14"/>
      <c r="E1945" s="8"/>
      <c r="F1945" s="8"/>
      <c r="G1945" s="8"/>
    </row>
    <row r="1946" customFormat="false" ht="15" hidden="false" customHeight="false" outlineLevel="0" collapsed="false">
      <c r="A1946" s="9"/>
      <c r="B1946" s="8"/>
      <c r="C1946" s="10" t="str">
        <f aca="false">IF(B1946="","",IFERROR(VLOOKUP(B1946,DonHang!$A$2:$C$500,3,FALSE()),"mã đơn chưa có"))</f>
        <v/>
      </c>
      <c r="D1946" s="14"/>
      <c r="E1946" s="8"/>
      <c r="F1946" s="8"/>
      <c r="G1946" s="8"/>
    </row>
    <row r="1947" customFormat="false" ht="15" hidden="false" customHeight="false" outlineLevel="0" collapsed="false">
      <c r="A1947" s="9"/>
      <c r="B1947" s="8"/>
      <c r="C1947" s="10" t="str">
        <f aca="false">IF(B1947="","",IFERROR(VLOOKUP(B1947,DonHang!$A$2:$C$500,3,FALSE()),"mã đơn chưa có"))</f>
        <v/>
      </c>
      <c r="D1947" s="14"/>
      <c r="E1947" s="8"/>
      <c r="F1947" s="8"/>
      <c r="G1947" s="8"/>
    </row>
    <row r="1948" customFormat="false" ht="15" hidden="false" customHeight="false" outlineLevel="0" collapsed="false">
      <c r="A1948" s="9"/>
      <c r="B1948" s="8"/>
      <c r="C1948" s="10" t="str">
        <f aca="false">IF(B1948="","",IFERROR(VLOOKUP(B1948,DonHang!$A$2:$C$500,3,FALSE()),"mã đơn chưa có"))</f>
        <v/>
      </c>
      <c r="D1948" s="14"/>
      <c r="E1948" s="8"/>
      <c r="F1948" s="8"/>
      <c r="G1948" s="8"/>
    </row>
    <row r="1949" customFormat="false" ht="15" hidden="false" customHeight="false" outlineLevel="0" collapsed="false">
      <c r="A1949" s="9"/>
      <c r="B1949" s="8"/>
      <c r="C1949" s="10" t="str">
        <f aca="false">IF(B1949="","",IFERROR(VLOOKUP(B1949,DonHang!$A$2:$C$500,3,FALSE()),"mã đơn chưa có"))</f>
        <v/>
      </c>
      <c r="D1949" s="14"/>
      <c r="E1949" s="8"/>
      <c r="F1949" s="8"/>
      <c r="G1949" s="8"/>
    </row>
    <row r="1950" customFormat="false" ht="15" hidden="false" customHeight="false" outlineLevel="0" collapsed="false">
      <c r="A1950" s="9"/>
      <c r="B1950" s="8"/>
      <c r="C1950" s="10" t="str">
        <f aca="false">IF(B1950="","",IFERROR(VLOOKUP(B1950,DonHang!$A$2:$C$500,3,FALSE()),"mã đơn chưa có"))</f>
        <v/>
      </c>
      <c r="D1950" s="14"/>
      <c r="E1950" s="8"/>
      <c r="F1950" s="8"/>
      <c r="G1950" s="8"/>
    </row>
    <row r="1951" customFormat="false" ht="15" hidden="false" customHeight="false" outlineLevel="0" collapsed="false">
      <c r="A1951" s="9"/>
      <c r="B1951" s="8"/>
      <c r="C1951" s="10" t="str">
        <f aca="false">IF(B1951="","",IFERROR(VLOOKUP(B1951,DonHang!$A$2:$C$500,3,FALSE()),"mã đơn chưa có"))</f>
        <v/>
      </c>
      <c r="D1951" s="14"/>
      <c r="E1951" s="8"/>
      <c r="F1951" s="8"/>
      <c r="G1951" s="8"/>
    </row>
    <row r="1952" customFormat="false" ht="15" hidden="false" customHeight="false" outlineLevel="0" collapsed="false">
      <c r="A1952" s="9"/>
      <c r="B1952" s="8"/>
      <c r="C1952" s="10" t="str">
        <f aca="false">IF(B1952="","",IFERROR(VLOOKUP(B1952,DonHang!$A$2:$C$500,3,FALSE()),"mã đơn chưa có"))</f>
        <v/>
      </c>
      <c r="D1952" s="14"/>
      <c r="E1952" s="8"/>
      <c r="F1952" s="8"/>
      <c r="G1952" s="8"/>
    </row>
    <row r="1953" customFormat="false" ht="15" hidden="false" customHeight="false" outlineLevel="0" collapsed="false">
      <c r="A1953" s="9"/>
      <c r="B1953" s="8"/>
      <c r="C1953" s="10" t="str">
        <f aca="false">IF(B1953="","",IFERROR(VLOOKUP(B1953,DonHang!$A$2:$C$500,3,FALSE()),"mã đơn chưa có"))</f>
        <v/>
      </c>
      <c r="D1953" s="14"/>
      <c r="E1953" s="8"/>
      <c r="F1953" s="8"/>
      <c r="G1953" s="8"/>
    </row>
    <row r="1954" customFormat="false" ht="15" hidden="false" customHeight="false" outlineLevel="0" collapsed="false">
      <c r="A1954" s="9"/>
      <c r="B1954" s="8"/>
      <c r="C1954" s="10" t="str">
        <f aca="false">IF(B1954="","",IFERROR(VLOOKUP(B1954,DonHang!$A$2:$C$500,3,FALSE()),"mã đơn chưa có"))</f>
        <v/>
      </c>
      <c r="D1954" s="14"/>
      <c r="E1954" s="8"/>
      <c r="F1954" s="8"/>
      <c r="G1954" s="8"/>
    </row>
    <row r="1955" customFormat="false" ht="15" hidden="false" customHeight="false" outlineLevel="0" collapsed="false">
      <c r="A1955" s="9"/>
      <c r="B1955" s="8"/>
      <c r="C1955" s="10" t="str">
        <f aca="false">IF(B1955="","",IFERROR(VLOOKUP(B1955,DonHang!$A$2:$C$500,3,FALSE()),"mã đơn chưa có"))</f>
        <v/>
      </c>
      <c r="D1955" s="14"/>
      <c r="E1955" s="8"/>
      <c r="F1955" s="8"/>
      <c r="G1955" s="8"/>
    </row>
    <row r="1956" customFormat="false" ht="15" hidden="false" customHeight="false" outlineLevel="0" collapsed="false">
      <c r="A1956" s="9"/>
      <c r="B1956" s="8"/>
      <c r="C1956" s="10" t="str">
        <f aca="false">IF(B1956="","",IFERROR(VLOOKUP(B1956,DonHang!$A$2:$C$500,3,FALSE()),"mã đơn chưa có"))</f>
        <v/>
      </c>
      <c r="D1956" s="14"/>
      <c r="E1956" s="8"/>
      <c r="F1956" s="8"/>
      <c r="G1956" s="8"/>
    </row>
    <row r="1957" customFormat="false" ht="15" hidden="false" customHeight="false" outlineLevel="0" collapsed="false">
      <c r="A1957" s="9"/>
      <c r="B1957" s="8"/>
      <c r="C1957" s="10" t="str">
        <f aca="false">IF(B1957="","",IFERROR(VLOOKUP(B1957,DonHang!$A$2:$C$500,3,FALSE()),"mã đơn chưa có"))</f>
        <v/>
      </c>
      <c r="D1957" s="14"/>
      <c r="E1957" s="8"/>
      <c r="F1957" s="8"/>
      <c r="G1957" s="8"/>
    </row>
    <row r="1958" customFormat="false" ht="15" hidden="false" customHeight="false" outlineLevel="0" collapsed="false">
      <c r="A1958" s="9"/>
      <c r="B1958" s="8"/>
      <c r="C1958" s="10" t="str">
        <f aca="false">IF(B1958="","",IFERROR(VLOOKUP(B1958,DonHang!$A$2:$C$500,3,FALSE()),"mã đơn chưa có"))</f>
        <v/>
      </c>
      <c r="D1958" s="14"/>
      <c r="E1958" s="8"/>
      <c r="F1958" s="8"/>
      <c r="G1958" s="8"/>
    </row>
    <row r="1959" customFormat="false" ht="15" hidden="false" customHeight="false" outlineLevel="0" collapsed="false">
      <c r="A1959" s="9"/>
      <c r="B1959" s="8"/>
      <c r="C1959" s="10" t="str">
        <f aca="false">IF(B1959="","",IFERROR(VLOOKUP(B1959,DonHang!$A$2:$C$500,3,FALSE()),"mã đơn chưa có"))</f>
        <v/>
      </c>
      <c r="D1959" s="14"/>
      <c r="E1959" s="8"/>
      <c r="F1959" s="8"/>
      <c r="G1959" s="8"/>
    </row>
    <row r="1960" customFormat="false" ht="15" hidden="false" customHeight="false" outlineLevel="0" collapsed="false">
      <c r="A1960" s="9"/>
      <c r="B1960" s="8"/>
      <c r="C1960" s="10" t="str">
        <f aca="false">IF(B1960="","",IFERROR(VLOOKUP(B1960,DonHang!$A$2:$C$500,3,FALSE()),"mã đơn chưa có"))</f>
        <v/>
      </c>
      <c r="D1960" s="14"/>
      <c r="E1960" s="8"/>
      <c r="F1960" s="8"/>
      <c r="G1960" s="8"/>
    </row>
    <row r="1961" customFormat="false" ht="15" hidden="false" customHeight="false" outlineLevel="0" collapsed="false">
      <c r="A1961" s="9"/>
      <c r="B1961" s="8"/>
      <c r="C1961" s="10" t="str">
        <f aca="false">IF(B1961="","",IFERROR(VLOOKUP(B1961,DonHang!$A$2:$C$500,3,FALSE()),"mã đơn chưa có"))</f>
        <v/>
      </c>
      <c r="D1961" s="14"/>
      <c r="E1961" s="8"/>
      <c r="F1961" s="8"/>
      <c r="G1961" s="8"/>
    </row>
    <row r="1962" customFormat="false" ht="15" hidden="false" customHeight="false" outlineLevel="0" collapsed="false">
      <c r="A1962" s="9"/>
      <c r="B1962" s="8"/>
      <c r="C1962" s="10" t="str">
        <f aca="false">IF(B1962="","",IFERROR(VLOOKUP(B1962,DonHang!$A$2:$C$500,3,FALSE()),"mã đơn chưa có"))</f>
        <v/>
      </c>
      <c r="D1962" s="14"/>
      <c r="E1962" s="8"/>
      <c r="F1962" s="8"/>
      <c r="G1962" s="8"/>
    </row>
    <row r="1963" customFormat="false" ht="15" hidden="false" customHeight="false" outlineLevel="0" collapsed="false">
      <c r="A1963" s="9"/>
      <c r="B1963" s="8"/>
      <c r="C1963" s="10" t="str">
        <f aca="false">IF(B1963="","",IFERROR(VLOOKUP(B1963,DonHang!$A$2:$C$500,3,FALSE()),"mã đơn chưa có"))</f>
        <v/>
      </c>
      <c r="D1963" s="14"/>
      <c r="E1963" s="8"/>
      <c r="F1963" s="8"/>
      <c r="G1963" s="8"/>
    </row>
    <row r="1964" customFormat="false" ht="15" hidden="false" customHeight="false" outlineLevel="0" collapsed="false">
      <c r="A1964" s="9"/>
      <c r="B1964" s="8"/>
      <c r="C1964" s="10" t="str">
        <f aca="false">IF(B1964="","",IFERROR(VLOOKUP(B1964,DonHang!$A$2:$C$500,3,FALSE()),"mã đơn chưa có"))</f>
        <v/>
      </c>
      <c r="D1964" s="14"/>
      <c r="E1964" s="8"/>
      <c r="F1964" s="8"/>
      <c r="G1964" s="8"/>
    </row>
    <row r="1965" customFormat="false" ht="15" hidden="false" customHeight="false" outlineLevel="0" collapsed="false">
      <c r="A1965" s="9"/>
      <c r="B1965" s="8"/>
      <c r="C1965" s="10" t="str">
        <f aca="false">IF(B1965="","",IFERROR(VLOOKUP(B1965,DonHang!$A$2:$C$500,3,FALSE()),"mã đơn chưa có"))</f>
        <v/>
      </c>
      <c r="D1965" s="14"/>
      <c r="E1965" s="8"/>
      <c r="F1965" s="8"/>
      <c r="G1965" s="8"/>
    </row>
    <row r="1966" customFormat="false" ht="15" hidden="false" customHeight="false" outlineLevel="0" collapsed="false">
      <c r="A1966" s="9"/>
      <c r="B1966" s="8"/>
      <c r="C1966" s="10" t="str">
        <f aca="false">IF(B1966="","",IFERROR(VLOOKUP(B1966,DonHang!$A$2:$C$500,3,FALSE()),"mã đơn chưa có"))</f>
        <v/>
      </c>
      <c r="D1966" s="14"/>
      <c r="E1966" s="8"/>
      <c r="F1966" s="8"/>
      <c r="G1966" s="8"/>
    </row>
    <row r="1967" customFormat="false" ht="15" hidden="false" customHeight="false" outlineLevel="0" collapsed="false">
      <c r="A1967" s="9"/>
      <c r="B1967" s="8"/>
      <c r="C1967" s="10" t="str">
        <f aca="false">IF(B1967="","",IFERROR(VLOOKUP(B1967,DonHang!$A$2:$C$500,3,FALSE()),"mã đơn chưa có"))</f>
        <v/>
      </c>
      <c r="D1967" s="14"/>
      <c r="E1967" s="8"/>
      <c r="F1967" s="8"/>
      <c r="G1967" s="8"/>
    </row>
    <row r="1968" customFormat="false" ht="15" hidden="false" customHeight="false" outlineLevel="0" collapsed="false">
      <c r="A1968" s="9"/>
      <c r="B1968" s="8"/>
      <c r="C1968" s="10" t="str">
        <f aca="false">IF(B1968="","",IFERROR(VLOOKUP(B1968,DonHang!$A$2:$C$500,3,FALSE()),"mã đơn chưa có"))</f>
        <v/>
      </c>
      <c r="D1968" s="14"/>
      <c r="E1968" s="8"/>
      <c r="F1968" s="8"/>
      <c r="G1968" s="8"/>
    </row>
    <row r="1969" customFormat="false" ht="15" hidden="false" customHeight="false" outlineLevel="0" collapsed="false">
      <c r="A1969" s="9"/>
      <c r="B1969" s="8"/>
      <c r="C1969" s="10" t="str">
        <f aca="false">IF(B1969="","",IFERROR(VLOOKUP(B1969,DonHang!$A$2:$C$500,3,FALSE()),"mã đơn chưa có"))</f>
        <v/>
      </c>
      <c r="D1969" s="14"/>
      <c r="E1969" s="8"/>
      <c r="F1969" s="8"/>
      <c r="G1969" s="8"/>
    </row>
    <row r="1970" customFormat="false" ht="15" hidden="false" customHeight="false" outlineLevel="0" collapsed="false">
      <c r="A1970" s="9"/>
      <c r="B1970" s="8"/>
      <c r="C1970" s="10" t="str">
        <f aca="false">IF(B1970="","",IFERROR(VLOOKUP(B1970,DonHang!$A$2:$C$500,3,FALSE()),"mã đơn chưa có"))</f>
        <v/>
      </c>
      <c r="D1970" s="14"/>
      <c r="E1970" s="8"/>
      <c r="F1970" s="8"/>
      <c r="G1970" s="8"/>
    </row>
    <row r="1971" customFormat="false" ht="15" hidden="false" customHeight="false" outlineLevel="0" collapsed="false">
      <c r="A1971" s="9"/>
      <c r="B1971" s="8"/>
      <c r="C1971" s="10" t="str">
        <f aca="false">IF(B1971="","",IFERROR(VLOOKUP(B1971,DonHang!$A$2:$C$500,3,FALSE()),"mã đơn chưa có"))</f>
        <v/>
      </c>
      <c r="D1971" s="14"/>
      <c r="E1971" s="8"/>
      <c r="F1971" s="8"/>
      <c r="G1971" s="8"/>
    </row>
    <row r="1972" customFormat="false" ht="15" hidden="false" customHeight="false" outlineLevel="0" collapsed="false">
      <c r="A1972" s="9"/>
      <c r="B1972" s="8"/>
      <c r="C1972" s="10" t="str">
        <f aca="false">IF(B1972="","",IFERROR(VLOOKUP(B1972,DonHang!$A$2:$C$500,3,FALSE()),"mã đơn chưa có"))</f>
        <v/>
      </c>
      <c r="D1972" s="14"/>
      <c r="E1972" s="8"/>
      <c r="F1972" s="8"/>
      <c r="G1972" s="8"/>
    </row>
    <row r="1973" customFormat="false" ht="15" hidden="false" customHeight="false" outlineLevel="0" collapsed="false">
      <c r="A1973" s="9"/>
      <c r="B1973" s="8"/>
      <c r="C1973" s="10" t="str">
        <f aca="false">IF(B1973="","",IFERROR(VLOOKUP(B1973,DonHang!$A$2:$C$500,3,FALSE()),"mã đơn chưa có"))</f>
        <v/>
      </c>
      <c r="D1973" s="14"/>
      <c r="E1973" s="8"/>
      <c r="F1973" s="8"/>
      <c r="G1973" s="8"/>
    </row>
    <row r="1974" customFormat="false" ht="15" hidden="false" customHeight="false" outlineLevel="0" collapsed="false">
      <c r="A1974" s="9"/>
      <c r="B1974" s="8"/>
      <c r="C1974" s="10" t="str">
        <f aca="false">IF(B1974="","",IFERROR(VLOOKUP(B1974,DonHang!$A$2:$C$500,3,FALSE()),"mã đơn chưa có"))</f>
        <v/>
      </c>
      <c r="D1974" s="14"/>
      <c r="E1974" s="8"/>
      <c r="F1974" s="8"/>
      <c r="G1974" s="8"/>
    </row>
    <row r="1975" customFormat="false" ht="15" hidden="false" customHeight="false" outlineLevel="0" collapsed="false">
      <c r="A1975" s="9"/>
      <c r="B1975" s="8"/>
      <c r="C1975" s="10" t="str">
        <f aca="false">IF(B1975="","",IFERROR(VLOOKUP(B1975,DonHang!$A$2:$C$500,3,FALSE()),"mã đơn chưa có"))</f>
        <v/>
      </c>
      <c r="D1975" s="14"/>
      <c r="E1975" s="8"/>
      <c r="F1975" s="8"/>
      <c r="G1975" s="8"/>
    </row>
    <row r="1976" customFormat="false" ht="15" hidden="false" customHeight="false" outlineLevel="0" collapsed="false">
      <c r="A1976" s="9"/>
      <c r="B1976" s="8"/>
      <c r="C1976" s="10" t="str">
        <f aca="false">IF(B1976="","",IFERROR(VLOOKUP(B1976,DonHang!$A$2:$C$500,3,FALSE()),"mã đơn chưa có"))</f>
        <v/>
      </c>
      <c r="D1976" s="14"/>
      <c r="E1976" s="8"/>
      <c r="F1976" s="8"/>
      <c r="G1976" s="8"/>
    </row>
    <row r="1977" customFormat="false" ht="15" hidden="false" customHeight="false" outlineLevel="0" collapsed="false">
      <c r="A1977" s="9"/>
      <c r="B1977" s="8"/>
      <c r="C1977" s="10" t="str">
        <f aca="false">IF(B1977="","",IFERROR(VLOOKUP(B1977,DonHang!$A$2:$C$500,3,FALSE()),"mã đơn chưa có"))</f>
        <v/>
      </c>
      <c r="D1977" s="14"/>
      <c r="E1977" s="8"/>
      <c r="F1977" s="8"/>
      <c r="G1977" s="8"/>
    </row>
    <row r="1978" customFormat="false" ht="15" hidden="false" customHeight="false" outlineLevel="0" collapsed="false">
      <c r="A1978" s="9"/>
      <c r="B1978" s="8"/>
      <c r="C1978" s="10" t="str">
        <f aca="false">IF(B1978="","",IFERROR(VLOOKUP(B1978,DonHang!$A$2:$C$500,3,FALSE()),"mã đơn chưa có"))</f>
        <v/>
      </c>
      <c r="D1978" s="14"/>
      <c r="E1978" s="8"/>
      <c r="F1978" s="8"/>
      <c r="G1978" s="8"/>
    </row>
    <row r="1979" customFormat="false" ht="15" hidden="false" customHeight="false" outlineLevel="0" collapsed="false">
      <c r="A1979" s="9"/>
      <c r="B1979" s="8"/>
      <c r="C1979" s="10" t="str">
        <f aca="false">IF(B1979="","",IFERROR(VLOOKUP(B1979,DonHang!$A$2:$C$500,3,FALSE()),"mã đơn chưa có"))</f>
        <v/>
      </c>
      <c r="D1979" s="14"/>
      <c r="E1979" s="8"/>
      <c r="F1979" s="8"/>
      <c r="G1979" s="8"/>
    </row>
    <row r="1980" customFormat="false" ht="15" hidden="false" customHeight="false" outlineLevel="0" collapsed="false">
      <c r="A1980" s="9"/>
      <c r="B1980" s="8"/>
      <c r="C1980" s="10" t="str">
        <f aca="false">IF(B1980="","",IFERROR(VLOOKUP(B1980,DonHang!$A$2:$C$500,3,FALSE()),"mã đơn chưa có"))</f>
        <v/>
      </c>
      <c r="D1980" s="14"/>
      <c r="E1980" s="8"/>
      <c r="F1980" s="8"/>
      <c r="G1980" s="8"/>
    </row>
    <row r="1981" customFormat="false" ht="15" hidden="false" customHeight="false" outlineLevel="0" collapsed="false">
      <c r="A1981" s="9"/>
      <c r="B1981" s="8"/>
      <c r="C1981" s="10" t="str">
        <f aca="false">IF(B1981="","",IFERROR(VLOOKUP(B1981,DonHang!$A$2:$C$500,3,FALSE()),"mã đơn chưa có"))</f>
        <v/>
      </c>
      <c r="D1981" s="14"/>
      <c r="E1981" s="8"/>
      <c r="F1981" s="8"/>
      <c r="G1981" s="8"/>
    </row>
    <row r="1982" customFormat="false" ht="15" hidden="false" customHeight="false" outlineLevel="0" collapsed="false">
      <c r="A1982" s="9"/>
      <c r="B1982" s="8"/>
      <c r="C1982" s="10" t="str">
        <f aca="false">IF(B1982="","",IFERROR(VLOOKUP(B1982,DonHang!$A$2:$C$500,3,FALSE()),"mã đơn chưa có"))</f>
        <v/>
      </c>
      <c r="D1982" s="14"/>
      <c r="E1982" s="8"/>
      <c r="F1982" s="8"/>
      <c r="G1982" s="8"/>
    </row>
    <row r="1983" customFormat="false" ht="15" hidden="false" customHeight="false" outlineLevel="0" collapsed="false">
      <c r="A1983" s="9"/>
      <c r="B1983" s="8"/>
      <c r="C1983" s="10" t="str">
        <f aca="false">IF(B1983="","",IFERROR(VLOOKUP(B1983,DonHang!$A$2:$C$500,3,FALSE()),"mã đơn chưa có"))</f>
        <v/>
      </c>
      <c r="D1983" s="14"/>
      <c r="E1983" s="8"/>
      <c r="F1983" s="8"/>
      <c r="G1983" s="8"/>
    </row>
    <row r="1984" customFormat="false" ht="15" hidden="false" customHeight="false" outlineLevel="0" collapsed="false">
      <c r="A1984" s="9"/>
      <c r="B1984" s="8"/>
      <c r="C1984" s="10" t="str">
        <f aca="false">IF(B1984="","",IFERROR(VLOOKUP(B1984,DonHang!$A$2:$C$500,3,FALSE()),"mã đơn chưa có"))</f>
        <v/>
      </c>
      <c r="D1984" s="14"/>
      <c r="E1984" s="8"/>
      <c r="F1984" s="8"/>
      <c r="G1984" s="8"/>
    </row>
    <row r="1985" customFormat="false" ht="15" hidden="false" customHeight="false" outlineLevel="0" collapsed="false">
      <c r="A1985" s="9"/>
      <c r="B1985" s="8"/>
      <c r="C1985" s="10" t="str">
        <f aca="false">IF(B1985="","",IFERROR(VLOOKUP(B1985,DonHang!$A$2:$C$500,3,FALSE()),"mã đơn chưa có"))</f>
        <v/>
      </c>
      <c r="D1985" s="14"/>
      <c r="E1985" s="8"/>
      <c r="F1985" s="8"/>
      <c r="G1985" s="8"/>
    </row>
    <row r="1986" customFormat="false" ht="15" hidden="false" customHeight="false" outlineLevel="0" collapsed="false">
      <c r="A1986" s="9"/>
      <c r="B1986" s="8"/>
      <c r="C1986" s="10" t="str">
        <f aca="false">IF(B1986="","",IFERROR(VLOOKUP(B1986,DonHang!$A$2:$C$500,3,FALSE()),"mã đơn chưa có"))</f>
        <v/>
      </c>
      <c r="D1986" s="14"/>
      <c r="E1986" s="8"/>
      <c r="F1986" s="8"/>
      <c r="G1986" s="8"/>
    </row>
    <row r="1987" customFormat="false" ht="15" hidden="false" customHeight="false" outlineLevel="0" collapsed="false">
      <c r="A1987" s="9"/>
      <c r="B1987" s="8"/>
      <c r="C1987" s="10" t="str">
        <f aca="false">IF(B1987="","",IFERROR(VLOOKUP(B1987,DonHang!$A$2:$C$500,3,FALSE()),"mã đơn chưa có"))</f>
        <v/>
      </c>
      <c r="D1987" s="14"/>
      <c r="E1987" s="8"/>
      <c r="F1987" s="8"/>
      <c r="G1987" s="8"/>
    </row>
    <row r="1988" customFormat="false" ht="15" hidden="false" customHeight="false" outlineLevel="0" collapsed="false">
      <c r="A1988" s="9"/>
      <c r="B1988" s="8"/>
      <c r="C1988" s="10" t="str">
        <f aca="false">IF(B1988="","",IFERROR(VLOOKUP(B1988,DonHang!$A$2:$C$500,3,FALSE()),"mã đơn chưa có"))</f>
        <v/>
      </c>
      <c r="D1988" s="14"/>
      <c r="E1988" s="8"/>
      <c r="F1988" s="8"/>
      <c r="G1988" s="8"/>
    </row>
    <row r="1989" customFormat="false" ht="15" hidden="false" customHeight="false" outlineLevel="0" collapsed="false">
      <c r="A1989" s="9"/>
      <c r="B1989" s="8"/>
      <c r="C1989" s="10" t="str">
        <f aca="false">IF(B1989="","",IFERROR(VLOOKUP(B1989,DonHang!$A$2:$C$500,3,FALSE()),"mã đơn chưa có"))</f>
        <v/>
      </c>
      <c r="D1989" s="14"/>
      <c r="E1989" s="8"/>
      <c r="F1989" s="8"/>
      <c r="G1989" s="8"/>
    </row>
    <row r="1990" customFormat="false" ht="15" hidden="false" customHeight="false" outlineLevel="0" collapsed="false">
      <c r="A1990" s="9"/>
      <c r="B1990" s="8"/>
      <c r="C1990" s="10" t="str">
        <f aca="false">IF(B1990="","",IFERROR(VLOOKUP(B1990,DonHang!$A$2:$C$500,3,FALSE()),"mã đơn chưa có"))</f>
        <v/>
      </c>
      <c r="D1990" s="14"/>
      <c r="E1990" s="8"/>
      <c r="F1990" s="8"/>
      <c r="G1990" s="8"/>
    </row>
    <row r="1991" customFormat="false" ht="15" hidden="false" customHeight="false" outlineLevel="0" collapsed="false">
      <c r="A1991" s="9"/>
      <c r="B1991" s="8"/>
      <c r="C1991" s="10" t="str">
        <f aca="false">IF(B1991="","",IFERROR(VLOOKUP(B1991,DonHang!$A$2:$C$500,3,FALSE()),"mã đơn chưa có"))</f>
        <v/>
      </c>
      <c r="D1991" s="14"/>
      <c r="E1991" s="8"/>
      <c r="F1991" s="8"/>
      <c r="G1991" s="8"/>
    </row>
    <row r="1992" customFormat="false" ht="15" hidden="false" customHeight="false" outlineLevel="0" collapsed="false">
      <c r="A1992" s="9"/>
      <c r="B1992" s="8"/>
      <c r="C1992" s="10" t="str">
        <f aca="false">IF(B1992="","",IFERROR(VLOOKUP(B1992,DonHang!$A$2:$C$500,3,FALSE()),"mã đơn chưa có"))</f>
        <v/>
      </c>
      <c r="D1992" s="14"/>
      <c r="E1992" s="8"/>
      <c r="F1992" s="8"/>
      <c r="G1992" s="8"/>
    </row>
    <row r="1993" customFormat="false" ht="15" hidden="false" customHeight="false" outlineLevel="0" collapsed="false">
      <c r="A1993" s="9"/>
      <c r="B1993" s="8"/>
      <c r="C1993" s="10" t="str">
        <f aca="false">IF(B1993="","",IFERROR(VLOOKUP(B1993,DonHang!$A$2:$C$500,3,FALSE()),"mã đơn chưa có"))</f>
        <v/>
      </c>
      <c r="D1993" s="14"/>
      <c r="E1993" s="8"/>
      <c r="F1993" s="8"/>
      <c r="G1993" s="8"/>
    </row>
    <row r="1994" customFormat="false" ht="15" hidden="false" customHeight="false" outlineLevel="0" collapsed="false">
      <c r="A1994" s="9"/>
      <c r="B1994" s="8"/>
      <c r="C1994" s="10" t="str">
        <f aca="false">IF(B1994="","",IFERROR(VLOOKUP(B1994,DonHang!$A$2:$C$500,3,FALSE()),"mã đơn chưa có"))</f>
        <v/>
      </c>
      <c r="D1994" s="14"/>
      <c r="E1994" s="8"/>
      <c r="F1994" s="8"/>
      <c r="G1994" s="8"/>
    </row>
    <row r="1995" customFormat="false" ht="15" hidden="false" customHeight="false" outlineLevel="0" collapsed="false">
      <c r="A1995" s="9"/>
      <c r="B1995" s="8"/>
      <c r="C1995" s="10" t="str">
        <f aca="false">IF(B1995="","",IFERROR(VLOOKUP(B1995,DonHang!$A$2:$C$500,3,FALSE()),"mã đơn chưa có"))</f>
        <v/>
      </c>
      <c r="D1995" s="14"/>
      <c r="E1995" s="8"/>
      <c r="F1995" s="8"/>
      <c r="G1995" s="8"/>
    </row>
    <row r="1996" customFormat="false" ht="15" hidden="false" customHeight="false" outlineLevel="0" collapsed="false">
      <c r="A1996" s="9"/>
      <c r="B1996" s="8"/>
      <c r="C1996" s="10" t="str">
        <f aca="false">IF(B1996="","",IFERROR(VLOOKUP(B1996,DonHang!$A$2:$C$500,3,FALSE()),"mã đơn chưa có"))</f>
        <v/>
      </c>
      <c r="D1996" s="14"/>
      <c r="E1996" s="8"/>
      <c r="F1996" s="8"/>
      <c r="G1996" s="8"/>
    </row>
    <row r="1997" customFormat="false" ht="15" hidden="false" customHeight="false" outlineLevel="0" collapsed="false">
      <c r="A1997" s="9"/>
      <c r="B1997" s="8"/>
      <c r="C1997" s="10" t="str">
        <f aca="false">IF(B1997="","",IFERROR(VLOOKUP(B1997,DonHang!$A$2:$C$500,3,FALSE()),"mã đơn chưa có"))</f>
        <v/>
      </c>
      <c r="D1997" s="14"/>
      <c r="E1997" s="8"/>
      <c r="F1997" s="8"/>
      <c r="G1997" s="8"/>
    </row>
    <row r="1998" customFormat="false" ht="15" hidden="false" customHeight="false" outlineLevel="0" collapsed="false">
      <c r="A1998" s="9"/>
      <c r="B1998" s="8"/>
      <c r="C1998" s="10" t="str">
        <f aca="false">IF(B1998="","",IFERROR(VLOOKUP(B1998,DonHang!$A$2:$C$500,3,FALSE()),"mã đơn chưa có"))</f>
        <v/>
      </c>
      <c r="D1998" s="14"/>
      <c r="E1998" s="8"/>
      <c r="F1998" s="8"/>
      <c r="G1998" s="8"/>
    </row>
    <row r="1999" customFormat="false" ht="15" hidden="false" customHeight="false" outlineLevel="0" collapsed="false">
      <c r="A1999" s="9"/>
      <c r="B1999" s="8"/>
      <c r="C1999" s="10" t="str">
        <f aca="false">IF(B1999="","",IFERROR(VLOOKUP(B1999,DonHang!$A$2:$C$500,3,FALSE()),"mã đơn chưa có"))</f>
        <v/>
      </c>
      <c r="D1999" s="14"/>
      <c r="E1999" s="8"/>
      <c r="F1999" s="8"/>
      <c r="G1999" s="8"/>
    </row>
    <row r="2000" customFormat="false" ht="15" hidden="false" customHeight="false" outlineLevel="0" collapsed="false">
      <c r="A2000" s="9"/>
      <c r="B2000" s="8"/>
      <c r="C2000" s="10" t="str">
        <f aca="false">IF(B2000="","",IFERROR(VLOOKUP(B2000,DonHang!$A$2:$C$500,3,FALSE()),"mã đơn chưa có"))</f>
        <v/>
      </c>
      <c r="D2000" s="14"/>
      <c r="E2000" s="8"/>
      <c r="F2000" s="8"/>
      <c r="G2000" s="8"/>
    </row>
  </sheetData>
  <autoFilter ref="A1:G2000"/>
  <dataValidations count="2">
    <dataValidation allowBlank="true" error="Chọn một giá trị trong danh sách" errorStyle="stop" errorTitle="Sai giá trị" operator="between" showDropDown="false" showErrorMessage="true" showInputMessage="false" sqref="B2:B2000" type="list">
      <formula1>DonHang!$A$2:$A$500</formula1>
      <formula2>0</formula2>
    </dataValidation>
    <dataValidation allowBlank="true" error="Chọn một giá trị trong danh sách" errorStyle="stop" errorTitle="Sai giá trị" operator="between" showDropDown="false" showErrorMessage="true" showInputMessage="false" sqref="E2:E2000" type="list">
      <formula1>"Chuyển khoản,Tiền mặt,Khác"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9" min="6" style="0" width="16"/>
    <col collapsed="false" customWidth="true" hidden="false" outlineLevel="0" max="10" min="10" style="0" width="24"/>
  </cols>
  <sheetData>
    <row r="1" customFormat="false" ht="36" hidden="false" customHeight="true" outlineLevel="0" collapsed="false">
      <c r="A1" s="7" t="s">
        <v>74</v>
      </c>
      <c r="B1" s="7" t="s">
        <v>14</v>
      </c>
      <c r="C1" s="7" t="s">
        <v>75</v>
      </c>
      <c r="D1" s="7" t="s">
        <v>76</v>
      </c>
      <c r="E1" s="7" t="s">
        <v>77</v>
      </c>
      <c r="F1" s="7" t="s">
        <v>24</v>
      </c>
      <c r="G1" s="7" t="s">
        <v>3</v>
      </c>
      <c r="H1" s="7" t="s">
        <v>25</v>
      </c>
      <c r="I1" s="7" t="s">
        <v>78</v>
      </c>
      <c r="J1" s="7" t="s">
        <v>30</v>
      </c>
    </row>
    <row r="2" customFormat="false" ht="15" hidden="false" customHeight="false" outlineLevel="0" collapsed="false">
      <c r="A2" s="8" t="s">
        <v>32</v>
      </c>
      <c r="B2" s="8" t="s">
        <v>79</v>
      </c>
      <c r="C2" s="8" t="s">
        <v>80</v>
      </c>
      <c r="D2" s="8" t="s">
        <v>81</v>
      </c>
      <c r="E2" s="10" t="n">
        <f aca="false">IF(A2="","",COUNTIFS(DonHang!$C$2:$C$500,A2))</f>
        <v>1</v>
      </c>
      <c r="F2" s="11" t="n">
        <f aca="false">IF(A2="","",SUMIFS(DonHang!$N$2:$N$500,DonHang!$C$2:$C$500,A2))</f>
        <v>291168000</v>
      </c>
      <c r="G2" s="11" t="n">
        <f aca="false">IF(A2="","",SUMIFS(DonHang!$O$2:$O$500,DonHang!$C$2:$C$500,A2))</f>
        <v>130356000</v>
      </c>
      <c r="H2" s="11" t="n">
        <f aca="false">IF(A2="","",F2-G2)</f>
        <v>160812000</v>
      </c>
      <c r="I2" s="11" t="n">
        <f aca="false">IF(A2="","",SUMIFS(DonHang!$P$2:$P$500,DonHang!$C$2:$C$500,A2,DonHang!$R$2:$R$500,"&gt;0"))</f>
        <v>0</v>
      </c>
      <c r="J2" s="8"/>
    </row>
    <row r="3" customFormat="false" ht="15" hidden="false" customHeight="false" outlineLevel="0" collapsed="false">
      <c r="A3" s="8" t="s">
        <v>39</v>
      </c>
      <c r="B3" s="8" t="s">
        <v>82</v>
      </c>
      <c r="C3" s="8" t="s">
        <v>83</v>
      </c>
      <c r="D3" s="8" t="s">
        <v>84</v>
      </c>
      <c r="E3" s="10" t="n">
        <f aca="false">IF(A3="","",COUNTIFS(DonHang!$C$2:$C$500,A3))</f>
        <v>1</v>
      </c>
      <c r="F3" s="11" t="n">
        <f aca="false">IF(A3="","",SUMIFS(DonHang!$N$2:$N$500,DonHang!$C$2:$C$500,A3))</f>
        <v>12528000</v>
      </c>
      <c r="G3" s="11" t="n">
        <f aca="false">IF(A3="","",SUMIFS(DonHang!$O$2:$O$500,DonHang!$C$2:$C$500,A3))</f>
        <v>0</v>
      </c>
      <c r="H3" s="11" t="n">
        <f aca="false">IF(A3="","",F3-G3)</f>
        <v>12528000</v>
      </c>
      <c r="I3" s="11" t="n">
        <f aca="false">IF(A3="","",SUMIFS(DonHang!$P$2:$P$500,DonHang!$C$2:$C$500,A3,DonHang!$R$2:$R$500,"&gt;0"))</f>
        <v>0</v>
      </c>
      <c r="J3" s="8"/>
    </row>
    <row r="4" customFormat="false" ht="15" hidden="false" customHeight="false" outlineLevel="0" collapsed="false">
      <c r="A4" s="8" t="s">
        <v>43</v>
      </c>
      <c r="B4" s="8" t="s">
        <v>85</v>
      </c>
      <c r="C4" s="8" t="s">
        <v>86</v>
      </c>
      <c r="D4" s="8" t="s">
        <v>87</v>
      </c>
      <c r="E4" s="10" t="n">
        <f aca="false">IF(A4="","",COUNTIFS(DonHang!$C$2:$C$500,A4))</f>
        <v>1</v>
      </c>
      <c r="F4" s="11" t="n">
        <f aca="false">IF(A4="","",SUMIFS(DonHang!$N$2:$N$500,DonHang!$C$2:$C$500,A4))</f>
        <v>11556000</v>
      </c>
      <c r="G4" s="11" t="n">
        <f aca="false">IF(A4="","",SUMIFS(DonHang!$O$2:$O$500,DonHang!$C$2:$C$500,A4))</f>
        <v>0</v>
      </c>
      <c r="H4" s="11" t="n">
        <f aca="false">IF(A4="","",F4-G4)</f>
        <v>11556000</v>
      </c>
      <c r="I4" s="11" t="n">
        <f aca="false">IF(A4="","",SUMIFS(DonHang!$P$2:$P$500,DonHang!$C$2:$C$500,A4,DonHang!$R$2:$R$500,"&gt;0"))</f>
        <v>0</v>
      </c>
      <c r="J4" s="8"/>
    </row>
    <row r="5" customFormat="false" ht="15" hidden="false" customHeight="false" outlineLevel="0" collapsed="false">
      <c r="A5" s="8" t="s">
        <v>48</v>
      </c>
      <c r="B5" s="8"/>
      <c r="C5" s="8" t="s">
        <v>88</v>
      </c>
      <c r="D5" s="8"/>
      <c r="E5" s="10" t="n">
        <f aca="false">IF(A5="","",COUNTIFS(DonHang!$C$2:$C$500,A5))</f>
        <v>1</v>
      </c>
      <c r="F5" s="11" t="n">
        <f aca="false">IF(A5="","",SUMIFS(DonHang!$N$2:$N$500,DonHang!$C$2:$C$500,A5))</f>
        <v>0</v>
      </c>
      <c r="G5" s="11" t="n">
        <f aca="false">IF(A5="","",SUMIFS(DonHang!$O$2:$O$500,DonHang!$C$2:$C$500,A5))</f>
        <v>0</v>
      </c>
      <c r="H5" s="11" t="n">
        <f aca="false">IF(A5="","",F5-G5)</f>
        <v>0</v>
      </c>
      <c r="I5" s="11" t="n">
        <f aca="false">IF(A5="","",SUMIFS(DonHang!$P$2:$P$500,DonHang!$C$2:$C$500,A5,DonHang!$R$2:$R$500,"&gt;0"))</f>
        <v>0</v>
      </c>
      <c r="J5" s="8"/>
    </row>
    <row r="6" customFormat="false" ht="15" hidden="false" customHeight="false" outlineLevel="0" collapsed="false">
      <c r="A6" s="8"/>
      <c r="B6" s="8"/>
      <c r="C6" s="8"/>
      <c r="D6" s="8"/>
      <c r="E6" s="10" t="str">
        <f aca="false">IF(A6="","",COUNTIFS(DonHang!$C$2:$C$500,A6))</f>
        <v/>
      </c>
      <c r="F6" s="11" t="str">
        <f aca="false">IF(A6="","",SUMIFS(DonHang!$N$2:$N$500,DonHang!$C$2:$C$500,A6))</f>
        <v/>
      </c>
      <c r="G6" s="11" t="str">
        <f aca="false">IF(A6="","",SUMIFS(DonHang!$O$2:$O$500,DonHang!$C$2:$C$500,A6))</f>
        <v/>
      </c>
      <c r="H6" s="11" t="str">
        <f aca="false">IF(A6="","",F6-G6)</f>
        <v/>
      </c>
      <c r="I6" s="11" t="str">
        <f aca="false">IF(A6="","",SUMIFS(DonHang!$P$2:$P$500,DonHang!$C$2:$C$500,A6,DonHang!$R$2:$R$500,"&gt;0"))</f>
        <v/>
      </c>
      <c r="J6" s="8"/>
    </row>
    <row r="7" customFormat="false" ht="15" hidden="false" customHeight="false" outlineLevel="0" collapsed="false">
      <c r="A7" s="8"/>
      <c r="B7" s="8"/>
      <c r="C7" s="8"/>
      <c r="D7" s="8"/>
      <c r="E7" s="10" t="str">
        <f aca="false">IF(A7="","",COUNTIFS(DonHang!$C$2:$C$500,A7))</f>
        <v/>
      </c>
      <c r="F7" s="11" t="str">
        <f aca="false">IF(A7="","",SUMIFS(DonHang!$N$2:$N$500,DonHang!$C$2:$C$500,A7))</f>
        <v/>
      </c>
      <c r="G7" s="11" t="str">
        <f aca="false">IF(A7="","",SUMIFS(DonHang!$O$2:$O$500,DonHang!$C$2:$C$500,A7))</f>
        <v/>
      </c>
      <c r="H7" s="11" t="str">
        <f aca="false">IF(A7="","",F7-G7)</f>
        <v/>
      </c>
      <c r="I7" s="11" t="str">
        <f aca="false">IF(A7="","",SUMIFS(DonHang!$P$2:$P$500,DonHang!$C$2:$C$500,A7,DonHang!$R$2:$R$500,"&gt;0"))</f>
        <v/>
      </c>
      <c r="J7" s="8"/>
    </row>
    <row r="8" customFormat="false" ht="15" hidden="false" customHeight="false" outlineLevel="0" collapsed="false">
      <c r="A8" s="8"/>
      <c r="B8" s="8"/>
      <c r="C8" s="8"/>
      <c r="D8" s="8"/>
      <c r="E8" s="10" t="str">
        <f aca="false">IF(A8="","",COUNTIFS(DonHang!$C$2:$C$500,A8))</f>
        <v/>
      </c>
      <c r="F8" s="11" t="str">
        <f aca="false">IF(A8="","",SUMIFS(DonHang!$N$2:$N$500,DonHang!$C$2:$C$500,A8))</f>
        <v/>
      </c>
      <c r="G8" s="11" t="str">
        <f aca="false">IF(A8="","",SUMIFS(DonHang!$O$2:$O$500,DonHang!$C$2:$C$500,A8))</f>
        <v/>
      </c>
      <c r="H8" s="11" t="str">
        <f aca="false">IF(A8="","",F8-G8)</f>
        <v/>
      </c>
      <c r="I8" s="11" t="str">
        <f aca="false">IF(A8="","",SUMIFS(DonHang!$P$2:$P$500,DonHang!$C$2:$C$500,A8,DonHang!$R$2:$R$500,"&gt;0"))</f>
        <v/>
      </c>
      <c r="J8" s="8"/>
    </row>
    <row r="9" customFormat="false" ht="15" hidden="false" customHeight="false" outlineLevel="0" collapsed="false">
      <c r="A9" s="8"/>
      <c r="B9" s="8"/>
      <c r="C9" s="8"/>
      <c r="D9" s="8"/>
      <c r="E9" s="10" t="str">
        <f aca="false">IF(A9="","",COUNTIFS(DonHang!$C$2:$C$500,A9))</f>
        <v/>
      </c>
      <c r="F9" s="11" t="str">
        <f aca="false">IF(A9="","",SUMIFS(DonHang!$N$2:$N$500,DonHang!$C$2:$C$500,A9))</f>
        <v/>
      </c>
      <c r="G9" s="11" t="str">
        <f aca="false">IF(A9="","",SUMIFS(DonHang!$O$2:$O$500,DonHang!$C$2:$C$500,A9))</f>
        <v/>
      </c>
      <c r="H9" s="11" t="str">
        <f aca="false">IF(A9="","",F9-G9)</f>
        <v/>
      </c>
      <c r="I9" s="11" t="str">
        <f aca="false">IF(A9="","",SUMIFS(DonHang!$P$2:$P$500,DonHang!$C$2:$C$500,A9,DonHang!$R$2:$R$500,"&gt;0"))</f>
        <v/>
      </c>
      <c r="J9" s="8"/>
    </row>
    <row r="10" customFormat="false" ht="15" hidden="false" customHeight="false" outlineLevel="0" collapsed="false">
      <c r="A10" s="8"/>
      <c r="B10" s="8"/>
      <c r="C10" s="8"/>
      <c r="D10" s="8"/>
      <c r="E10" s="10" t="str">
        <f aca="false">IF(A10="","",COUNTIFS(DonHang!$C$2:$C$500,A10))</f>
        <v/>
      </c>
      <c r="F10" s="11" t="str">
        <f aca="false">IF(A10="","",SUMIFS(DonHang!$N$2:$N$500,DonHang!$C$2:$C$500,A10))</f>
        <v/>
      </c>
      <c r="G10" s="11" t="str">
        <f aca="false">IF(A10="","",SUMIFS(DonHang!$O$2:$O$500,DonHang!$C$2:$C$500,A10))</f>
        <v/>
      </c>
      <c r="H10" s="11" t="str">
        <f aca="false">IF(A10="","",F10-G10)</f>
        <v/>
      </c>
      <c r="I10" s="11" t="str">
        <f aca="false">IF(A10="","",SUMIFS(DonHang!$P$2:$P$500,DonHang!$C$2:$C$500,A10,DonHang!$R$2:$R$500,"&gt;0"))</f>
        <v/>
      </c>
      <c r="J10" s="8"/>
    </row>
    <row r="11" customFormat="false" ht="15" hidden="false" customHeight="false" outlineLevel="0" collapsed="false">
      <c r="A11" s="8"/>
      <c r="B11" s="8"/>
      <c r="C11" s="8"/>
      <c r="D11" s="8"/>
      <c r="E11" s="10" t="str">
        <f aca="false">IF(A11="","",COUNTIFS(DonHang!$C$2:$C$500,A11))</f>
        <v/>
      </c>
      <c r="F11" s="11" t="str">
        <f aca="false">IF(A11="","",SUMIFS(DonHang!$N$2:$N$500,DonHang!$C$2:$C$500,A11))</f>
        <v/>
      </c>
      <c r="G11" s="11" t="str">
        <f aca="false">IF(A11="","",SUMIFS(DonHang!$O$2:$O$500,DonHang!$C$2:$C$500,A11))</f>
        <v/>
      </c>
      <c r="H11" s="11" t="str">
        <f aca="false">IF(A11="","",F11-G11)</f>
        <v/>
      </c>
      <c r="I11" s="11" t="str">
        <f aca="false">IF(A11="","",SUMIFS(DonHang!$P$2:$P$500,DonHang!$C$2:$C$500,A11,DonHang!$R$2:$R$500,"&gt;0"))</f>
        <v/>
      </c>
      <c r="J11" s="8"/>
    </row>
    <row r="12" customFormat="false" ht="15" hidden="false" customHeight="false" outlineLevel="0" collapsed="false">
      <c r="A12" s="8"/>
      <c r="B12" s="8"/>
      <c r="C12" s="8"/>
      <c r="D12" s="8"/>
      <c r="E12" s="10" t="str">
        <f aca="false">IF(A12="","",COUNTIFS(DonHang!$C$2:$C$500,A12))</f>
        <v/>
      </c>
      <c r="F12" s="11" t="str">
        <f aca="false">IF(A12="","",SUMIFS(DonHang!$N$2:$N$500,DonHang!$C$2:$C$500,A12))</f>
        <v/>
      </c>
      <c r="G12" s="11" t="str">
        <f aca="false">IF(A12="","",SUMIFS(DonHang!$O$2:$O$500,DonHang!$C$2:$C$500,A12))</f>
        <v/>
      </c>
      <c r="H12" s="11" t="str">
        <f aca="false">IF(A12="","",F12-G12)</f>
        <v/>
      </c>
      <c r="I12" s="11" t="str">
        <f aca="false">IF(A12="","",SUMIFS(DonHang!$P$2:$P$500,DonHang!$C$2:$C$500,A12,DonHang!$R$2:$R$500,"&gt;0"))</f>
        <v/>
      </c>
      <c r="J12" s="8"/>
    </row>
    <row r="13" customFormat="false" ht="15" hidden="false" customHeight="false" outlineLevel="0" collapsed="false">
      <c r="A13" s="8"/>
      <c r="B13" s="8"/>
      <c r="C13" s="8"/>
      <c r="D13" s="8"/>
      <c r="E13" s="10" t="str">
        <f aca="false">IF(A13="","",COUNTIFS(DonHang!$C$2:$C$500,A13))</f>
        <v/>
      </c>
      <c r="F13" s="11" t="str">
        <f aca="false">IF(A13="","",SUMIFS(DonHang!$N$2:$N$500,DonHang!$C$2:$C$500,A13))</f>
        <v/>
      </c>
      <c r="G13" s="11" t="str">
        <f aca="false">IF(A13="","",SUMIFS(DonHang!$O$2:$O$500,DonHang!$C$2:$C$500,A13))</f>
        <v/>
      </c>
      <c r="H13" s="11" t="str">
        <f aca="false">IF(A13="","",F13-G13)</f>
        <v/>
      </c>
      <c r="I13" s="11" t="str">
        <f aca="false">IF(A13="","",SUMIFS(DonHang!$P$2:$P$500,DonHang!$C$2:$C$500,A13,DonHang!$R$2:$R$500,"&gt;0"))</f>
        <v/>
      </c>
      <c r="J13" s="8"/>
    </row>
    <row r="14" customFormat="false" ht="15" hidden="false" customHeight="false" outlineLevel="0" collapsed="false">
      <c r="A14" s="8"/>
      <c r="B14" s="8"/>
      <c r="C14" s="8"/>
      <c r="D14" s="8"/>
      <c r="E14" s="10" t="str">
        <f aca="false">IF(A14="","",COUNTIFS(DonHang!$C$2:$C$500,A14))</f>
        <v/>
      </c>
      <c r="F14" s="11" t="str">
        <f aca="false">IF(A14="","",SUMIFS(DonHang!$N$2:$N$500,DonHang!$C$2:$C$500,A14))</f>
        <v/>
      </c>
      <c r="G14" s="11" t="str">
        <f aca="false">IF(A14="","",SUMIFS(DonHang!$O$2:$O$500,DonHang!$C$2:$C$500,A14))</f>
        <v/>
      </c>
      <c r="H14" s="11" t="str">
        <f aca="false">IF(A14="","",F14-G14)</f>
        <v/>
      </c>
      <c r="I14" s="11" t="str">
        <f aca="false">IF(A14="","",SUMIFS(DonHang!$P$2:$P$500,DonHang!$C$2:$C$500,A14,DonHang!$R$2:$R$500,"&gt;0"))</f>
        <v/>
      </c>
      <c r="J14" s="8"/>
    </row>
    <row r="15" customFormat="false" ht="15" hidden="false" customHeight="false" outlineLevel="0" collapsed="false">
      <c r="A15" s="8"/>
      <c r="B15" s="8"/>
      <c r="C15" s="8"/>
      <c r="D15" s="8"/>
      <c r="E15" s="10" t="str">
        <f aca="false">IF(A15="","",COUNTIFS(DonHang!$C$2:$C$500,A15))</f>
        <v/>
      </c>
      <c r="F15" s="11" t="str">
        <f aca="false">IF(A15="","",SUMIFS(DonHang!$N$2:$N$500,DonHang!$C$2:$C$500,A15))</f>
        <v/>
      </c>
      <c r="G15" s="11" t="str">
        <f aca="false">IF(A15="","",SUMIFS(DonHang!$O$2:$O$500,DonHang!$C$2:$C$500,A15))</f>
        <v/>
      </c>
      <c r="H15" s="11" t="str">
        <f aca="false">IF(A15="","",F15-G15)</f>
        <v/>
      </c>
      <c r="I15" s="11" t="str">
        <f aca="false">IF(A15="","",SUMIFS(DonHang!$P$2:$P$500,DonHang!$C$2:$C$500,A15,DonHang!$R$2:$R$500,"&gt;0"))</f>
        <v/>
      </c>
      <c r="J15" s="8"/>
    </row>
    <row r="16" customFormat="false" ht="15" hidden="false" customHeight="false" outlineLevel="0" collapsed="false">
      <c r="A16" s="8"/>
      <c r="B16" s="8"/>
      <c r="C16" s="8"/>
      <c r="D16" s="8"/>
      <c r="E16" s="10" t="str">
        <f aca="false">IF(A16="","",COUNTIFS(DonHang!$C$2:$C$500,A16))</f>
        <v/>
      </c>
      <c r="F16" s="11" t="str">
        <f aca="false">IF(A16="","",SUMIFS(DonHang!$N$2:$N$500,DonHang!$C$2:$C$500,A16))</f>
        <v/>
      </c>
      <c r="G16" s="11" t="str">
        <f aca="false">IF(A16="","",SUMIFS(DonHang!$O$2:$O$500,DonHang!$C$2:$C$500,A16))</f>
        <v/>
      </c>
      <c r="H16" s="11" t="str">
        <f aca="false">IF(A16="","",F16-G16)</f>
        <v/>
      </c>
      <c r="I16" s="11" t="str">
        <f aca="false">IF(A16="","",SUMIFS(DonHang!$P$2:$P$500,DonHang!$C$2:$C$500,A16,DonHang!$R$2:$R$500,"&gt;0"))</f>
        <v/>
      </c>
      <c r="J16" s="8"/>
    </row>
    <row r="17" customFormat="false" ht="15" hidden="false" customHeight="false" outlineLevel="0" collapsed="false">
      <c r="A17" s="8"/>
      <c r="B17" s="8"/>
      <c r="C17" s="8"/>
      <c r="D17" s="8"/>
      <c r="E17" s="10" t="str">
        <f aca="false">IF(A17="","",COUNTIFS(DonHang!$C$2:$C$500,A17))</f>
        <v/>
      </c>
      <c r="F17" s="11" t="str">
        <f aca="false">IF(A17="","",SUMIFS(DonHang!$N$2:$N$500,DonHang!$C$2:$C$500,A17))</f>
        <v/>
      </c>
      <c r="G17" s="11" t="str">
        <f aca="false">IF(A17="","",SUMIFS(DonHang!$O$2:$O$500,DonHang!$C$2:$C$500,A17))</f>
        <v/>
      </c>
      <c r="H17" s="11" t="str">
        <f aca="false">IF(A17="","",F17-G17)</f>
        <v/>
      </c>
      <c r="I17" s="11" t="str">
        <f aca="false">IF(A17="","",SUMIFS(DonHang!$P$2:$P$500,DonHang!$C$2:$C$500,A17,DonHang!$R$2:$R$500,"&gt;0"))</f>
        <v/>
      </c>
      <c r="J17" s="8"/>
    </row>
    <row r="18" customFormat="false" ht="15" hidden="false" customHeight="false" outlineLevel="0" collapsed="false">
      <c r="A18" s="8"/>
      <c r="B18" s="8"/>
      <c r="C18" s="8"/>
      <c r="D18" s="8"/>
      <c r="E18" s="10" t="str">
        <f aca="false">IF(A18="","",COUNTIFS(DonHang!$C$2:$C$500,A18))</f>
        <v/>
      </c>
      <c r="F18" s="11" t="str">
        <f aca="false">IF(A18="","",SUMIFS(DonHang!$N$2:$N$500,DonHang!$C$2:$C$500,A18))</f>
        <v/>
      </c>
      <c r="G18" s="11" t="str">
        <f aca="false">IF(A18="","",SUMIFS(DonHang!$O$2:$O$500,DonHang!$C$2:$C$500,A18))</f>
        <v/>
      </c>
      <c r="H18" s="11" t="str">
        <f aca="false">IF(A18="","",F18-G18)</f>
        <v/>
      </c>
      <c r="I18" s="11" t="str">
        <f aca="false">IF(A18="","",SUMIFS(DonHang!$P$2:$P$500,DonHang!$C$2:$C$500,A18,DonHang!$R$2:$R$500,"&gt;0"))</f>
        <v/>
      </c>
      <c r="J18" s="8"/>
    </row>
    <row r="19" customFormat="false" ht="15" hidden="false" customHeight="false" outlineLevel="0" collapsed="false">
      <c r="A19" s="8"/>
      <c r="B19" s="8"/>
      <c r="C19" s="8"/>
      <c r="D19" s="8"/>
      <c r="E19" s="10" t="str">
        <f aca="false">IF(A19="","",COUNTIFS(DonHang!$C$2:$C$500,A19))</f>
        <v/>
      </c>
      <c r="F19" s="11" t="str">
        <f aca="false">IF(A19="","",SUMIFS(DonHang!$N$2:$N$500,DonHang!$C$2:$C$500,A19))</f>
        <v/>
      </c>
      <c r="G19" s="11" t="str">
        <f aca="false">IF(A19="","",SUMIFS(DonHang!$O$2:$O$500,DonHang!$C$2:$C$500,A19))</f>
        <v/>
      </c>
      <c r="H19" s="11" t="str">
        <f aca="false">IF(A19="","",F19-G19)</f>
        <v/>
      </c>
      <c r="I19" s="11" t="str">
        <f aca="false">IF(A19="","",SUMIFS(DonHang!$P$2:$P$500,DonHang!$C$2:$C$500,A19,DonHang!$R$2:$R$500,"&gt;0"))</f>
        <v/>
      </c>
      <c r="J19" s="8"/>
    </row>
    <row r="20" customFormat="false" ht="15" hidden="false" customHeight="false" outlineLevel="0" collapsed="false">
      <c r="A20" s="8"/>
      <c r="B20" s="8"/>
      <c r="C20" s="8"/>
      <c r="D20" s="8"/>
      <c r="E20" s="10" t="str">
        <f aca="false">IF(A20="","",COUNTIFS(DonHang!$C$2:$C$500,A20))</f>
        <v/>
      </c>
      <c r="F20" s="11" t="str">
        <f aca="false">IF(A20="","",SUMIFS(DonHang!$N$2:$N$500,DonHang!$C$2:$C$500,A20))</f>
        <v/>
      </c>
      <c r="G20" s="11" t="str">
        <f aca="false">IF(A20="","",SUMIFS(DonHang!$O$2:$O$500,DonHang!$C$2:$C$500,A20))</f>
        <v/>
      </c>
      <c r="H20" s="11" t="str">
        <f aca="false">IF(A20="","",F20-G20)</f>
        <v/>
      </c>
      <c r="I20" s="11" t="str">
        <f aca="false">IF(A20="","",SUMIFS(DonHang!$P$2:$P$500,DonHang!$C$2:$C$500,A20,DonHang!$R$2:$R$500,"&gt;0"))</f>
        <v/>
      </c>
      <c r="J20" s="8"/>
    </row>
    <row r="21" customFormat="false" ht="15" hidden="false" customHeight="false" outlineLevel="0" collapsed="false">
      <c r="A21" s="8"/>
      <c r="B21" s="8"/>
      <c r="C21" s="8"/>
      <c r="D21" s="8"/>
      <c r="E21" s="10" t="str">
        <f aca="false">IF(A21="","",COUNTIFS(DonHang!$C$2:$C$500,A21))</f>
        <v/>
      </c>
      <c r="F21" s="11" t="str">
        <f aca="false">IF(A21="","",SUMIFS(DonHang!$N$2:$N$500,DonHang!$C$2:$C$500,A21))</f>
        <v/>
      </c>
      <c r="G21" s="11" t="str">
        <f aca="false">IF(A21="","",SUMIFS(DonHang!$O$2:$O$500,DonHang!$C$2:$C$500,A21))</f>
        <v/>
      </c>
      <c r="H21" s="11" t="str">
        <f aca="false">IF(A21="","",F21-G21)</f>
        <v/>
      </c>
      <c r="I21" s="11" t="str">
        <f aca="false">IF(A21="","",SUMIFS(DonHang!$P$2:$P$500,DonHang!$C$2:$C$500,A21,DonHang!$R$2:$R$500,"&gt;0"))</f>
        <v/>
      </c>
      <c r="J21" s="8"/>
    </row>
    <row r="22" customFormat="false" ht="15" hidden="false" customHeight="false" outlineLevel="0" collapsed="false">
      <c r="A22" s="8"/>
      <c r="B22" s="8"/>
      <c r="C22" s="8"/>
      <c r="D22" s="8"/>
      <c r="E22" s="10" t="str">
        <f aca="false">IF(A22="","",COUNTIFS(DonHang!$C$2:$C$500,A22))</f>
        <v/>
      </c>
      <c r="F22" s="11" t="str">
        <f aca="false">IF(A22="","",SUMIFS(DonHang!$N$2:$N$500,DonHang!$C$2:$C$500,A22))</f>
        <v/>
      </c>
      <c r="G22" s="11" t="str">
        <f aca="false">IF(A22="","",SUMIFS(DonHang!$O$2:$O$500,DonHang!$C$2:$C$500,A22))</f>
        <v/>
      </c>
      <c r="H22" s="11" t="str">
        <f aca="false">IF(A22="","",F22-G22)</f>
        <v/>
      </c>
      <c r="I22" s="11" t="str">
        <f aca="false">IF(A22="","",SUMIFS(DonHang!$P$2:$P$500,DonHang!$C$2:$C$500,A22,DonHang!$R$2:$R$500,"&gt;0"))</f>
        <v/>
      </c>
      <c r="J22" s="8"/>
    </row>
    <row r="23" customFormat="false" ht="15" hidden="false" customHeight="false" outlineLevel="0" collapsed="false">
      <c r="A23" s="8"/>
      <c r="B23" s="8"/>
      <c r="C23" s="8"/>
      <c r="D23" s="8"/>
      <c r="E23" s="10" t="str">
        <f aca="false">IF(A23="","",COUNTIFS(DonHang!$C$2:$C$500,A23))</f>
        <v/>
      </c>
      <c r="F23" s="11" t="str">
        <f aca="false">IF(A23="","",SUMIFS(DonHang!$N$2:$N$500,DonHang!$C$2:$C$500,A23))</f>
        <v/>
      </c>
      <c r="G23" s="11" t="str">
        <f aca="false">IF(A23="","",SUMIFS(DonHang!$O$2:$O$500,DonHang!$C$2:$C$500,A23))</f>
        <v/>
      </c>
      <c r="H23" s="11" t="str">
        <f aca="false">IF(A23="","",F23-G23)</f>
        <v/>
      </c>
      <c r="I23" s="11" t="str">
        <f aca="false">IF(A23="","",SUMIFS(DonHang!$P$2:$P$500,DonHang!$C$2:$C$500,A23,DonHang!$R$2:$R$500,"&gt;0"))</f>
        <v/>
      </c>
      <c r="J23" s="8"/>
    </row>
    <row r="24" customFormat="false" ht="15" hidden="false" customHeight="false" outlineLevel="0" collapsed="false">
      <c r="A24" s="8"/>
      <c r="B24" s="8"/>
      <c r="C24" s="8"/>
      <c r="D24" s="8"/>
      <c r="E24" s="10" t="str">
        <f aca="false">IF(A24="","",COUNTIFS(DonHang!$C$2:$C$500,A24))</f>
        <v/>
      </c>
      <c r="F24" s="11" t="str">
        <f aca="false">IF(A24="","",SUMIFS(DonHang!$N$2:$N$500,DonHang!$C$2:$C$500,A24))</f>
        <v/>
      </c>
      <c r="G24" s="11" t="str">
        <f aca="false">IF(A24="","",SUMIFS(DonHang!$O$2:$O$500,DonHang!$C$2:$C$500,A24))</f>
        <v/>
      </c>
      <c r="H24" s="11" t="str">
        <f aca="false">IF(A24="","",F24-G24)</f>
        <v/>
      </c>
      <c r="I24" s="11" t="str">
        <f aca="false">IF(A24="","",SUMIFS(DonHang!$P$2:$P$500,DonHang!$C$2:$C$500,A24,DonHang!$R$2:$R$500,"&gt;0"))</f>
        <v/>
      </c>
      <c r="J24" s="8"/>
    </row>
    <row r="25" customFormat="false" ht="15" hidden="false" customHeight="false" outlineLevel="0" collapsed="false">
      <c r="A25" s="8"/>
      <c r="B25" s="8"/>
      <c r="C25" s="8"/>
      <c r="D25" s="8"/>
      <c r="E25" s="10" t="str">
        <f aca="false">IF(A25="","",COUNTIFS(DonHang!$C$2:$C$500,A25))</f>
        <v/>
      </c>
      <c r="F25" s="11" t="str">
        <f aca="false">IF(A25="","",SUMIFS(DonHang!$N$2:$N$500,DonHang!$C$2:$C$500,A25))</f>
        <v/>
      </c>
      <c r="G25" s="11" t="str">
        <f aca="false">IF(A25="","",SUMIFS(DonHang!$O$2:$O$500,DonHang!$C$2:$C$500,A25))</f>
        <v/>
      </c>
      <c r="H25" s="11" t="str">
        <f aca="false">IF(A25="","",F25-G25)</f>
        <v/>
      </c>
      <c r="I25" s="11" t="str">
        <f aca="false">IF(A25="","",SUMIFS(DonHang!$P$2:$P$500,DonHang!$C$2:$C$500,A25,DonHang!$R$2:$R$500,"&gt;0"))</f>
        <v/>
      </c>
      <c r="J25" s="8"/>
    </row>
    <row r="26" customFormat="false" ht="15" hidden="false" customHeight="false" outlineLevel="0" collapsed="false">
      <c r="A26" s="8"/>
      <c r="B26" s="8"/>
      <c r="C26" s="8"/>
      <c r="D26" s="8"/>
      <c r="E26" s="10" t="str">
        <f aca="false">IF(A26="","",COUNTIFS(DonHang!$C$2:$C$500,A26))</f>
        <v/>
      </c>
      <c r="F26" s="11" t="str">
        <f aca="false">IF(A26="","",SUMIFS(DonHang!$N$2:$N$500,DonHang!$C$2:$C$500,A26))</f>
        <v/>
      </c>
      <c r="G26" s="11" t="str">
        <f aca="false">IF(A26="","",SUMIFS(DonHang!$O$2:$O$500,DonHang!$C$2:$C$500,A26))</f>
        <v/>
      </c>
      <c r="H26" s="11" t="str">
        <f aca="false">IF(A26="","",F26-G26)</f>
        <v/>
      </c>
      <c r="I26" s="11" t="str">
        <f aca="false">IF(A26="","",SUMIFS(DonHang!$P$2:$P$500,DonHang!$C$2:$C$500,A26,DonHang!$R$2:$R$500,"&gt;0"))</f>
        <v/>
      </c>
      <c r="J26" s="8"/>
    </row>
    <row r="27" customFormat="false" ht="15" hidden="false" customHeight="false" outlineLevel="0" collapsed="false">
      <c r="A27" s="8"/>
      <c r="B27" s="8"/>
      <c r="C27" s="8"/>
      <c r="D27" s="8"/>
      <c r="E27" s="10" t="str">
        <f aca="false">IF(A27="","",COUNTIFS(DonHang!$C$2:$C$500,A27))</f>
        <v/>
      </c>
      <c r="F27" s="11" t="str">
        <f aca="false">IF(A27="","",SUMIFS(DonHang!$N$2:$N$500,DonHang!$C$2:$C$500,A27))</f>
        <v/>
      </c>
      <c r="G27" s="11" t="str">
        <f aca="false">IF(A27="","",SUMIFS(DonHang!$O$2:$O$500,DonHang!$C$2:$C$500,A27))</f>
        <v/>
      </c>
      <c r="H27" s="11" t="str">
        <f aca="false">IF(A27="","",F27-G27)</f>
        <v/>
      </c>
      <c r="I27" s="11" t="str">
        <f aca="false">IF(A27="","",SUMIFS(DonHang!$P$2:$P$500,DonHang!$C$2:$C$500,A27,DonHang!$R$2:$R$500,"&gt;0"))</f>
        <v/>
      </c>
      <c r="J27" s="8"/>
    </row>
    <row r="28" customFormat="false" ht="15" hidden="false" customHeight="false" outlineLevel="0" collapsed="false">
      <c r="A28" s="8"/>
      <c r="B28" s="8"/>
      <c r="C28" s="8"/>
      <c r="D28" s="8"/>
      <c r="E28" s="10" t="str">
        <f aca="false">IF(A28="","",COUNTIFS(DonHang!$C$2:$C$500,A28))</f>
        <v/>
      </c>
      <c r="F28" s="11" t="str">
        <f aca="false">IF(A28="","",SUMIFS(DonHang!$N$2:$N$500,DonHang!$C$2:$C$500,A28))</f>
        <v/>
      </c>
      <c r="G28" s="11" t="str">
        <f aca="false">IF(A28="","",SUMIFS(DonHang!$O$2:$O$500,DonHang!$C$2:$C$500,A28))</f>
        <v/>
      </c>
      <c r="H28" s="11" t="str">
        <f aca="false">IF(A28="","",F28-G28)</f>
        <v/>
      </c>
      <c r="I28" s="11" t="str">
        <f aca="false">IF(A28="","",SUMIFS(DonHang!$P$2:$P$500,DonHang!$C$2:$C$500,A28,DonHang!$R$2:$R$500,"&gt;0"))</f>
        <v/>
      </c>
      <c r="J28" s="8"/>
    </row>
    <row r="29" customFormat="false" ht="15" hidden="false" customHeight="false" outlineLevel="0" collapsed="false">
      <c r="A29" s="8"/>
      <c r="B29" s="8"/>
      <c r="C29" s="8"/>
      <c r="D29" s="8"/>
      <c r="E29" s="10" t="str">
        <f aca="false">IF(A29="","",COUNTIFS(DonHang!$C$2:$C$500,A29))</f>
        <v/>
      </c>
      <c r="F29" s="11" t="str">
        <f aca="false">IF(A29="","",SUMIFS(DonHang!$N$2:$N$500,DonHang!$C$2:$C$500,A29))</f>
        <v/>
      </c>
      <c r="G29" s="11" t="str">
        <f aca="false">IF(A29="","",SUMIFS(DonHang!$O$2:$O$500,DonHang!$C$2:$C$500,A29))</f>
        <v/>
      </c>
      <c r="H29" s="11" t="str">
        <f aca="false">IF(A29="","",F29-G29)</f>
        <v/>
      </c>
      <c r="I29" s="11" t="str">
        <f aca="false">IF(A29="","",SUMIFS(DonHang!$P$2:$P$500,DonHang!$C$2:$C$500,A29,DonHang!$R$2:$R$500,"&gt;0"))</f>
        <v/>
      </c>
      <c r="J29" s="8"/>
    </row>
    <row r="30" customFormat="false" ht="15" hidden="false" customHeight="false" outlineLevel="0" collapsed="false">
      <c r="A30" s="8"/>
      <c r="B30" s="8"/>
      <c r="C30" s="8"/>
      <c r="D30" s="8"/>
      <c r="E30" s="10" t="str">
        <f aca="false">IF(A30="","",COUNTIFS(DonHang!$C$2:$C$500,A30))</f>
        <v/>
      </c>
      <c r="F30" s="11" t="str">
        <f aca="false">IF(A30="","",SUMIFS(DonHang!$N$2:$N$500,DonHang!$C$2:$C$500,A30))</f>
        <v/>
      </c>
      <c r="G30" s="11" t="str">
        <f aca="false">IF(A30="","",SUMIFS(DonHang!$O$2:$O$500,DonHang!$C$2:$C$500,A30))</f>
        <v/>
      </c>
      <c r="H30" s="11" t="str">
        <f aca="false">IF(A30="","",F30-G30)</f>
        <v/>
      </c>
      <c r="I30" s="11" t="str">
        <f aca="false">IF(A30="","",SUMIFS(DonHang!$P$2:$P$500,DonHang!$C$2:$C$500,A30,DonHang!$R$2:$R$500,"&gt;0"))</f>
        <v/>
      </c>
      <c r="J30" s="8"/>
    </row>
    <row r="31" customFormat="false" ht="15" hidden="false" customHeight="false" outlineLevel="0" collapsed="false">
      <c r="A31" s="8"/>
      <c r="B31" s="8"/>
      <c r="C31" s="8"/>
      <c r="D31" s="8"/>
      <c r="E31" s="10" t="str">
        <f aca="false">IF(A31="","",COUNTIFS(DonHang!$C$2:$C$500,A31))</f>
        <v/>
      </c>
      <c r="F31" s="11" t="str">
        <f aca="false">IF(A31="","",SUMIFS(DonHang!$N$2:$N$500,DonHang!$C$2:$C$500,A31))</f>
        <v/>
      </c>
      <c r="G31" s="11" t="str">
        <f aca="false">IF(A31="","",SUMIFS(DonHang!$O$2:$O$500,DonHang!$C$2:$C$500,A31))</f>
        <v/>
      </c>
      <c r="H31" s="11" t="str">
        <f aca="false">IF(A31="","",F31-G31)</f>
        <v/>
      </c>
      <c r="I31" s="11" t="str">
        <f aca="false">IF(A31="","",SUMIFS(DonHang!$P$2:$P$500,DonHang!$C$2:$C$500,A31,DonHang!$R$2:$R$500,"&gt;0"))</f>
        <v/>
      </c>
      <c r="J31" s="8"/>
    </row>
    <row r="32" customFormat="false" ht="15" hidden="false" customHeight="false" outlineLevel="0" collapsed="false">
      <c r="A32" s="8"/>
      <c r="B32" s="8"/>
      <c r="C32" s="8"/>
      <c r="D32" s="8"/>
      <c r="E32" s="10" t="str">
        <f aca="false">IF(A32="","",COUNTIFS(DonHang!$C$2:$C$500,A32))</f>
        <v/>
      </c>
      <c r="F32" s="11" t="str">
        <f aca="false">IF(A32="","",SUMIFS(DonHang!$N$2:$N$500,DonHang!$C$2:$C$500,A32))</f>
        <v/>
      </c>
      <c r="G32" s="11" t="str">
        <f aca="false">IF(A32="","",SUMIFS(DonHang!$O$2:$O$500,DonHang!$C$2:$C$500,A32))</f>
        <v/>
      </c>
      <c r="H32" s="11" t="str">
        <f aca="false">IF(A32="","",F32-G32)</f>
        <v/>
      </c>
      <c r="I32" s="11" t="str">
        <f aca="false">IF(A32="","",SUMIFS(DonHang!$P$2:$P$500,DonHang!$C$2:$C$500,A32,DonHang!$R$2:$R$500,"&gt;0"))</f>
        <v/>
      </c>
      <c r="J32" s="8"/>
    </row>
    <row r="33" customFormat="false" ht="15" hidden="false" customHeight="false" outlineLevel="0" collapsed="false">
      <c r="A33" s="8"/>
      <c r="B33" s="8"/>
      <c r="C33" s="8"/>
      <c r="D33" s="8"/>
      <c r="E33" s="10" t="str">
        <f aca="false">IF(A33="","",COUNTIFS(DonHang!$C$2:$C$500,A33))</f>
        <v/>
      </c>
      <c r="F33" s="11" t="str">
        <f aca="false">IF(A33="","",SUMIFS(DonHang!$N$2:$N$500,DonHang!$C$2:$C$500,A33))</f>
        <v/>
      </c>
      <c r="G33" s="11" t="str">
        <f aca="false">IF(A33="","",SUMIFS(DonHang!$O$2:$O$500,DonHang!$C$2:$C$500,A33))</f>
        <v/>
      </c>
      <c r="H33" s="11" t="str">
        <f aca="false">IF(A33="","",F33-G33)</f>
        <v/>
      </c>
      <c r="I33" s="11" t="str">
        <f aca="false">IF(A33="","",SUMIFS(DonHang!$P$2:$P$500,DonHang!$C$2:$C$500,A33,DonHang!$R$2:$R$500,"&gt;0"))</f>
        <v/>
      </c>
      <c r="J33" s="8"/>
    </row>
    <row r="34" customFormat="false" ht="15" hidden="false" customHeight="false" outlineLevel="0" collapsed="false">
      <c r="A34" s="8"/>
      <c r="B34" s="8"/>
      <c r="C34" s="8"/>
      <c r="D34" s="8"/>
      <c r="E34" s="10" t="str">
        <f aca="false">IF(A34="","",COUNTIFS(DonHang!$C$2:$C$500,A34))</f>
        <v/>
      </c>
      <c r="F34" s="11" t="str">
        <f aca="false">IF(A34="","",SUMIFS(DonHang!$N$2:$N$500,DonHang!$C$2:$C$500,A34))</f>
        <v/>
      </c>
      <c r="G34" s="11" t="str">
        <f aca="false">IF(A34="","",SUMIFS(DonHang!$O$2:$O$500,DonHang!$C$2:$C$500,A34))</f>
        <v/>
      </c>
      <c r="H34" s="11" t="str">
        <f aca="false">IF(A34="","",F34-G34)</f>
        <v/>
      </c>
      <c r="I34" s="11" t="str">
        <f aca="false">IF(A34="","",SUMIFS(DonHang!$P$2:$P$500,DonHang!$C$2:$C$500,A34,DonHang!$R$2:$R$500,"&gt;0"))</f>
        <v/>
      </c>
      <c r="J34" s="8"/>
    </row>
    <row r="35" customFormat="false" ht="15" hidden="false" customHeight="false" outlineLevel="0" collapsed="false">
      <c r="A35" s="8"/>
      <c r="B35" s="8"/>
      <c r="C35" s="8"/>
      <c r="D35" s="8"/>
      <c r="E35" s="10" t="str">
        <f aca="false">IF(A35="","",COUNTIFS(DonHang!$C$2:$C$500,A35))</f>
        <v/>
      </c>
      <c r="F35" s="11" t="str">
        <f aca="false">IF(A35="","",SUMIFS(DonHang!$N$2:$N$500,DonHang!$C$2:$C$500,A35))</f>
        <v/>
      </c>
      <c r="G35" s="11" t="str">
        <f aca="false">IF(A35="","",SUMIFS(DonHang!$O$2:$O$500,DonHang!$C$2:$C$500,A35))</f>
        <v/>
      </c>
      <c r="H35" s="11" t="str">
        <f aca="false">IF(A35="","",F35-G35)</f>
        <v/>
      </c>
      <c r="I35" s="11" t="str">
        <f aca="false">IF(A35="","",SUMIFS(DonHang!$P$2:$P$500,DonHang!$C$2:$C$500,A35,DonHang!$R$2:$R$500,"&gt;0"))</f>
        <v/>
      </c>
      <c r="J35" s="8"/>
    </row>
    <row r="36" customFormat="false" ht="15" hidden="false" customHeight="false" outlineLevel="0" collapsed="false">
      <c r="A36" s="8"/>
      <c r="B36" s="8"/>
      <c r="C36" s="8"/>
      <c r="D36" s="8"/>
      <c r="E36" s="10" t="str">
        <f aca="false">IF(A36="","",COUNTIFS(DonHang!$C$2:$C$500,A36))</f>
        <v/>
      </c>
      <c r="F36" s="11" t="str">
        <f aca="false">IF(A36="","",SUMIFS(DonHang!$N$2:$N$500,DonHang!$C$2:$C$500,A36))</f>
        <v/>
      </c>
      <c r="G36" s="11" t="str">
        <f aca="false">IF(A36="","",SUMIFS(DonHang!$O$2:$O$500,DonHang!$C$2:$C$500,A36))</f>
        <v/>
      </c>
      <c r="H36" s="11" t="str">
        <f aca="false">IF(A36="","",F36-G36)</f>
        <v/>
      </c>
      <c r="I36" s="11" t="str">
        <f aca="false">IF(A36="","",SUMIFS(DonHang!$P$2:$P$500,DonHang!$C$2:$C$500,A36,DonHang!$R$2:$R$500,"&gt;0"))</f>
        <v/>
      </c>
      <c r="J36" s="8"/>
    </row>
    <row r="37" customFormat="false" ht="15" hidden="false" customHeight="false" outlineLevel="0" collapsed="false">
      <c r="A37" s="8"/>
      <c r="B37" s="8"/>
      <c r="C37" s="8"/>
      <c r="D37" s="8"/>
      <c r="E37" s="10" t="str">
        <f aca="false">IF(A37="","",COUNTIFS(DonHang!$C$2:$C$500,A37))</f>
        <v/>
      </c>
      <c r="F37" s="11" t="str">
        <f aca="false">IF(A37="","",SUMIFS(DonHang!$N$2:$N$500,DonHang!$C$2:$C$500,A37))</f>
        <v/>
      </c>
      <c r="G37" s="11" t="str">
        <f aca="false">IF(A37="","",SUMIFS(DonHang!$O$2:$O$500,DonHang!$C$2:$C$500,A37))</f>
        <v/>
      </c>
      <c r="H37" s="11" t="str">
        <f aca="false">IF(A37="","",F37-G37)</f>
        <v/>
      </c>
      <c r="I37" s="11" t="str">
        <f aca="false">IF(A37="","",SUMIFS(DonHang!$P$2:$P$500,DonHang!$C$2:$C$500,A37,DonHang!$R$2:$R$500,"&gt;0"))</f>
        <v/>
      </c>
      <c r="J37" s="8"/>
    </row>
    <row r="38" customFormat="false" ht="15" hidden="false" customHeight="false" outlineLevel="0" collapsed="false">
      <c r="A38" s="8"/>
      <c r="B38" s="8"/>
      <c r="C38" s="8"/>
      <c r="D38" s="8"/>
      <c r="E38" s="10" t="str">
        <f aca="false">IF(A38="","",COUNTIFS(DonHang!$C$2:$C$500,A38))</f>
        <v/>
      </c>
      <c r="F38" s="11" t="str">
        <f aca="false">IF(A38="","",SUMIFS(DonHang!$N$2:$N$500,DonHang!$C$2:$C$500,A38))</f>
        <v/>
      </c>
      <c r="G38" s="11" t="str">
        <f aca="false">IF(A38="","",SUMIFS(DonHang!$O$2:$O$500,DonHang!$C$2:$C$500,A38))</f>
        <v/>
      </c>
      <c r="H38" s="11" t="str">
        <f aca="false">IF(A38="","",F38-G38)</f>
        <v/>
      </c>
      <c r="I38" s="11" t="str">
        <f aca="false">IF(A38="","",SUMIFS(DonHang!$P$2:$P$500,DonHang!$C$2:$C$500,A38,DonHang!$R$2:$R$500,"&gt;0"))</f>
        <v/>
      </c>
      <c r="J38" s="8"/>
    </row>
    <row r="39" customFormat="false" ht="15" hidden="false" customHeight="false" outlineLevel="0" collapsed="false">
      <c r="A39" s="8"/>
      <c r="B39" s="8"/>
      <c r="C39" s="8"/>
      <c r="D39" s="8"/>
      <c r="E39" s="10" t="str">
        <f aca="false">IF(A39="","",COUNTIFS(DonHang!$C$2:$C$500,A39))</f>
        <v/>
      </c>
      <c r="F39" s="11" t="str">
        <f aca="false">IF(A39="","",SUMIFS(DonHang!$N$2:$N$500,DonHang!$C$2:$C$500,A39))</f>
        <v/>
      </c>
      <c r="G39" s="11" t="str">
        <f aca="false">IF(A39="","",SUMIFS(DonHang!$O$2:$O$500,DonHang!$C$2:$C$500,A39))</f>
        <v/>
      </c>
      <c r="H39" s="11" t="str">
        <f aca="false">IF(A39="","",F39-G39)</f>
        <v/>
      </c>
      <c r="I39" s="11" t="str">
        <f aca="false">IF(A39="","",SUMIFS(DonHang!$P$2:$P$500,DonHang!$C$2:$C$500,A39,DonHang!$R$2:$R$500,"&gt;0"))</f>
        <v/>
      </c>
      <c r="J39" s="8"/>
    </row>
    <row r="40" customFormat="false" ht="15" hidden="false" customHeight="false" outlineLevel="0" collapsed="false">
      <c r="A40" s="8"/>
      <c r="B40" s="8"/>
      <c r="C40" s="8"/>
      <c r="D40" s="8"/>
      <c r="E40" s="10" t="str">
        <f aca="false">IF(A40="","",COUNTIFS(DonHang!$C$2:$C$500,A40))</f>
        <v/>
      </c>
      <c r="F40" s="11" t="str">
        <f aca="false">IF(A40="","",SUMIFS(DonHang!$N$2:$N$500,DonHang!$C$2:$C$500,A40))</f>
        <v/>
      </c>
      <c r="G40" s="11" t="str">
        <f aca="false">IF(A40="","",SUMIFS(DonHang!$O$2:$O$500,DonHang!$C$2:$C$500,A40))</f>
        <v/>
      </c>
      <c r="H40" s="11" t="str">
        <f aca="false">IF(A40="","",F40-G40)</f>
        <v/>
      </c>
      <c r="I40" s="11" t="str">
        <f aca="false">IF(A40="","",SUMIFS(DonHang!$P$2:$P$500,DonHang!$C$2:$C$500,A40,DonHang!$R$2:$R$500,"&gt;0"))</f>
        <v/>
      </c>
      <c r="J40" s="8"/>
    </row>
    <row r="41" customFormat="false" ht="15" hidden="false" customHeight="false" outlineLevel="0" collapsed="false">
      <c r="A41" s="8"/>
      <c r="B41" s="8"/>
      <c r="C41" s="8"/>
      <c r="D41" s="8"/>
      <c r="E41" s="10" t="str">
        <f aca="false">IF(A41="","",COUNTIFS(DonHang!$C$2:$C$500,A41))</f>
        <v/>
      </c>
      <c r="F41" s="11" t="str">
        <f aca="false">IF(A41="","",SUMIFS(DonHang!$N$2:$N$500,DonHang!$C$2:$C$500,A41))</f>
        <v/>
      </c>
      <c r="G41" s="11" t="str">
        <f aca="false">IF(A41="","",SUMIFS(DonHang!$O$2:$O$500,DonHang!$C$2:$C$500,A41))</f>
        <v/>
      </c>
      <c r="H41" s="11" t="str">
        <f aca="false">IF(A41="","",F41-G41)</f>
        <v/>
      </c>
      <c r="I41" s="11" t="str">
        <f aca="false">IF(A41="","",SUMIFS(DonHang!$P$2:$P$500,DonHang!$C$2:$C$500,A41,DonHang!$R$2:$R$500,"&gt;0"))</f>
        <v/>
      </c>
      <c r="J41" s="8"/>
    </row>
    <row r="42" customFormat="false" ht="15" hidden="false" customHeight="false" outlineLevel="0" collapsed="false">
      <c r="A42" s="8"/>
      <c r="B42" s="8"/>
      <c r="C42" s="8"/>
      <c r="D42" s="8"/>
      <c r="E42" s="10" t="str">
        <f aca="false">IF(A42="","",COUNTIFS(DonHang!$C$2:$C$500,A42))</f>
        <v/>
      </c>
      <c r="F42" s="11" t="str">
        <f aca="false">IF(A42="","",SUMIFS(DonHang!$N$2:$N$500,DonHang!$C$2:$C$500,A42))</f>
        <v/>
      </c>
      <c r="G42" s="11" t="str">
        <f aca="false">IF(A42="","",SUMIFS(DonHang!$O$2:$O$500,DonHang!$C$2:$C$500,A42))</f>
        <v/>
      </c>
      <c r="H42" s="11" t="str">
        <f aca="false">IF(A42="","",F42-G42)</f>
        <v/>
      </c>
      <c r="I42" s="11" t="str">
        <f aca="false">IF(A42="","",SUMIFS(DonHang!$P$2:$P$500,DonHang!$C$2:$C$500,A42,DonHang!$R$2:$R$500,"&gt;0"))</f>
        <v/>
      </c>
      <c r="J42" s="8"/>
    </row>
    <row r="43" customFormat="false" ht="15" hidden="false" customHeight="false" outlineLevel="0" collapsed="false">
      <c r="A43" s="8"/>
      <c r="B43" s="8"/>
      <c r="C43" s="8"/>
      <c r="D43" s="8"/>
      <c r="E43" s="10" t="str">
        <f aca="false">IF(A43="","",COUNTIFS(DonHang!$C$2:$C$500,A43))</f>
        <v/>
      </c>
      <c r="F43" s="11" t="str">
        <f aca="false">IF(A43="","",SUMIFS(DonHang!$N$2:$N$500,DonHang!$C$2:$C$500,A43))</f>
        <v/>
      </c>
      <c r="G43" s="11" t="str">
        <f aca="false">IF(A43="","",SUMIFS(DonHang!$O$2:$O$500,DonHang!$C$2:$C$500,A43))</f>
        <v/>
      </c>
      <c r="H43" s="11" t="str">
        <f aca="false">IF(A43="","",F43-G43)</f>
        <v/>
      </c>
      <c r="I43" s="11" t="str">
        <f aca="false">IF(A43="","",SUMIFS(DonHang!$P$2:$P$500,DonHang!$C$2:$C$500,A43,DonHang!$R$2:$R$500,"&gt;0"))</f>
        <v/>
      </c>
      <c r="J43" s="8"/>
    </row>
    <row r="44" customFormat="false" ht="15" hidden="false" customHeight="false" outlineLevel="0" collapsed="false">
      <c r="A44" s="8"/>
      <c r="B44" s="8"/>
      <c r="C44" s="8"/>
      <c r="D44" s="8"/>
      <c r="E44" s="10" t="str">
        <f aca="false">IF(A44="","",COUNTIFS(DonHang!$C$2:$C$500,A44))</f>
        <v/>
      </c>
      <c r="F44" s="11" t="str">
        <f aca="false">IF(A44="","",SUMIFS(DonHang!$N$2:$N$500,DonHang!$C$2:$C$500,A44))</f>
        <v/>
      </c>
      <c r="G44" s="11" t="str">
        <f aca="false">IF(A44="","",SUMIFS(DonHang!$O$2:$O$500,DonHang!$C$2:$C$500,A44))</f>
        <v/>
      </c>
      <c r="H44" s="11" t="str">
        <f aca="false">IF(A44="","",F44-G44)</f>
        <v/>
      </c>
      <c r="I44" s="11" t="str">
        <f aca="false">IF(A44="","",SUMIFS(DonHang!$P$2:$P$500,DonHang!$C$2:$C$500,A44,DonHang!$R$2:$R$500,"&gt;0"))</f>
        <v/>
      </c>
      <c r="J44" s="8"/>
    </row>
    <row r="45" customFormat="false" ht="15" hidden="false" customHeight="false" outlineLevel="0" collapsed="false">
      <c r="A45" s="8"/>
      <c r="B45" s="8"/>
      <c r="C45" s="8"/>
      <c r="D45" s="8"/>
      <c r="E45" s="10" t="str">
        <f aca="false">IF(A45="","",COUNTIFS(DonHang!$C$2:$C$500,A45))</f>
        <v/>
      </c>
      <c r="F45" s="11" t="str">
        <f aca="false">IF(A45="","",SUMIFS(DonHang!$N$2:$N$500,DonHang!$C$2:$C$500,A45))</f>
        <v/>
      </c>
      <c r="G45" s="11" t="str">
        <f aca="false">IF(A45="","",SUMIFS(DonHang!$O$2:$O$500,DonHang!$C$2:$C$500,A45))</f>
        <v/>
      </c>
      <c r="H45" s="11" t="str">
        <f aca="false">IF(A45="","",F45-G45)</f>
        <v/>
      </c>
      <c r="I45" s="11" t="str">
        <f aca="false">IF(A45="","",SUMIFS(DonHang!$P$2:$P$500,DonHang!$C$2:$C$500,A45,DonHang!$R$2:$R$500,"&gt;0"))</f>
        <v/>
      </c>
      <c r="J45" s="8"/>
    </row>
    <row r="46" customFormat="false" ht="15" hidden="false" customHeight="false" outlineLevel="0" collapsed="false">
      <c r="A46" s="8"/>
      <c r="B46" s="8"/>
      <c r="C46" s="8"/>
      <c r="D46" s="8"/>
      <c r="E46" s="10" t="str">
        <f aca="false">IF(A46="","",COUNTIFS(DonHang!$C$2:$C$500,A46))</f>
        <v/>
      </c>
      <c r="F46" s="11" t="str">
        <f aca="false">IF(A46="","",SUMIFS(DonHang!$N$2:$N$500,DonHang!$C$2:$C$500,A46))</f>
        <v/>
      </c>
      <c r="G46" s="11" t="str">
        <f aca="false">IF(A46="","",SUMIFS(DonHang!$O$2:$O$500,DonHang!$C$2:$C$500,A46))</f>
        <v/>
      </c>
      <c r="H46" s="11" t="str">
        <f aca="false">IF(A46="","",F46-G46)</f>
        <v/>
      </c>
      <c r="I46" s="11" t="str">
        <f aca="false">IF(A46="","",SUMIFS(DonHang!$P$2:$P$500,DonHang!$C$2:$C$500,A46,DonHang!$R$2:$R$500,"&gt;0"))</f>
        <v/>
      </c>
      <c r="J46" s="8"/>
    </row>
    <row r="47" customFormat="false" ht="15" hidden="false" customHeight="false" outlineLevel="0" collapsed="false">
      <c r="A47" s="8"/>
      <c r="B47" s="8"/>
      <c r="C47" s="8"/>
      <c r="D47" s="8"/>
      <c r="E47" s="10" t="str">
        <f aca="false">IF(A47="","",COUNTIFS(DonHang!$C$2:$C$500,A47))</f>
        <v/>
      </c>
      <c r="F47" s="11" t="str">
        <f aca="false">IF(A47="","",SUMIFS(DonHang!$N$2:$N$500,DonHang!$C$2:$C$500,A47))</f>
        <v/>
      </c>
      <c r="G47" s="11" t="str">
        <f aca="false">IF(A47="","",SUMIFS(DonHang!$O$2:$O$500,DonHang!$C$2:$C$500,A47))</f>
        <v/>
      </c>
      <c r="H47" s="11" t="str">
        <f aca="false">IF(A47="","",F47-G47)</f>
        <v/>
      </c>
      <c r="I47" s="11" t="str">
        <f aca="false">IF(A47="","",SUMIFS(DonHang!$P$2:$P$500,DonHang!$C$2:$C$500,A47,DonHang!$R$2:$R$500,"&gt;0"))</f>
        <v/>
      </c>
      <c r="J47" s="8"/>
    </row>
    <row r="48" customFormat="false" ht="15" hidden="false" customHeight="false" outlineLevel="0" collapsed="false">
      <c r="A48" s="8"/>
      <c r="B48" s="8"/>
      <c r="C48" s="8"/>
      <c r="D48" s="8"/>
      <c r="E48" s="10" t="str">
        <f aca="false">IF(A48="","",COUNTIFS(DonHang!$C$2:$C$500,A48))</f>
        <v/>
      </c>
      <c r="F48" s="11" t="str">
        <f aca="false">IF(A48="","",SUMIFS(DonHang!$N$2:$N$500,DonHang!$C$2:$C$500,A48))</f>
        <v/>
      </c>
      <c r="G48" s="11" t="str">
        <f aca="false">IF(A48="","",SUMIFS(DonHang!$O$2:$O$500,DonHang!$C$2:$C$500,A48))</f>
        <v/>
      </c>
      <c r="H48" s="11" t="str">
        <f aca="false">IF(A48="","",F48-G48)</f>
        <v/>
      </c>
      <c r="I48" s="11" t="str">
        <f aca="false">IF(A48="","",SUMIFS(DonHang!$P$2:$P$500,DonHang!$C$2:$C$500,A48,DonHang!$R$2:$R$500,"&gt;0"))</f>
        <v/>
      </c>
      <c r="J48" s="8"/>
    </row>
    <row r="49" customFormat="false" ht="15" hidden="false" customHeight="false" outlineLevel="0" collapsed="false">
      <c r="A49" s="8"/>
      <c r="B49" s="8"/>
      <c r="C49" s="8"/>
      <c r="D49" s="8"/>
      <c r="E49" s="10" t="str">
        <f aca="false">IF(A49="","",COUNTIFS(DonHang!$C$2:$C$500,A49))</f>
        <v/>
      </c>
      <c r="F49" s="11" t="str">
        <f aca="false">IF(A49="","",SUMIFS(DonHang!$N$2:$N$500,DonHang!$C$2:$C$500,A49))</f>
        <v/>
      </c>
      <c r="G49" s="11" t="str">
        <f aca="false">IF(A49="","",SUMIFS(DonHang!$O$2:$O$500,DonHang!$C$2:$C$500,A49))</f>
        <v/>
      </c>
      <c r="H49" s="11" t="str">
        <f aca="false">IF(A49="","",F49-G49)</f>
        <v/>
      </c>
      <c r="I49" s="11" t="str">
        <f aca="false">IF(A49="","",SUMIFS(DonHang!$P$2:$P$500,DonHang!$C$2:$C$500,A49,DonHang!$R$2:$R$500,"&gt;0"))</f>
        <v/>
      </c>
      <c r="J49" s="8"/>
    </row>
    <row r="50" customFormat="false" ht="15" hidden="false" customHeight="false" outlineLevel="0" collapsed="false">
      <c r="A50" s="8"/>
      <c r="B50" s="8"/>
      <c r="C50" s="8"/>
      <c r="D50" s="8"/>
      <c r="E50" s="10" t="str">
        <f aca="false">IF(A50="","",COUNTIFS(DonHang!$C$2:$C$500,A50))</f>
        <v/>
      </c>
      <c r="F50" s="11" t="str">
        <f aca="false">IF(A50="","",SUMIFS(DonHang!$N$2:$N$500,DonHang!$C$2:$C$500,A50))</f>
        <v/>
      </c>
      <c r="G50" s="11" t="str">
        <f aca="false">IF(A50="","",SUMIFS(DonHang!$O$2:$O$500,DonHang!$C$2:$C$500,A50))</f>
        <v/>
      </c>
      <c r="H50" s="11" t="str">
        <f aca="false">IF(A50="","",F50-G50)</f>
        <v/>
      </c>
      <c r="I50" s="11" t="str">
        <f aca="false">IF(A50="","",SUMIFS(DonHang!$P$2:$P$500,DonHang!$C$2:$C$500,A50,DonHang!$R$2:$R$500,"&gt;0"))</f>
        <v/>
      </c>
      <c r="J50" s="8"/>
    </row>
    <row r="51" customFormat="false" ht="15" hidden="false" customHeight="false" outlineLevel="0" collapsed="false">
      <c r="A51" s="8"/>
      <c r="B51" s="8"/>
      <c r="C51" s="8"/>
      <c r="D51" s="8"/>
      <c r="E51" s="10" t="str">
        <f aca="false">IF(A51="","",COUNTIFS(DonHang!$C$2:$C$500,A51))</f>
        <v/>
      </c>
      <c r="F51" s="11" t="str">
        <f aca="false">IF(A51="","",SUMIFS(DonHang!$N$2:$N$500,DonHang!$C$2:$C$500,A51))</f>
        <v/>
      </c>
      <c r="G51" s="11" t="str">
        <f aca="false">IF(A51="","",SUMIFS(DonHang!$O$2:$O$500,DonHang!$C$2:$C$500,A51))</f>
        <v/>
      </c>
      <c r="H51" s="11" t="str">
        <f aca="false">IF(A51="","",F51-G51)</f>
        <v/>
      </c>
      <c r="I51" s="11" t="str">
        <f aca="false">IF(A51="","",SUMIFS(DonHang!$P$2:$P$500,DonHang!$C$2:$C$500,A51,DonHang!$R$2:$R$500,"&gt;0"))</f>
        <v/>
      </c>
      <c r="J51" s="8"/>
    </row>
    <row r="52" customFormat="false" ht="15" hidden="false" customHeight="false" outlineLevel="0" collapsed="false">
      <c r="A52" s="8"/>
      <c r="B52" s="8"/>
      <c r="C52" s="8"/>
      <c r="D52" s="8"/>
      <c r="E52" s="10" t="str">
        <f aca="false">IF(A52="","",COUNTIFS(DonHang!$C$2:$C$500,A52))</f>
        <v/>
      </c>
      <c r="F52" s="11" t="str">
        <f aca="false">IF(A52="","",SUMIFS(DonHang!$N$2:$N$500,DonHang!$C$2:$C$500,A52))</f>
        <v/>
      </c>
      <c r="G52" s="11" t="str">
        <f aca="false">IF(A52="","",SUMIFS(DonHang!$O$2:$O$500,DonHang!$C$2:$C$500,A52))</f>
        <v/>
      </c>
      <c r="H52" s="11" t="str">
        <f aca="false">IF(A52="","",F52-G52)</f>
        <v/>
      </c>
      <c r="I52" s="11" t="str">
        <f aca="false">IF(A52="","",SUMIFS(DonHang!$P$2:$P$500,DonHang!$C$2:$C$500,A52,DonHang!$R$2:$R$500,"&gt;0"))</f>
        <v/>
      </c>
      <c r="J52" s="8"/>
    </row>
    <row r="53" customFormat="false" ht="15" hidden="false" customHeight="false" outlineLevel="0" collapsed="false">
      <c r="A53" s="8"/>
      <c r="B53" s="8"/>
      <c r="C53" s="8"/>
      <c r="D53" s="8"/>
      <c r="E53" s="10" t="str">
        <f aca="false">IF(A53="","",COUNTIFS(DonHang!$C$2:$C$500,A53))</f>
        <v/>
      </c>
      <c r="F53" s="11" t="str">
        <f aca="false">IF(A53="","",SUMIFS(DonHang!$N$2:$N$500,DonHang!$C$2:$C$500,A53))</f>
        <v/>
      </c>
      <c r="G53" s="11" t="str">
        <f aca="false">IF(A53="","",SUMIFS(DonHang!$O$2:$O$500,DonHang!$C$2:$C$500,A53))</f>
        <v/>
      </c>
      <c r="H53" s="11" t="str">
        <f aca="false">IF(A53="","",F53-G53)</f>
        <v/>
      </c>
      <c r="I53" s="11" t="str">
        <f aca="false">IF(A53="","",SUMIFS(DonHang!$P$2:$P$500,DonHang!$C$2:$C$500,A53,DonHang!$R$2:$R$500,"&gt;0"))</f>
        <v/>
      </c>
      <c r="J53" s="8"/>
    </row>
    <row r="54" customFormat="false" ht="15" hidden="false" customHeight="false" outlineLevel="0" collapsed="false">
      <c r="A54" s="8"/>
      <c r="B54" s="8"/>
      <c r="C54" s="8"/>
      <c r="D54" s="8"/>
      <c r="E54" s="10" t="str">
        <f aca="false">IF(A54="","",COUNTIFS(DonHang!$C$2:$C$500,A54))</f>
        <v/>
      </c>
      <c r="F54" s="11" t="str">
        <f aca="false">IF(A54="","",SUMIFS(DonHang!$N$2:$N$500,DonHang!$C$2:$C$500,A54))</f>
        <v/>
      </c>
      <c r="G54" s="11" t="str">
        <f aca="false">IF(A54="","",SUMIFS(DonHang!$O$2:$O$500,DonHang!$C$2:$C$500,A54))</f>
        <v/>
      </c>
      <c r="H54" s="11" t="str">
        <f aca="false">IF(A54="","",F54-G54)</f>
        <v/>
      </c>
      <c r="I54" s="11" t="str">
        <f aca="false">IF(A54="","",SUMIFS(DonHang!$P$2:$P$500,DonHang!$C$2:$C$500,A54,DonHang!$R$2:$R$500,"&gt;0"))</f>
        <v/>
      </c>
      <c r="J54" s="8"/>
    </row>
    <row r="55" customFormat="false" ht="15" hidden="false" customHeight="false" outlineLevel="0" collapsed="false">
      <c r="A55" s="8"/>
      <c r="B55" s="8"/>
      <c r="C55" s="8"/>
      <c r="D55" s="8"/>
      <c r="E55" s="10" t="str">
        <f aca="false">IF(A55="","",COUNTIFS(DonHang!$C$2:$C$500,A55))</f>
        <v/>
      </c>
      <c r="F55" s="11" t="str">
        <f aca="false">IF(A55="","",SUMIFS(DonHang!$N$2:$N$500,DonHang!$C$2:$C$500,A55))</f>
        <v/>
      </c>
      <c r="G55" s="11" t="str">
        <f aca="false">IF(A55="","",SUMIFS(DonHang!$O$2:$O$500,DonHang!$C$2:$C$500,A55))</f>
        <v/>
      </c>
      <c r="H55" s="11" t="str">
        <f aca="false">IF(A55="","",F55-G55)</f>
        <v/>
      </c>
      <c r="I55" s="11" t="str">
        <f aca="false">IF(A55="","",SUMIFS(DonHang!$P$2:$P$500,DonHang!$C$2:$C$500,A55,DonHang!$R$2:$R$500,"&gt;0"))</f>
        <v/>
      </c>
      <c r="J55" s="8"/>
    </row>
    <row r="56" customFormat="false" ht="15" hidden="false" customHeight="false" outlineLevel="0" collapsed="false">
      <c r="A56" s="8"/>
      <c r="B56" s="8"/>
      <c r="C56" s="8"/>
      <c r="D56" s="8"/>
      <c r="E56" s="10" t="str">
        <f aca="false">IF(A56="","",COUNTIFS(DonHang!$C$2:$C$500,A56))</f>
        <v/>
      </c>
      <c r="F56" s="11" t="str">
        <f aca="false">IF(A56="","",SUMIFS(DonHang!$N$2:$N$500,DonHang!$C$2:$C$500,A56))</f>
        <v/>
      </c>
      <c r="G56" s="11" t="str">
        <f aca="false">IF(A56="","",SUMIFS(DonHang!$O$2:$O$500,DonHang!$C$2:$C$500,A56))</f>
        <v/>
      </c>
      <c r="H56" s="11" t="str">
        <f aca="false">IF(A56="","",F56-G56)</f>
        <v/>
      </c>
      <c r="I56" s="11" t="str">
        <f aca="false">IF(A56="","",SUMIFS(DonHang!$P$2:$P$500,DonHang!$C$2:$C$500,A56,DonHang!$R$2:$R$500,"&gt;0"))</f>
        <v/>
      </c>
      <c r="J56" s="8"/>
    </row>
    <row r="57" customFormat="false" ht="15" hidden="false" customHeight="false" outlineLevel="0" collapsed="false">
      <c r="A57" s="8"/>
      <c r="B57" s="8"/>
      <c r="C57" s="8"/>
      <c r="D57" s="8"/>
      <c r="E57" s="10" t="str">
        <f aca="false">IF(A57="","",COUNTIFS(DonHang!$C$2:$C$500,A57))</f>
        <v/>
      </c>
      <c r="F57" s="11" t="str">
        <f aca="false">IF(A57="","",SUMIFS(DonHang!$N$2:$N$500,DonHang!$C$2:$C$500,A57))</f>
        <v/>
      </c>
      <c r="G57" s="11" t="str">
        <f aca="false">IF(A57="","",SUMIFS(DonHang!$O$2:$O$500,DonHang!$C$2:$C$500,A57))</f>
        <v/>
      </c>
      <c r="H57" s="11" t="str">
        <f aca="false">IF(A57="","",F57-G57)</f>
        <v/>
      </c>
      <c r="I57" s="11" t="str">
        <f aca="false">IF(A57="","",SUMIFS(DonHang!$P$2:$P$500,DonHang!$C$2:$C$500,A57,DonHang!$R$2:$R$500,"&gt;0"))</f>
        <v/>
      </c>
      <c r="J57" s="8"/>
    </row>
    <row r="58" customFormat="false" ht="15" hidden="false" customHeight="false" outlineLevel="0" collapsed="false">
      <c r="A58" s="8"/>
      <c r="B58" s="8"/>
      <c r="C58" s="8"/>
      <c r="D58" s="8"/>
      <c r="E58" s="10" t="str">
        <f aca="false">IF(A58="","",COUNTIFS(DonHang!$C$2:$C$500,A58))</f>
        <v/>
      </c>
      <c r="F58" s="11" t="str">
        <f aca="false">IF(A58="","",SUMIFS(DonHang!$N$2:$N$500,DonHang!$C$2:$C$500,A58))</f>
        <v/>
      </c>
      <c r="G58" s="11" t="str">
        <f aca="false">IF(A58="","",SUMIFS(DonHang!$O$2:$O$500,DonHang!$C$2:$C$500,A58))</f>
        <v/>
      </c>
      <c r="H58" s="11" t="str">
        <f aca="false">IF(A58="","",F58-G58)</f>
        <v/>
      </c>
      <c r="I58" s="11" t="str">
        <f aca="false">IF(A58="","",SUMIFS(DonHang!$P$2:$P$500,DonHang!$C$2:$C$500,A58,DonHang!$R$2:$R$500,"&gt;0"))</f>
        <v/>
      </c>
      <c r="J58" s="8"/>
    </row>
    <row r="59" customFormat="false" ht="15" hidden="false" customHeight="false" outlineLevel="0" collapsed="false">
      <c r="A59" s="8"/>
      <c r="B59" s="8"/>
      <c r="C59" s="8"/>
      <c r="D59" s="8"/>
      <c r="E59" s="10" t="str">
        <f aca="false">IF(A59="","",COUNTIFS(DonHang!$C$2:$C$500,A59))</f>
        <v/>
      </c>
      <c r="F59" s="11" t="str">
        <f aca="false">IF(A59="","",SUMIFS(DonHang!$N$2:$N$500,DonHang!$C$2:$C$500,A59))</f>
        <v/>
      </c>
      <c r="G59" s="11" t="str">
        <f aca="false">IF(A59="","",SUMIFS(DonHang!$O$2:$O$500,DonHang!$C$2:$C$500,A59))</f>
        <v/>
      </c>
      <c r="H59" s="11" t="str">
        <f aca="false">IF(A59="","",F59-G59)</f>
        <v/>
      </c>
      <c r="I59" s="11" t="str">
        <f aca="false">IF(A59="","",SUMIFS(DonHang!$P$2:$P$500,DonHang!$C$2:$C$500,A59,DonHang!$R$2:$R$500,"&gt;0"))</f>
        <v/>
      </c>
      <c r="J59" s="8"/>
    </row>
    <row r="60" customFormat="false" ht="15" hidden="false" customHeight="false" outlineLevel="0" collapsed="false">
      <c r="A60" s="8"/>
      <c r="B60" s="8"/>
      <c r="C60" s="8"/>
      <c r="D60" s="8"/>
      <c r="E60" s="10" t="str">
        <f aca="false">IF(A60="","",COUNTIFS(DonHang!$C$2:$C$500,A60))</f>
        <v/>
      </c>
      <c r="F60" s="11" t="str">
        <f aca="false">IF(A60="","",SUMIFS(DonHang!$N$2:$N$500,DonHang!$C$2:$C$500,A60))</f>
        <v/>
      </c>
      <c r="G60" s="11" t="str">
        <f aca="false">IF(A60="","",SUMIFS(DonHang!$O$2:$O$500,DonHang!$C$2:$C$500,A60))</f>
        <v/>
      </c>
      <c r="H60" s="11" t="str">
        <f aca="false">IF(A60="","",F60-G60)</f>
        <v/>
      </c>
      <c r="I60" s="11" t="str">
        <f aca="false">IF(A60="","",SUMIFS(DonHang!$P$2:$P$500,DonHang!$C$2:$C$500,A60,DonHang!$R$2:$R$500,"&gt;0"))</f>
        <v/>
      </c>
      <c r="J60" s="8"/>
    </row>
    <row r="61" customFormat="false" ht="15" hidden="false" customHeight="false" outlineLevel="0" collapsed="false">
      <c r="A61" s="8"/>
      <c r="B61" s="8"/>
      <c r="C61" s="8"/>
      <c r="D61" s="8"/>
      <c r="E61" s="10" t="str">
        <f aca="false">IF(A61="","",COUNTIFS(DonHang!$C$2:$C$500,A61))</f>
        <v/>
      </c>
      <c r="F61" s="11" t="str">
        <f aca="false">IF(A61="","",SUMIFS(DonHang!$N$2:$N$500,DonHang!$C$2:$C$500,A61))</f>
        <v/>
      </c>
      <c r="G61" s="11" t="str">
        <f aca="false">IF(A61="","",SUMIFS(DonHang!$O$2:$O$500,DonHang!$C$2:$C$500,A61))</f>
        <v/>
      </c>
      <c r="H61" s="11" t="str">
        <f aca="false">IF(A61="","",F61-G61)</f>
        <v/>
      </c>
      <c r="I61" s="11" t="str">
        <f aca="false">IF(A61="","",SUMIFS(DonHang!$P$2:$P$500,DonHang!$C$2:$C$500,A61,DonHang!$R$2:$R$500,"&gt;0"))</f>
        <v/>
      </c>
      <c r="J61" s="8"/>
    </row>
    <row r="62" customFormat="false" ht="15" hidden="false" customHeight="false" outlineLevel="0" collapsed="false">
      <c r="A62" s="8"/>
      <c r="B62" s="8"/>
      <c r="C62" s="8"/>
      <c r="D62" s="8"/>
      <c r="E62" s="10" t="str">
        <f aca="false">IF(A62="","",COUNTIFS(DonHang!$C$2:$C$500,A62))</f>
        <v/>
      </c>
      <c r="F62" s="11" t="str">
        <f aca="false">IF(A62="","",SUMIFS(DonHang!$N$2:$N$500,DonHang!$C$2:$C$500,A62))</f>
        <v/>
      </c>
      <c r="G62" s="11" t="str">
        <f aca="false">IF(A62="","",SUMIFS(DonHang!$O$2:$O$500,DonHang!$C$2:$C$500,A62))</f>
        <v/>
      </c>
      <c r="H62" s="11" t="str">
        <f aca="false">IF(A62="","",F62-G62)</f>
        <v/>
      </c>
      <c r="I62" s="11" t="str">
        <f aca="false">IF(A62="","",SUMIFS(DonHang!$P$2:$P$500,DonHang!$C$2:$C$500,A62,DonHang!$R$2:$R$500,"&gt;0"))</f>
        <v/>
      </c>
      <c r="J62" s="8"/>
    </row>
    <row r="63" customFormat="false" ht="15" hidden="false" customHeight="false" outlineLevel="0" collapsed="false">
      <c r="A63" s="8"/>
      <c r="B63" s="8"/>
      <c r="C63" s="8"/>
      <c r="D63" s="8"/>
      <c r="E63" s="10" t="str">
        <f aca="false">IF(A63="","",COUNTIFS(DonHang!$C$2:$C$500,A63))</f>
        <v/>
      </c>
      <c r="F63" s="11" t="str">
        <f aca="false">IF(A63="","",SUMIFS(DonHang!$N$2:$N$500,DonHang!$C$2:$C$500,A63))</f>
        <v/>
      </c>
      <c r="G63" s="11" t="str">
        <f aca="false">IF(A63="","",SUMIFS(DonHang!$O$2:$O$500,DonHang!$C$2:$C$500,A63))</f>
        <v/>
      </c>
      <c r="H63" s="11" t="str">
        <f aca="false">IF(A63="","",F63-G63)</f>
        <v/>
      </c>
      <c r="I63" s="11" t="str">
        <f aca="false">IF(A63="","",SUMIFS(DonHang!$P$2:$P$500,DonHang!$C$2:$C$500,A63,DonHang!$R$2:$R$500,"&gt;0"))</f>
        <v/>
      </c>
      <c r="J63" s="8"/>
    </row>
    <row r="64" customFormat="false" ht="15" hidden="false" customHeight="false" outlineLevel="0" collapsed="false">
      <c r="A64" s="8"/>
      <c r="B64" s="8"/>
      <c r="C64" s="8"/>
      <c r="D64" s="8"/>
      <c r="E64" s="10" t="str">
        <f aca="false">IF(A64="","",COUNTIFS(DonHang!$C$2:$C$500,A64))</f>
        <v/>
      </c>
      <c r="F64" s="11" t="str">
        <f aca="false">IF(A64="","",SUMIFS(DonHang!$N$2:$N$500,DonHang!$C$2:$C$500,A64))</f>
        <v/>
      </c>
      <c r="G64" s="11" t="str">
        <f aca="false">IF(A64="","",SUMIFS(DonHang!$O$2:$O$500,DonHang!$C$2:$C$500,A64))</f>
        <v/>
      </c>
      <c r="H64" s="11" t="str">
        <f aca="false">IF(A64="","",F64-G64)</f>
        <v/>
      </c>
      <c r="I64" s="11" t="str">
        <f aca="false">IF(A64="","",SUMIFS(DonHang!$P$2:$P$500,DonHang!$C$2:$C$500,A64,DonHang!$R$2:$R$500,"&gt;0"))</f>
        <v/>
      </c>
      <c r="J64" s="8"/>
    </row>
    <row r="65" customFormat="false" ht="15" hidden="false" customHeight="false" outlineLevel="0" collapsed="false">
      <c r="A65" s="8"/>
      <c r="B65" s="8"/>
      <c r="C65" s="8"/>
      <c r="D65" s="8"/>
      <c r="E65" s="10" t="str">
        <f aca="false">IF(A65="","",COUNTIFS(DonHang!$C$2:$C$500,A65))</f>
        <v/>
      </c>
      <c r="F65" s="11" t="str">
        <f aca="false">IF(A65="","",SUMIFS(DonHang!$N$2:$N$500,DonHang!$C$2:$C$500,A65))</f>
        <v/>
      </c>
      <c r="G65" s="11" t="str">
        <f aca="false">IF(A65="","",SUMIFS(DonHang!$O$2:$O$500,DonHang!$C$2:$C$500,A65))</f>
        <v/>
      </c>
      <c r="H65" s="11" t="str">
        <f aca="false">IF(A65="","",F65-G65)</f>
        <v/>
      </c>
      <c r="I65" s="11" t="str">
        <f aca="false">IF(A65="","",SUMIFS(DonHang!$P$2:$P$500,DonHang!$C$2:$C$500,A65,DonHang!$R$2:$R$500,"&gt;0"))</f>
        <v/>
      </c>
      <c r="J65" s="8"/>
    </row>
    <row r="66" customFormat="false" ht="15" hidden="false" customHeight="false" outlineLevel="0" collapsed="false">
      <c r="A66" s="8"/>
      <c r="B66" s="8"/>
      <c r="C66" s="8"/>
      <c r="D66" s="8"/>
      <c r="E66" s="10" t="str">
        <f aca="false">IF(A66="","",COUNTIFS(DonHang!$C$2:$C$500,A66))</f>
        <v/>
      </c>
      <c r="F66" s="11" t="str">
        <f aca="false">IF(A66="","",SUMIFS(DonHang!$N$2:$N$500,DonHang!$C$2:$C$500,A66))</f>
        <v/>
      </c>
      <c r="G66" s="11" t="str">
        <f aca="false">IF(A66="","",SUMIFS(DonHang!$O$2:$O$500,DonHang!$C$2:$C$500,A66))</f>
        <v/>
      </c>
      <c r="H66" s="11" t="str">
        <f aca="false">IF(A66="","",F66-G66)</f>
        <v/>
      </c>
      <c r="I66" s="11" t="str">
        <f aca="false">IF(A66="","",SUMIFS(DonHang!$P$2:$P$500,DonHang!$C$2:$C$500,A66,DonHang!$R$2:$R$500,"&gt;0"))</f>
        <v/>
      </c>
      <c r="J66" s="8"/>
    </row>
    <row r="67" customFormat="false" ht="15" hidden="false" customHeight="false" outlineLevel="0" collapsed="false">
      <c r="A67" s="8"/>
      <c r="B67" s="8"/>
      <c r="C67" s="8"/>
      <c r="D67" s="8"/>
      <c r="E67" s="10" t="str">
        <f aca="false">IF(A67="","",COUNTIFS(DonHang!$C$2:$C$500,A67))</f>
        <v/>
      </c>
      <c r="F67" s="11" t="str">
        <f aca="false">IF(A67="","",SUMIFS(DonHang!$N$2:$N$500,DonHang!$C$2:$C$500,A67))</f>
        <v/>
      </c>
      <c r="G67" s="11" t="str">
        <f aca="false">IF(A67="","",SUMIFS(DonHang!$O$2:$O$500,DonHang!$C$2:$C$500,A67))</f>
        <v/>
      </c>
      <c r="H67" s="11" t="str">
        <f aca="false">IF(A67="","",F67-G67)</f>
        <v/>
      </c>
      <c r="I67" s="11" t="str">
        <f aca="false">IF(A67="","",SUMIFS(DonHang!$P$2:$P$500,DonHang!$C$2:$C$500,A67,DonHang!$R$2:$R$500,"&gt;0"))</f>
        <v/>
      </c>
      <c r="J67" s="8"/>
    </row>
    <row r="68" customFormat="false" ht="15" hidden="false" customHeight="false" outlineLevel="0" collapsed="false">
      <c r="A68" s="8"/>
      <c r="B68" s="8"/>
      <c r="C68" s="8"/>
      <c r="D68" s="8"/>
      <c r="E68" s="10" t="str">
        <f aca="false">IF(A68="","",COUNTIFS(DonHang!$C$2:$C$500,A68))</f>
        <v/>
      </c>
      <c r="F68" s="11" t="str">
        <f aca="false">IF(A68="","",SUMIFS(DonHang!$N$2:$N$500,DonHang!$C$2:$C$500,A68))</f>
        <v/>
      </c>
      <c r="G68" s="11" t="str">
        <f aca="false">IF(A68="","",SUMIFS(DonHang!$O$2:$O$500,DonHang!$C$2:$C$500,A68))</f>
        <v/>
      </c>
      <c r="H68" s="11" t="str">
        <f aca="false">IF(A68="","",F68-G68)</f>
        <v/>
      </c>
      <c r="I68" s="11" t="str">
        <f aca="false">IF(A68="","",SUMIFS(DonHang!$P$2:$P$500,DonHang!$C$2:$C$500,A68,DonHang!$R$2:$R$500,"&gt;0"))</f>
        <v/>
      </c>
      <c r="J68" s="8"/>
    </row>
    <row r="69" customFormat="false" ht="15" hidden="false" customHeight="false" outlineLevel="0" collapsed="false">
      <c r="A69" s="8"/>
      <c r="B69" s="8"/>
      <c r="C69" s="8"/>
      <c r="D69" s="8"/>
      <c r="E69" s="10" t="str">
        <f aca="false">IF(A69="","",COUNTIFS(DonHang!$C$2:$C$500,A69))</f>
        <v/>
      </c>
      <c r="F69" s="11" t="str">
        <f aca="false">IF(A69="","",SUMIFS(DonHang!$N$2:$N$500,DonHang!$C$2:$C$500,A69))</f>
        <v/>
      </c>
      <c r="G69" s="11" t="str">
        <f aca="false">IF(A69="","",SUMIFS(DonHang!$O$2:$O$500,DonHang!$C$2:$C$500,A69))</f>
        <v/>
      </c>
      <c r="H69" s="11" t="str">
        <f aca="false">IF(A69="","",F69-G69)</f>
        <v/>
      </c>
      <c r="I69" s="11" t="str">
        <f aca="false">IF(A69="","",SUMIFS(DonHang!$P$2:$P$500,DonHang!$C$2:$C$500,A69,DonHang!$R$2:$R$500,"&gt;0"))</f>
        <v/>
      </c>
      <c r="J69" s="8"/>
    </row>
    <row r="70" customFormat="false" ht="15" hidden="false" customHeight="false" outlineLevel="0" collapsed="false">
      <c r="A70" s="8"/>
      <c r="B70" s="8"/>
      <c r="C70" s="8"/>
      <c r="D70" s="8"/>
      <c r="E70" s="10" t="str">
        <f aca="false">IF(A70="","",COUNTIFS(DonHang!$C$2:$C$500,A70))</f>
        <v/>
      </c>
      <c r="F70" s="11" t="str">
        <f aca="false">IF(A70="","",SUMIFS(DonHang!$N$2:$N$500,DonHang!$C$2:$C$500,A70))</f>
        <v/>
      </c>
      <c r="G70" s="11" t="str">
        <f aca="false">IF(A70="","",SUMIFS(DonHang!$O$2:$O$500,DonHang!$C$2:$C$500,A70))</f>
        <v/>
      </c>
      <c r="H70" s="11" t="str">
        <f aca="false">IF(A70="","",F70-G70)</f>
        <v/>
      </c>
      <c r="I70" s="11" t="str">
        <f aca="false">IF(A70="","",SUMIFS(DonHang!$P$2:$P$500,DonHang!$C$2:$C$500,A70,DonHang!$R$2:$R$500,"&gt;0"))</f>
        <v/>
      </c>
      <c r="J70" s="8"/>
    </row>
    <row r="71" customFormat="false" ht="15" hidden="false" customHeight="false" outlineLevel="0" collapsed="false">
      <c r="A71" s="8"/>
      <c r="B71" s="8"/>
      <c r="C71" s="8"/>
      <c r="D71" s="8"/>
      <c r="E71" s="10" t="str">
        <f aca="false">IF(A71="","",COUNTIFS(DonHang!$C$2:$C$500,A71))</f>
        <v/>
      </c>
      <c r="F71" s="11" t="str">
        <f aca="false">IF(A71="","",SUMIFS(DonHang!$N$2:$N$500,DonHang!$C$2:$C$500,A71))</f>
        <v/>
      </c>
      <c r="G71" s="11" t="str">
        <f aca="false">IF(A71="","",SUMIFS(DonHang!$O$2:$O$500,DonHang!$C$2:$C$500,A71))</f>
        <v/>
      </c>
      <c r="H71" s="11" t="str">
        <f aca="false">IF(A71="","",F71-G71)</f>
        <v/>
      </c>
      <c r="I71" s="11" t="str">
        <f aca="false">IF(A71="","",SUMIFS(DonHang!$P$2:$P$500,DonHang!$C$2:$C$500,A71,DonHang!$R$2:$R$500,"&gt;0"))</f>
        <v/>
      </c>
      <c r="J71" s="8"/>
    </row>
    <row r="72" customFormat="false" ht="15" hidden="false" customHeight="false" outlineLevel="0" collapsed="false">
      <c r="A72" s="8"/>
      <c r="B72" s="8"/>
      <c r="C72" s="8"/>
      <c r="D72" s="8"/>
      <c r="E72" s="10" t="str">
        <f aca="false">IF(A72="","",COUNTIFS(DonHang!$C$2:$C$500,A72))</f>
        <v/>
      </c>
      <c r="F72" s="11" t="str">
        <f aca="false">IF(A72="","",SUMIFS(DonHang!$N$2:$N$500,DonHang!$C$2:$C$500,A72))</f>
        <v/>
      </c>
      <c r="G72" s="11" t="str">
        <f aca="false">IF(A72="","",SUMIFS(DonHang!$O$2:$O$500,DonHang!$C$2:$C$500,A72))</f>
        <v/>
      </c>
      <c r="H72" s="11" t="str">
        <f aca="false">IF(A72="","",F72-G72)</f>
        <v/>
      </c>
      <c r="I72" s="11" t="str">
        <f aca="false">IF(A72="","",SUMIFS(DonHang!$P$2:$P$500,DonHang!$C$2:$C$500,A72,DonHang!$R$2:$R$500,"&gt;0"))</f>
        <v/>
      </c>
      <c r="J72" s="8"/>
    </row>
    <row r="73" customFormat="false" ht="15" hidden="false" customHeight="false" outlineLevel="0" collapsed="false">
      <c r="A73" s="8"/>
      <c r="B73" s="8"/>
      <c r="C73" s="8"/>
      <c r="D73" s="8"/>
      <c r="E73" s="10" t="str">
        <f aca="false">IF(A73="","",COUNTIFS(DonHang!$C$2:$C$500,A73))</f>
        <v/>
      </c>
      <c r="F73" s="11" t="str">
        <f aca="false">IF(A73="","",SUMIFS(DonHang!$N$2:$N$500,DonHang!$C$2:$C$500,A73))</f>
        <v/>
      </c>
      <c r="G73" s="11" t="str">
        <f aca="false">IF(A73="","",SUMIFS(DonHang!$O$2:$O$500,DonHang!$C$2:$C$500,A73))</f>
        <v/>
      </c>
      <c r="H73" s="11" t="str">
        <f aca="false">IF(A73="","",F73-G73)</f>
        <v/>
      </c>
      <c r="I73" s="11" t="str">
        <f aca="false">IF(A73="","",SUMIFS(DonHang!$P$2:$P$500,DonHang!$C$2:$C$500,A73,DonHang!$R$2:$R$500,"&gt;0"))</f>
        <v/>
      </c>
      <c r="J73" s="8"/>
    </row>
    <row r="74" customFormat="false" ht="15" hidden="false" customHeight="false" outlineLevel="0" collapsed="false">
      <c r="A74" s="8"/>
      <c r="B74" s="8"/>
      <c r="C74" s="8"/>
      <c r="D74" s="8"/>
      <c r="E74" s="10" t="str">
        <f aca="false">IF(A74="","",COUNTIFS(DonHang!$C$2:$C$500,A74))</f>
        <v/>
      </c>
      <c r="F74" s="11" t="str">
        <f aca="false">IF(A74="","",SUMIFS(DonHang!$N$2:$N$500,DonHang!$C$2:$C$500,A74))</f>
        <v/>
      </c>
      <c r="G74" s="11" t="str">
        <f aca="false">IF(A74="","",SUMIFS(DonHang!$O$2:$O$500,DonHang!$C$2:$C$500,A74))</f>
        <v/>
      </c>
      <c r="H74" s="11" t="str">
        <f aca="false">IF(A74="","",F74-G74)</f>
        <v/>
      </c>
      <c r="I74" s="11" t="str">
        <f aca="false">IF(A74="","",SUMIFS(DonHang!$P$2:$P$500,DonHang!$C$2:$C$500,A74,DonHang!$R$2:$R$500,"&gt;0"))</f>
        <v/>
      </c>
      <c r="J74" s="8"/>
    </row>
    <row r="75" customFormat="false" ht="15" hidden="false" customHeight="false" outlineLevel="0" collapsed="false">
      <c r="A75" s="8"/>
      <c r="B75" s="8"/>
      <c r="C75" s="8"/>
      <c r="D75" s="8"/>
      <c r="E75" s="10" t="str">
        <f aca="false">IF(A75="","",COUNTIFS(DonHang!$C$2:$C$500,A75))</f>
        <v/>
      </c>
      <c r="F75" s="11" t="str">
        <f aca="false">IF(A75="","",SUMIFS(DonHang!$N$2:$N$500,DonHang!$C$2:$C$500,A75))</f>
        <v/>
      </c>
      <c r="G75" s="11" t="str">
        <f aca="false">IF(A75="","",SUMIFS(DonHang!$O$2:$O$500,DonHang!$C$2:$C$500,A75))</f>
        <v/>
      </c>
      <c r="H75" s="11" t="str">
        <f aca="false">IF(A75="","",F75-G75)</f>
        <v/>
      </c>
      <c r="I75" s="11" t="str">
        <f aca="false">IF(A75="","",SUMIFS(DonHang!$P$2:$P$500,DonHang!$C$2:$C$500,A75,DonHang!$R$2:$R$500,"&gt;0"))</f>
        <v/>
      </c>
      <c r="J75" s="8"/>
    </row>
    <row r="76" customFormat="false" ht="15" hidden="false" customHeight="false" outlineLevel="0" collapsed="false">
      <c r="A76" s="8"/>
      <c r="B76" s="8"/>
      <c r="C76" s="8"/>
      <c r="D76" s="8"/>
      <c r="E76" s="10" t="str">
        <f aca="false">IF(A76="","",COUNTIFS(DonHang!$C$2:$C$500,A76))</f>
        <v/>
      </c>
      <c r="F76" s="11" t="str">
        <f aca="false">IF(A76="","",SUMIFS(DonHang!$N$2:$N$500,DonHang!$C$2:$C$500,A76))</f>
        <v/>
      </c>
      <c r="G76" s="11" t="str">
        <f aca="false">IF(A76="","",SUMIFS(DonHang!$O$2:$O$500,DonHang!$C$2:$C$500,A76))</f>
        <v/>
      </c>
      <c r="H76" s="11" t="str">
        <f aca="false">IF(A76="","",F76-G76)</f>
        <v/>
      </c>
      <c r="I76" s="11" t="str">
        <f aca="false">IF(A76="","",SUMIFS(DonHang!$P$2:$P$500,DonHang!$C$2:$C$500,A76,DonHang!$R$2:$R$500,"&gt;0"))</f>
        <v/>
      </c>
      <c r="J76" s="8"/>
    </row>
    <row r="77" customFormat="false" ht="15" hidden="false" customHeight="false" outlineLevel="0" collapsed="false">
      <c r="A77" s="8"/>
      <c r="B77" s="8"/>
      <c r="C77" s="8"/>
      <c r="D77" s="8"/>
      <c r="E77" s="10" t="str">
        <f aca="false">IF(A77="","",COUNTIFS(DonHang!$C$2:$C$500,A77))</f>
        <v/>
      </c>
      <c r="F77" s="11" t="str">
        <f aca="false">IF(A77="","",SUMIFS(DonHang!$N$2:$N$500,DonHang!$C$2:$C$500,A77))</f>
        <v/>
      </c>
      <c r="G77" s="11" t="str">
        <f aca="false">IF(A77="","",SUMIFS(DonHang!$O$2:$O$500,DonHang!$C$2:$C$500,A77))</f>
        <v/>
      </c>
      <c r="H77" s="11" t="str">
        <f aca="false">IF(A77="","",F77-G77)</f>
        <v/>
      </c>
      <c r="I77" s="11" t="str">
        <f aca="false">IF(A77="","",SUMIFS(DonHang!$P$2:$P$500,DonHang!$C$2:$C$500,A77,DonHang!$R$2:$R$500,"&gt;0"))</f>
        <v/>
      </c>
      <c r="J77" s="8"/>
    </row>
    <row r="78" customFormat="false" ht="15" hidden="false" customHeight="false" outlineLevel="0" collapsed="false">
      <c r="A78" s="8"/>
      <c r="B78" s="8"/>
      <c r="C78" s="8"/>
      <c r="D78" s="8"/>
      <c r="E78" s="10" t="str">
        <f aca="false">IF(A78="","",COUNTIFS(DonHang!$C$2:$C$500,A78))</f>
        <v/>
      </c>
      <c r="F78" s="11" t="str">
        <f aca="false">IF(A78="","",SUMIFS(DonHang!$N$2:$N$500,DonHang!$C$2:$C$500,A78))</f>
        <v/>
      </c>
      <c r="G78" s="11" t="str">
        <f aca="false">IF(A78="","",SUMIFS(DonHang!$O$2:$O$500,DonHang!$C$2:$C$500,A78))</f>
        <v/>
      </c>
      <c r="H78" s="11" t="str">
        <f aca="false">IF(A78="","",F78-G78)</f>
        <v/>
      </c>
      <c r="I78" s="11" t="str">
        <f aca="false">IF(A78="","",SUMIFS(DonHang!$P$2:$P$500,DonHang!$C$2:$C$500,A78,DonHang!$R$2:$R$500,"&gt;0"))</f>
        <v/>
      </c>
      <c r="J78" s="8"/>
    </row>
    <row r="79" customFormat="false" ht="15" hidden="false" customHeight="false" outlineLevel="0" collapsed="false">
      <c r="A79" s="8"/>
      <c r="B79" s="8"/>
      <c r="C79" s="8"/>
      <c r="D79" s="8"/>
      <c r="E79" s="10" t="str">
        <f aca="false">IF(A79="","",COUNTIFS(DonHang!$C$2:$C$500,A79))</f>
        <v/>
      </c>
      <c r="F79" s="11" t="str">
        <f aca="false">IF(A79="","",SUMIFS(DonHang!$N$2:$N$500,DonHang!$C$2:$C$500,A79))</f>
        <v/>
      </c>
      <c r="G79" s="11" t="str">
        <f aca="false">IF(A79="","",SUMIFS(DonHang!$O$2:$O$500,DonHang!$C$2:$C$500,A79))</f>
        <v/>
      </c>
      <c r="H79" s="11" t="str">
        <f aca="false">IF(A79="","",F79-G79)</f>
        <v/>
      </c>
      <c r="I79" s="11" t="str">
        <f aca="false">IF(A79="","",SUMIFS(DonHang!$P$2:$P$500,DonHang!$C$2:$C$500,A79,DonHang!$R$2:$R$500,"&gt;0"))</f>
        <v/>
      </c>
      <c r="J79" s="8"/>
    </row>
    <row r="80" customFormat="false" ht="15" hidden="false" customHeight="false" outlineLevel="0" collapsed="false">
      <c r="A80" s="8"/>
      <c r="B80" s="8"/>
      <c r="C80" s="8"/>
      <c r="D80" s="8"/>
      <c r="E80" s="10" t="str">
        <f aca="false">IF(A80="","",COUNTIFS(DonHang!$C$2:$C$500,A80))</f>
        <v/>
      </c>
      <c r="F80" s="11" t="str">
        <f aca="false">IF(A80="","",SUMIFS(DonHang!$N$2:$N$500,DonHang!$C$2:$C$500,A80))</f>
        <v/>
      </c>
      <c r="G80" s="11" t="str">
        <f aca="false">IF(A80="","",SUMIFS(DonHang!$O$2:$O$500,DonHang!$C$2:$C$500,A80))</f>
        <v/>
      </c>
      <c r="H80" s="11" t="str">
        <f aca="false">IF(A80="","",F80-G80)</f>
        <v/>
      </c>
      <c r="I80" s="11" t="str">
        <f aca="false">IF(A80="","",SUMIFS(DonHang!$P$2:$P$500,DonHang!$C$2:$C$500,A80,DonHang!$R$2:$R$500,"&gt;0"))</f>
        <v/>
      </c>
      <c r="J80" s="8"/>
    </row>
    <row r="81" customFormat="false" ht="15" hidden="false" customHeight="false" outlineLevel="0" collapsed="false">
      <c r="A81" s="8"/>
      <c r="B81" s="8"/>
      <c r="C81" s="8"/>
      <c r="D81" s="8"/>
      <c r="E81" s="10" t="str">
        <f aca="false">IF(A81="","",COUNTIFS(DonHang!$C$2:$C$500,A81))</f>
        <v/>
      </c>
      <c r="F81" s="11" t="str">
        <f aca="false">IF(A81="","",SUMIFS(DonHang!$N$2:$N$500,DonHang!$C$2:$C$500,A81))</f>
        <v/>
      </c>
      <c r="G81" s="11" t="str">
        <f aca="false">IF(A81="","",SUMIFS(DonHang!$O$2:$O$500,DonHang!$C$2:$C$500,A81))</f>
        <v/>
      </c>
      <c r="H81" s="11" t="str">
        <f aca="false">IF(A81="","",F81-G81)</f>
        <v/>
      </c>
      <c r="I81" s="11" t="str">
        <f aca="false">IF(A81="","",SUMIFS(DonHang!$P$2:$P$500,DonHang!$C$2:$C$500,A81,DonHang!$R$2:$R$500,"&gt;0"))</f>
        <v/>
      </c>
      <c r="J81" s="8"/>
    </row>
    <row r="82" customFormat="false" ht="15" hidden="false" customHeight="false" outlineLevel="0" collapsed="false">
      <c r="A82" s="8"/>
      <c r="B82" s="8"/>
      <c r="C82" s="8"/>
      <c r="D82" s="8"/>
      <c r="E82" s="10" t="str">
        <f aca="false">IF(A82="","",COUNTIFS(DonHang!$C$2:$C$500,A82))</f>
        <v/>
      </c>
      <c r="F82" s="11" t="str">
        <f aca="false">IF(A82="","",SUMIFS(DonHang!$N$2:$N$500,DonHang!$C$2:$C$500,A82))</f>
        <v/>
      </c>
      <c r="G82" s="11" t="str">
        <f aca="false">IF(A82="","",SUMIFS(DonHang!$O$2:$O$500,DonHang!$C$2:$C$500,A82))</f>
        <v/>
      </c>
      <c r="H82" s="11" t="str">
        <f aca="false">IF(A82="","",F82-G82)</f>
        <v/>
      </c>
      <c r="I82" s="11" t="str">
        <f aca="false">IF(A82="","",SUMIFS(DonHang!$P$2:$P$500,DonHang!$C$2:$C$500,A82,DonHang!$R$2:$R$500,"&gt;0"))</f>
        <v/>
      </c>
      <c r="J82" s="8"/>
    </row>
    <row r="83" customFormat="false" ht="15" hidden="false" customHeight="false" outlineLevel="0" collapsed="false">
      <c r="A83" s="8"/>
      <c r="B83" s="8"/>
      <c r="C83" s="8"/>
      <c r="D83" s="8"/>
      <c r="E83" s="10" t="str">
        <f aca="false">IF(A83="","",COUNTIFS(DonHang!$C$2:$C$500,A83))</f>
        <v/>
      </c>
      <c r="F83" s="11" t="str">
        <f aca="false">IF(A83="","",SUMIFS(DonHang!$N$2:$N$500,DonHang!$C$2:$C$500,A83))</f>
        <v/>
      </c>
      <c r="G83" s="11" t="str">
        <f aca="false">IF(A83="","",SUMIFS(DonHang!$O$2:$O$500,DonHang!$C$2:$C$500,A83))</f>
        <v/>
      </c>
      <c r="H83" s="11" t="str">
        <f aca="false">IF(A83="","",F83-G83)</f>
        <v/>
      </c>
      <c r="I83" s="11" t="str">
        <f aca="false">IF(A83="","",SUMIFS(DonHang!$P$2:$P$500,DonHang!$C$2:$C$500,A83,DonHang!$R$2:$R$500,"&gt;0"))</f>
        <v/>
      </c>
      <c r="J83" s="8"/>
    </row>
    <row r="84" customFormat="false" ht="15" hidden="false" customHeight="false" outlineLevel="0" collapsed="false">
      <c r="A84" s="8"/>
      <c r="B84" s="8"/>
      <c r="C84" s="8"/>
      <c r="D84" s="8"/>
      <c r="E84" s="10" t="str">
        <f aca="false">IF(A84="","",COUNTIFS(DonHang!$C$2:$C$500,A84))</f>
        <v/>
      </c>
      <c r="F84" s="11" t="str">
        <f aca="false">IF(A84="","",SUMIFS(DonHang!$N$2:$N$500,DonHang!$C$2:$C$500,A84))</f>
        <v/>
      </c>
      <c r="G84" s="11" t="str">
        <f aca="false">IF(A84="","",SUMIFS(DonHang!$O$2:$O$500,DonHang!$C$2:$C$500,A84))</f>
        <v/>
      </c>
      <c r="H84" s="11" t="str">
        <f aca="false">IF(A84="","",F84-G84)</f>
        <v/>
      </c>
      <c r="I84" s="11" t="str">
        <f aca="false">IF(A84="","",SUMIFS(DonHang!$P$2:$P$500,DonHang!$C$2:$C$500,A84,DonHang!$R$2:$R$500,"&gt;0"))</f>
        <v/>
      </c>
      <c r="J84" s="8"/>
    </row>
    <row r="85" customFormat="false" ht="15" hidden="false" customHeight="false" outlineLevel="0" collapsed="false">
      <c r="A85" s="8"/>
      <c r="B85" s="8"/>
      <c r="C85" s="8"/>
      <c r="D85" s="8"/>
      <c r="E85" s="10" t="str">
        <f aca="false">IF(A85="","",COUNTIFS(DonHang!$C$2:$C$500,A85))</f>
        <v/>
      </c>
      <c r="F85" s="11" t="str">
        <f aca="false">IF(A85="","",SUMIFS(DonHang!$N$2:$N$500,DonHang!$C$2:$C$500,A85))</f>
        <v/>
      </c>
      <c r="G85" s="11" t="str">
        <f aca="false">IF(A85="","",SUMIFS(DonHang!$O$2:$O$500,DonHang!$C$2:$C$500,A85))</f>
        <v/>
      </c>
      <c r="H85" s="11" t="str">
        <f aca="false">IF(A85="","",F85-G85)</f>
        <v/>
      </c>
      <c r="I85" s="11" t="str">
        <f aca="false">IF(A85="","",SUMIFS(DonHang!$P$2:$P$500,DonHang!$C$2:$C$500,A85,DonHang!$R$2:$R$500,"&gt;0"))</f>
        <v/>
      </c>
      <c r="J85" s="8"/>
    </row>
    <row r="86" customFormat="false" ht="15" hidden="false" customHeight="false" outlineLevel="0" collapsed="false">
      <c r="A86" s="8"/>
      <c r="B86" s="8"/>
      <c r="C86" s="8"/>
      <c r="D86" s="8"/>
      <c r="E86" s="10" t="str">
        <f aca="false">IF(A86="","",COUNTIFS(DonHang!$C$2:$C$500,A86))</f>
        <v/>
      </c>
      <c r="F86" s="11" t="str">
        <f aca="false">IF(A86="","",SUMIFS(DonHang!$N$2:$N$500,DonHang!$C$2:$C$500,A86))</f>
        <v/>
      </c>
      <c r="G86" s="11" t="str">
        <f aca="false">IF(A86="","",SUMIFS(DonHang!$O$2:$O$500,DonHang!$C$2:$C$500,A86))</f>
        <v/>
      </c>
      <c r="H86" s="11" t="str">
        <f aca="false">IF(A86="","",F86-G86)</f>
        <v/>
      </c>
      <c r="I86" s="11" t="str">
        <f aca="false">IF(A86="","",SUMIFS(DonHang!$P$2:$P$500,DonHang!$C$2:$C$500,A86,DonHang!$R$2:$R$500,"&gt;0"))</f>
        <v/>
      </c>
      <c r="J86" s="8"/>
    </row>
    <row r="87" customFormat="false" ht="15" hidden="false" customHeight="false" outlineLevel="0" collapsed="false">
      <c r="A87" s="8"/>
      <c r="B87" s="8"/>
      <c r="C87" s="8"/>
      <c r="D87" s="8"/>
      <c r="E87" s="10" t="str">
        <f aca="false">IF(A87="","",COUNTIFS(DonHang!$C$2:$C$500,A87))</f>
        <v/>
      </c>
      <c r="F87" s="11" t="str">
        <f aca="false">IF(A87="","",SUMIFS(DonHang!$N$2:$N$500,DonHang!$C$2:$C$500,A87))</f>
        <v/>
      </c>
      <c r="G87" s="11" t="str">
        <f aca="false">IF(A87="","",SUMIFS(DonHang!$O$2:$O$500,DonHang!$C$2:$C$500,A87))</f>
        <v/>
      </c>
      <c r="H87" s="11" t="str">
        <f aca="false">IF(A87="","",F87-G87)</f>
        <v/>
      </c>
      <c r="I87" s="11" t="str">
        <f aca="false">IF(A87="","",SUMIFS(DonHang!$P$2:$P$500,DonHang!$C$2:$C$500,A87,DonHang!$R$2:$R$500,"&gt;0"))</f>
        <v/>
      </c>
      <c r="J87" s="8"/>
    </row>
    <row r="88" customFormat="false" ht="15" hidden="false" customHeight="false" outlineLevel="0" collapsed="false">
      <c r="A88" s="8"/>
      <c r="B88" s="8"/>
      <c r="C88" s="8"/>
      <c r="D88" s="8"/>
      <c r="E88" s="10" t="str">
        <f aca="false">IF(A88="","",COUNTIFS(DonHang!$C$2:$C$500,A88))</f>
        <v/>
      </c>
      <c r="F88" s="11" t="str">
        <f aca="false">IF(A88="","",SUMIFS(DonHang!$N$2:$N$500,DonHang!$C$2:$C$500,A88))</f>
        <v/>
      </c>
      <c r="G88" s="11" t="str">
        <f aca="false">IF(A88="","",SUMIFS(DonHang!$O$2:$O$500,DonHang!$C$2:$C$500,A88))</f>
        <v/>
      </c>
      <c r="H88" s="11" t="str">
        <f aca="false">IF(A88="","",F88-G88)</f>
        <v/>
      </c>
      <c r="I88" s="11" t="str">
        <f aca="false">IF(A88="","",SUMIFS(DonHang!$P$2:$P$500,DonHang!$C$2:$C$500,A88,DonHang!$R$2:$R$500,"&gt;0"))</f>
        <v/>
      </c>
      <c r="J88" s="8"/>
    </row>
    <row r="89" customFormat="false" ht="15" hidden="false" customHeight="false" outlineLevel="0" collapsed="false">
      <c r="A89" s="8"/>
      <c r="B89" s="8"/>
      <c r="C89" s="8"/>
      <c r="D89" s="8"/>
      <c r="E89" s="10" t="str">
        <f aca="false">IF(A89="","",COUNTIFS(DonHang!$C$2:$C$500,A89))</f>
        <v/>
      </c>
      <c r="F89" s="11" t="str">
        <f aca="false">IF(A89="","",SUMIFS(DonHang!$N$2:$N$500,DonHang!$C$2:$C$500,A89))</f>
        <v/>
      </c>
      <c r="G89" s="11" t="str">
        <f aca="false">IF(A89="","",SUMIFS(DonHang!$O$2:$O$500,DonHang!$C$2:$C$500,A89))</f>
        <v/>
      </c>
      <c r="H89" s="11" t="str">
        <f aca="false">IF(A89="","",F89-G89)</f>
        <v/>
      </c>
      <c r="I89" s="11" t="str">
        <f aca="false">IF(A89="","",SUMIFS(DonHang!$P$2:$P$500,DonHang!$C$2:$C$500,A89,DonHang!$R$2:$R$500,"&gt;0"))</f>
        <v/>
      </c>
      <c r="J89" s="8"/>
    </row>
    <row r="90" customFormat="false" ht="15" hidden="false" customHeight="false" outlineLevel="0" collapsed="false">
      <c r="A90" s="8"/>
      <c r="B90" s="8"/>
      <c r="C90" s="8"/>
      <c r="D90" s="8"/>
      <c r="E90" s="10" t="str">
        <f aca="false">IF(A90="","",COUNTIFS(DonHang!$C$2:$C$500,A90))</f>
        <v/>
      </c>
      <c r="F90" s="11" t="str">
        <f aca="false">IF(A90="","",SUMIFS(DonHang!$N$2:$N$500,DonHang!$C$2:$C$500,A90))</f>
        <v/>
      </c>
      <c r="G90" s="11" t="str">
        <f aca="false">IF(A90="","",SUMIFS(DonHang!$O$2:$O$500,DonHang!$C$2:$C$500,A90))</f>
        <v/>
      </c>
      <c r="H90" s="11" t="str">
        <f aca="false">IF(A90="","",F90-G90)</f>
        <v/>
      </c>
      <c r="I90" s="11" t="str">
        <f aca="false">IF(A90="","",SUMIFS(DonHang!$P$2:$P$500,DonHang!$C$2:$C$500,A90,DonHang!$R$2:$R$500,"&gt;0"))</f>
        <v/>
      </c>
      <c r="J90" s="8"/>
    </row>
    <row r="91" customFormat="false" ht="15" hidden="false" customHeight="false" outlineLevel="0" collapsed="false">
      <c r="A91" s="8"/>
      <c r="B91" s="8"/>
      <c r="C91" s="8"/>
      <c r="D91" s="8"/>
      <c r="E91" s="10" t="str">
        <f aca="false">IF(A91="","",COUNTIFS(DonHang!$C$2:$C$500,A91))</f>
        <v/>
      </c>
      <c r="F91" s="11" t="str">
        <f aca="false">IF(A91="","",SUMIFS(DonHang!$N$2:$N$500,DonHang!$C$2:$C$500,A91))</f>
        <v/>
      </c>
      <c r="G91" s="11" t="str">
        <f aca="false">IF(A91="","",SUMIFS(DonHang!$O$2:$O$500,DonHang!$C$2:$C$500,A91))</f>
        <v/>
      </c>
      <c r="H91" s="11" t="str">
        <f aca="false">IF(A91="","",F91-G91)</f>
        <v/>
      </c>
      <c r="I91" s="11" t="str">
        <f aca="false">IF(A91="","",SUMIFS(DonHang!$P$2:$P$500,DonHang!$C$2:$C$500,A91,DonHang!$R$2:$R$500,"&gt;0"))</f>
        <v/>
      </c>
      <c r="J91" s="8"/>
    </row>
    <row r="92" customFormat="false" ht="15" hidden="false" customHeight="false" outlineLevel="0" collapsed="false">
      <c r="A92" s="8"/>
      <c r="B92" s="8"/>
      <c r="C92" s="8"/>
      <c r="D92" s="8"/>
      <c r="E92" s="10" t="str">
        <f aca="false">IF(A92="","",COUNTIFS(DonHang!$C$2:$C$500,A92))</f>
        <v/>
      </c>
      <c r="F92" s="11" t="str">
        <f aca="false">IF(A92="","",SUMIFS(DonHang!$N$2:$N$500,DonHang!$C$2:$C$500,A92))</f>
        <v/>
      </c>
      <c r="G92" s="11" t="str">
        <f aca="false">IF(A92="","",SUMIFS(DonHang!$O$2:$O$500,DonHang!$C$2:$C$500,A92))</f>
        <v/>
      </c>
      <c r="H92" s="11" t="str">
        <f aca="false">IF(A92="","",F92-G92)</f>
        <v/>
      </c>
      <c r="I92" s="11" t="str">
        <f aca="false">IF(A92="","",SUMIFS(DonHang!$P$2:$P$500,DonHang!$C$2:$C$500,A92,DonHang!$R$2:$R$500,"&gt;0"))</f>
        <v/>
      </c>
      <c r="J92" s="8"/>
    </row>
    <row r="93" customFormat="false" ht="15" hidden="false" customHeight="false" outlineLevel="0" collapsed="false">
      <c r="A93" s="8"/>
      <c r="B93" s="8"/>
      <c r="C93" s="8"/>
      <c r="D93" s="8"/>
      <c r="E93" s="10" t="str">
        <f aca="false">IF(A93="","",COUNTIFS(DonHang!$C$2:$C$500,A93))</f>
        <v/>
      </c>
      <c r="F93" s="11" t="str">
        <f aca="false">IF(A93="","",SUMIFS(DonHang!$N$2:$N$500,DonHang!$C$2:$C$500,A93))</f>
        <v/>
      </c>
      <c r="G93" s="11" t="str">
        <f aca="false">IF(A93="","",SUMIFS(DonHang!$O$2:$O$500,DonHang!$C$2:$C$500,A93))</f>
        <v/>
      </c>
      <c r="H93" s="11" t="str">
        <f aca="false">IF(A93="","",F93-G93)</f>
        <v/>
      </c>
      <c r="I93" s="11" t="str">
        <f aca="false">IF(A93="","",SUMIFS(DonHang!$P$2:$P$500,DonHang!$C$2:$C$500,A93,DonHang!$R$2:$R$500,"&gt;0"))</f>
        <v/>
      </c>
      <c r="J93" s="8"/>
    </row>
    <row r="94" customFormat="false" ht="15" hidden="false" customHeight="false" outlineLevel="0" collapsed="false">
      <c r="A94" s="8"/>
      <c r="B94" s="8"/>
      <c r="C94" s="8"/>
      <c r="D94" s="8"/>
      <c r="E94" s="10" t="str">
        <f aca="false">IF(A94="","",COUNTIFS(DonHang!$C$2:$C$500,A94))</f>
        <v/>
      </c>
      <c r="F94" s="11" t="str">
        <f aca="false">IF(A94="","",SUMIFS(DonHang!$N$2:$N$500,DonHang!$C$2:$C$500,A94))</f>
        <v/>
      </c>
      <c r="G94" s="11" t="str">
        <f aca="false">IF(A94="","",SUMIFS(DonHang!$O$2:$O$500,DonHang!$C$2:$C$500,A94))</f>
        <v/>
      </c>
      <c r="H94" s="11" t="str">
        <f aca="false">IF(A94="","",F94-G94)</f>
        <v/>
      </c>
      <c r="I94" s="11" t="str">
        <f aca="false">IF(A94="","",SUMIFS(DonHang!$P$2:$P$500,DonHang!$C$2:$C$500,A94,DonHang!$R$2:$R$500,"&gt;0"))</f>
        <v/>
      </c>
      <c r="J94" s="8"/>
    </row>
    <row r="95" customFormat="false" ht="15" hidden="false" customHeight="false" outlineLevel="0" collapsed="false">
      <c r="A95" s="8"/>
      <c r="B95" s="8"/>
      <c r="C95" s="8"/>
      <c r="D95" s="8"/>
      <c r="E95" s="10" t="str">
        <f aca="false">IF(A95="","",COUNTIFS(DonHang!$C$2:$C$500,A95))</f>
        <v/>
      </c>
      <c r="F95" s="11" t="str">
        <f aca="false">IF(A95="","",SUMIFS(DonHang!$N$2:$N$500,DonHang!$C$2:$C$500,A95))</f>
        <v/>
      </c>
      <c r="G95" s="11" t="str">
        <f aca="false">IF(A95="","",SUMIFS(DonHang!$O$2:$O$500,DonHang!$C$2:$C$500,A95))</f>
        <v/>
      </c>
      <c r="H95" s="11" t="str">
        <f aca="false">IF(A95="","",F95-G95)</f>
        <v/>
      </c>
      <c r="I95" s="11" t="str">
        <f aca="false">IF(A95="","",SUMIFS(DonHang!$P$2:$P$500,DonHang!$C$2:$C$500,A95,DonHang!$R$2:$R$500,"&gt;0"))</f>
        <v/>
      </c>
      <c r="J95" s="8"/>
    </row>
    <row r="96" customFormat="false" ht="15" hidden="false" customHeight="false" outlineLevel="0" collapsed="false">
      <c r="A96" s="8"/>
      <c r="B96" s="8"/>
      <c r="C96" s="8"/>
      <c r="D96" s="8"/>
      <c r="E96" s="10" t="str">
        <f aca="false">IF(A96="","",COUNTIFS(DonHang!$C$2:$C$500,A96))</f>
        <v/>
      </c>
      <c r="F96" s="11" t="str">
        <f aca="false">IF(A96="","",SUMIFS(DonHang!$N$2:$N$500,DonHang!$C$2:$C$500,A96))</f>
        <v/>
      </c>
      <c r="G96" s="11" t="str">
        <f aca="false">IF(A96="","",SUMIFS(DonHang!$O$2:$O$500,DonHang!$C$2:$C$500,A96))</f>
        <v/>
      </c>
      <c r="H96" s="11" t="str">
        <f aca="false">IF(A96="","",F96-G96)</f>
        <v/>
      </c>
      <c r="I96" s="11" t="str">
        <f aca="false">IF(A96="","",SUMIFS(DonHang!$P$2:$P$500,DonHang!$C$2:$C$500,A96,DonHang!$R$2:$R$500,"&gt;0"))</f>
        <v/>
      </c>
      <c r="J96" s="8"/>
    </row>
    <row r="97" customFormat="false" ht="15" hidden="false" customHeight="false" outlineLevel="0" collapsed="false">
      <c r="A97" s="8"/>
      <c r="B97" s="8"/>
      <c r="C97" s="8"/>
      <c r="D97" s="8"/>
      <c r="E97" s="10" t="str">
        <f aca="false">IF(A97="","",COUNTIFS(DonHang!$C$2:$C$500,A97))</f>
        <v/>
      </c>
      <c r="F97" s="11" t="str">
        <f aca="false">IF(A97="","",SUMIFS(DonHang!$N$2:$N$500,DonHang!$C$2:$C$500,A97))</f>
        <v/>
      </c>
      <c r="G97" s="11" t="str">
        <f aca="false">IF(A97="","",SUMIFS(DonHang!$O$2:$O$500,DonHang!$C$2:$C$500,A97))</f>
        <v/>
      </c>
      <c r="H97" s="11" t="str">
        <f aca="false">IF(A97="","",F97-G97)</f>
        <v/>
      </c>
      <c r="I97" s="11" t="str">
        <f aca="false">IF(A97="","",SUMIFS(DonHang!$P$2:$P$500,DonHang!$C$2:$C$500,A97,DonHang!$R$2:$R$500,"&gt;0"))</f>
        <v/>
      </c>
      <c r="J97" s="8"/>
    </row>
    <row r="98" customFormat="false" ht="15" hidden="false" customHeight="false" outlineLevel="0" collapsed="false">
      <c r="A98" s="8"/>
      <c r="B98" s="8"/>
      <c r="C98" s="8"/>
      <c r="D98" s="8"/>
      <c r="E98" s="10" t="str">
        <f aca="false">IF(A98="","",COUNTIFS(DonHang!$C$2:$C$500,A98))</f>
        <v/>
      </c>
      <c r="F98" s="11" t="str">
        <f aca="false">IF(A98="","",SUMIFS(DonHang!$N$2:$N$500,DonHang!$C$2:$C$500,A98))</f>
        <v/>
      </c>
      <c r="G98" s="11" t="str">
        <f aca="false">IF(A98="","",SUMIFS(DonHang!$O$2:$O$500,DonHang!$C$2:$C$500,A98))</f>
        <v/>
      </c>
      <c r="H98" s="11" t="str">
        <f aca="false">IF(A98="","",F98-G98)</f>
        <v/>
      </c>
      <c r="I98" s="11" t="str">
        <f aca="false">IF(A98="","",SUMIFS(DonHang!$P$2:$P$500,DonHang!$C$2:$C$500,A98,DonHang!$R$2:$R$500,"&gt;0"))</f>
        <v/>
      </c>
      <c r="J98" s="8"/>
    </row>
    <row r="99" customFormat="false" ht="15" hidden="false" customHeight="false" outlineLevel="0" collapsed="false">
      <c r="A99" s="8"/>
      <c r="B99" s="8"/>
      <c r="C99" s="8"/>
      <c r="D99" s="8"/>
      <c r="E99" s="10" t="str">
        <f aca="false">IF(A99="","",COUNTIFS(DonHang!$C$2:$C$500,A99))</f>
        <v/>
      </c>
      <c r="F99" s="11" t="str">
        <f aca="false">IF(A99="","",SUMIFS(DonHang!$N$2:$N$500,DonHang!$C$2:$C$500,A99))</f>
        <v/>
      </c>
      <c r="G99" s="11" t="str">
        <f aca="false">IF(A99="","",SUMIFS(DonHang!$O$2:$O$500,DonHang!$C$2:$C$500,A99))</f>
        <v/>
      </c>
      <c r="H99" s="11" t="str">
        <f aca="false">IF(A99="","",F99-G99)</f>
        <v/>
      </c>
      <c r="I99" s="11" t="str">
        <f aca="false">IF(A99="","",SUMIFS(DonHang!$P$2:$P$500,DonHang!$C$2:$C$500,A99,DonHang!$R$2:$R$500,"&gt;0"))</f>
        <v/>
      </c>
      <c r="J99" s="8"/>
    </row>
    <row r="100" customFormat="false" ht="15" hidden="false" customHeight="false" outlineLevel="0" collapsed="false">
      <c r="A100" s="8"/>
      <c r="B100" s="8"/>
      <c r="C100" s="8"/>
      <c r="D100" s="8"/>
      <c r="E100" s="10" t="str">
        <f aca="false">IF(A100="","",COUNTIFS(DonHang!$C$2:$C$500,A100))</f>
        <v/>
      </c>
      <c r="F100" s="11" t="str">
        <f aca="false">IF(A100="","",SUMIFS(DonHang!$N$2:$N$500,DonHang!$C$2:$C$500,A100))</f>
        <v/>
      </c>
      <c r="G100" s="11" t="str">
        <f aca="false">IF(A100="","",SUMIFS(DonHang!$O$2:$O$500,DonHang!$C$2:$C$500,A100))</f>
        <v/>
      </c>
      <c r="H100" s="11" t="str">
        <f aca="false">IF(A100="","",F100-G100)</f>
        <v/>
      </c>
      <c r="I100" s="11" t="str">
        <f aca="false">IF(A100="","",SUMIFS(DonHang!$P$2:$P$500,DonHang!$C$2:$C$500,A100,DonHang!$R$2:$R$500,"&gt;0"))</f>
        <v/>
      </c>
      <c r="J100" s="8"/>
    </row>
    <row r="101" customFormat="false" ht="15" hidden="false" customHeight="false" outlineLevel="0" collapsed="false">
      <c r="A101" s="8"/>
      <c r="B101" s="8"/>
      <c r="C101" s="8"/>
      <c r="D101" s="8"/>
      <c r="E101" s="10" t="str">
        <f aca="false">IF(A101="","",COUNTIFS(DonHang!$C$2:$C$500,A101))</f>
        <v/>
      </c>
      <c r="F101" s="11" t="str">
        <f aca="false">IF(A101="","",SUMIFS(DonHang!$N$2:$N$500,DonHang!$C$2:$C$500,A101))</f>
        <v/>
      </c>
      <c r="G101" s="11" t="str">
        <f aca="false">IF(A101="","",SUMIFS(DonHang!$O$2:$O$500,DonHang!$C$2:$C$500,A101))</f>
        <v/>
      </c>
      <c r="H101" s="11" t="str">
        <f aca="false">IF(A101="","",F101-G101)</f>
        <v/>
      </c>
      <c r="I101" s="11" t="str">
        <f aca="false">IF(A101="","",SUMIFS(DonHang!$P$2:$P$500,DonHang!$C$2:$C$500,A101,DonHang!$R$2:$R$500,"&gt;0"))</f>
        <v/>
      </c>
      <c r="J101" s="8"/>
    </row>
    <row r="102" customFormat="false" ht="15" hidden="false" customHeight="false" outlineLevel="0" collapsed="false">
      <c r="A102" s="8"/>
      <c r="B102" s="8"/>
      <c r="C102" s="8"/>
      <c r="D102" s="8"/>
      <c r="E102" s="10" t="str">
        <f aca="false">IF(A102="","",COUNTIFS(DonHang!$C$2:$C$500,A102))</f>
        <v/>
      </c>
      <c r="F102" s="11" t="str">
        <f aca="false">IF(A102="","",SUMIFS(DonHang!$N$2:$N$500,DonHang!$C$2:$C$500,A102))</f>
        <v/>
      </c>
      <c r="G102" s="11" t="str">
        <f aca="false">IF(A102="","",SUMIFS(DonHang!$O$2:$O$500,DonHang!$C$2:$C$500,A102))</f>
        <v/>
      </c>
      <c r="H102" s="11" t="str">
        <f aca="false">IF(A102="","",F102-G102)</f>
        <v/>
      </c>
      <c r="I102" s="11" t="str">
        <f aca="false">IF(A102="","",SUMIFS(DonHang!$P$2:$P$500,DonHang!$C$2:$C$500,A102,DonHang!$R$2:$R$500,"&gt;0"))</f>
        <v/>
      </c>
      <c r="J102" s="8"/>
    </row>
    <row r="103" customFormat="false" ht="15" hidden="false" customHeight="false" outlineLevel="0" collapsed="false">
      <c r="A103" s="8"/>
      <c r="B103" s="8"/>
      <c r="C103" s="8"/>
      <c r="D103" s="8"/>
      <c r="E103" s="10" t="str">
        <f aca="false">IF(A103="","",COUNTIFS(DonHang!$C$2:$C$500,A103))</f>
        <v/>
      </c>
      <c r="F103" s="11" t="str">
        <f aca="false">IF(A103="","",SUMIFS(DonHang!$N$2:$N$500,DonHang!$C$2:$C$500,A103))</f>
        <v/>
      </c>
      <c r="G103" s="11" t="str">
        <f aca="false">IF(A103="","",SUMIFS(DonHang!$O$2:$O$500,DonHang!$C$2:$C$500,A103))</f>
        <v/>
      </c>
      <c r="H103" s="11" t="str">
        <f aca="false">IF(A103="","",F103-G103)</f>
        <v/>
      </c>
      <c r="I103" s="11" t="str">
        <f aca="false">IF(A103="","",SUMIFS(DonHang!$P$2:$P$500,DonHang!$C$2:$C$500,A103,DonHang!$R$2:$R$500,"&gt;0"))</f>
        <v/>
      </c>
      <c r="J103" s="8"/>
    </row>
    <row r="104" customFormat="false" ht="15" hidden="false" customHeight="false" outlineLevel="0" collapsed="false">
      <c r="A104" s="8"/>
      <c r="B104" s="8"/>
      <c r="C104" s="8"/>
      <c r="D104" s="8"/>
      <c r="E104" s="10" t="str">
        <f aca="false">IF(A104="","",COUNTIFS(DonHang!$C$2:$C$500,A104))</f>
        <v/>
      </c>
      <c r="F104" s="11" t="str">
        <f aca="false">IF(A104="","",SUMIFS(DonHang!$N$2:$N$500,DonHang!$C$2:$C$500,A104))</f>
        <v/>
      </c>
      <c r="G104" s="11" t="str">
        <f aca="false">IF(A104="","",SUMIFS(DonHang!$O$2:$O$500,DonHang!$C$2:$C$500,A104))</f>
        <v/>
      </c>
      <c r="H104" s="11" t="str">
        <f aca="false">IF(A104="","",F104-G104)</f>
        <v/>
      </c>
      <c r="I104" s="11" t="str">
        <f aca="false">IF(A104="","",SUMIFS(DonHang!$P$2:$P$500,DonHang!$C$2:$C$500,A104,DonHang!$R$2:$R$500,"&gt;0"))</f>
        <v/>
      </c>
      <c r="J104" s="8"/>
    </row>
    <row r="105" customFormat="false" ht="15" hidden="false" customHeight="false" outlineLevel="0" collapsed="false">
      <c r="A105" s="8"/>
      <c r="B105" s="8"/>
      <c r="C105" s="8"/>
      <c r="D105" s="8"/>
      <c r="E105" s="10" t="str">
        <f aca="false">IF(A105="","",COUNTIFS(DonHang!$C$2:$C$500,A105))</f>
        <v/>
      </c>
      <c r="F105" s="11" t="str">
        <f aca="false">IF(A105="","",SUMIFS(DonHang!$N$2:$N$500,DonHang!$C$2:$C$500,A105))</f>
        <v/>
      </c>
      <c r="G105" s="11" t="str">
        <f aca="false">IF(A105="","",SUMIFS(DonHang!$O$2:$O$500,DonHang!$C$2:$C$500,A105))</f>
        <v/>
      </c>
      <c r="H105" s="11" t="str">
        <f aca="false">IF(A105="","",F105-G105)</f>
        <v/>
      </c>
      <c r="I105" s="11" t="str">
        <f aca="false">IF(A105="","",SUMIFS(DonHang!$P$2:$P$500,DonHang!$C$2:$C$500,A105,DonHang!$R$2:$R$500,"&gt;0"))</f>
        <v/>
      </c>
      <c r="J105" s="8"/>
    </row>
    <row r="106" customFormat="false" ht="15" hidden="false" customHeight="false" outlineLevel="0" collapsed="false">
      <c r="A106" s="8"/>
      <c r="B106" s="8"/>
      <c r="C106" s="8"/>
      <c r="D106" s="8"/>
      <c r="E106" s="10" t="str">
        <f aca="false">IF(A106="","",COUNTIFS(DonHang!$C$2:$C$500,A106))</f>
        <v/>
      </c>
      <c r="F106" s="11" t="str">
        <f aca="false">IF(A106="","",SUMIFS(DonHang!$N$2:$N$500,DonHang!$C$2:$C$500,A106))</f>
        <v/>
      </c>
      <c r="G106" s="11" t="str">
        <f aca="false">IF(A106="","",SUMIFS(DonHang!$O$2:$O$500,DonHang!$C$2:$C$500,A106))</f>
        <v/>
      </c>
      <c r="H106" s="11" t="str">
        <f aca="false">IF(A106="","",F106-G106)</f>
        <v/>
      </c>
      <c r="I106" s="11" t="str">
        <f aca="false">IF(A106="","",SUMIFS(DonHang!$P$2:$P$500,DonHang!$C$2:$C$500,A106,DonHang!$R$2:$R$500,"&gt;0"))</f>
        <v/>
      </c>
      <c r="J106" s="8"/>
    </row>
    <row r="107" customFormat="false" ht="15" hidden="false" customHeight="false" outlineLevel="0" collapsed="false">
      <c r="A107" s="8"/>
      <c r="B107" s="8"/>
      <c r="C107" s="8"/>
      <c r="D107" s="8"/>
      <c r="E107" s="10" t="str">
        <f aca="false">IF(A107="","",COUNTIFS(DonHang!$C$2:$C$500,A107))</f>
        <v/>
      </c>
      <c r="F107" s="11" t="str">
        <f aca="false">IF(A107="","",SUMIFS(DonHang!$N$2:$N$500,DonHang!$C$2:$C$500,A107))</f>
        <v/>
      </c>
      <c r="G107" s="11" t="str">
        <f aca="false">IF(A107="","",SUMIFS(DonHang!$O$2:$O$500,DonHang!$C$2:$C$500,A107))</f>
        <v/>
      </c>
      <c r="H107" s="11" t="str">
        <f aca="false">IF(A107="","",F107-G107)</f>
        <v/>
      </c>
      <c r="I107" s="11" t="str">
        <f aca="false">IF(A107="","",SUMIFS(DonHang!$P$2:$P$500,DonHang!$C$2:$C$500,A107,DonHang!$R$2:$R$500,"&gt;0"))</f>
        <v/>
      </c>
      <c r="J107" s="8"/>
    </row>
    <row r="108" customFormat="false" ht="15" hidden="false" customHeight="false" outlineLevel="0" collapsed="false">
      <c r="A108" s="8"/>
      <c r="B108" s="8"/>
      <c r="C108" s="8"/>
      <c r="D108" s="8"/>
      <c r="E108" s="10" t="str">
        <f aca="false">IF(A108="","",COUNTIFS(DonHang!$C$2:$C$500,A108))</f>
        <v/>
      </c>
      <c r="F108" s="11" t="str">
        <f aca="false">IF(A108="","",SUMIFS(DonHang!$N$2:$N$500,DonHang!$C$2:$C$500,A108))</f>
        <v/>
      </c>
      <c r="G108" s="11" t="str">
        <f aca="false">IF(A108="","",SUMIFS(DonHang!$O$2:$O$500,DonHang!$C$2:$C$500,A108))</f>
        <v/>
      </c>
      <c r="H108" s="11" t="str">
        <f aca="false">IF(A108="","",F108-G108)</f>
        <v/>
      </c>
      <c r="I108" s="11" t="str">
        <f aca="false">IF(A108="","",SUMIFS(DonHang!$P$2:$P$500,DonHang!$C$2:$C$500,A108,DonHang!$R$2:$R$500,"&gt;0"))</f>
        <v/>
      </c>
      <c r="J108" s="8"/>
    </row>
    <row r="109" customFormat="false" ht="15" hidden="false" customHeight="false" outlineLevel="0" collapsed="false">
      <c r="A109" s="8"/>
      <c r="B109" s="8"/>
      <c r="C109" s="8"/>
      <c r="D109" s="8"/>
      <c r="E109" s="10" t="str">
        <f aca="false">IF(A109="","",COUNTIFS(DonHang!$C$2:$C$500,A109))</f>
        <v/>
      </c>
      <c r="F109" s="11" t="str">
        <f aca="false">IF(A109="","",SUMIFS(DonHang!$N$2:$N$500,DonHang!$C$2:$C$500,A109))</f>
        <v/>
      </c>
      <c r="G109" s="11" t="str">
        <f aca="false">IF(A109="","",SUMIFS(DonHang!$O$2:$O$500,DonHang!$C$2:$C$500,A109))</f>
        <v/>
      </c>
      <c r="H109" s="11" t="str">
        <f aca="false">IF(A109="","",F109-G109)</f>
        <v/>
      </c>
      <c r="I109" s="11" t="str">
        <f aca="false">IF(A109="","",SUMIFS(DonHang!$P$2:$P$500,DonHang!$C$2:$C$500,A109,DonHang!$R$2:$R$500,"&gt;0"))</f>
        <v/>
      </c>
      <c r="J109" s="8"/>
    </row>
    <row r="110" customFormat="false" ht="15" hidden="false" customHeight="false" outlineLevel="0" collapsed="false">
      <c r="A110" s="8"/>
      <c r="B110" s="8"/>
      <c r="C110" s="8"/>
      <c r="D110" s="8"/>
      <c r="E110" s="10" t="str">
        <f aca="false">IF(A110="","",COUNTIFS(DonHang!$C$2:$C$500,A110))</f>
        <v/>
      </c>
      <c r="F110" s="11" t="str">
        <f aca="false">IF(A110="","",SUMIFS(DonHang!$N$2:$N$500,DonHang!$C$2:$C$500,A110))</f>
        <v/>
      </c>
      <c r="G110" s="11" t="str">
        <f aca="false">IF(A110="","",SUMIFS(DonHang!$O$2:$O$500,DonHang!$C$2:$C$500,A110))</f>
        <v/>
      </c>
      <c r="H110" s="11" t="str">
        <f aca="false">IF(A110="","",F110-G110)</f>
        <v/>
      </c>
      <c r="I110" s="11" t="str">
        <f aca="false">IF(A110="","",SUMIFS(DonHang!$P$2:$P$500,DonHang!$C$2:$C$500,A110,DonHang!$R$2:$R$500,"&gt;0"))</f>
        <v/>
      </c>
      <c r="J110" s="8"/>
    </row>
    <row r="111" customFormat="false" ht="15" hidden="false" customHeight="false" outlineLevel="0" collapsed="false">
      <c r="A111" s="8"/>
      <c r="B111" s="8"/>
      <c r="C111" s="8"/>
      <c r="D111" s="8"/>
      <c r="E111" s="10" t="str">
        <f aca="false">IF(A111="","",COUNTIFS(DonHang!$C$2:$C$500,A111))</f>
        <v/>
      </c>
      <c r="F111" s="11" t="str">
        <f aca="false">IF(A111="","",SUMIFS(DonHang!$N$2:$N$500,DonHang!$C$2:$C$500,A111))</f>
        <v/>
      </c>
      <c r="G111" s="11" t="str">
        <f aca="false">IF(A111="","",SUMIFS(DonHang!$O$2:$O$500,DonHang!$C$2:$C$500,A111))</f>
        <v/>
      </c>
      <c r="H111" s="11" t="str">
        <f aca="false">IF(A111="","",F111-G111)</f>
        <v/>
      </c>
      <c r="I111" s="11" t="str">
        <f aca="false">IF(A111="","",SUMIFS(DonHang!$P$2:$P$500,DonHang!$C$2:$C$500,A111,DonHang!$R$2:$R$500,"&gt;0"))</f>
        <v/>
      </c>
      <c r="J111" s="8"/>
    </row>
    <row r="112" customFormat="false" ht="15" hidden="false" customHeight="false" outlineLevel="0" collapsed="false">
      <c r="A112" s="8"/>
      <c r="B112" s="8"/>
      <c r="C112" s="8"/>
      <c r="D112" s="8"/>
      <c r="E112" s="10" t="str">
        <f aca="false">IF(A112="","",COUNTIFS(DonHang!$C$2:$C$500,A112))</f>
        <v/>
      </c>
      <c r="F112" s="11" t="str">
        <f aca="false">IF(A112="","",SUMIFS(DonHang!$N$2:$N$500,DonHang!$C$2:$C$500,A112))</f>
        <v/>
      </c>
      <c r="G112" s="11" t="str">
        <f aca="false">IF(A112="","",SUMIFS(DonHang!$O$2:$O$500,DonHang!$C$2:$C$500,A112))</f>
        <v/>
      </c>
      <c r="H112" s="11" t="str">
        <f aca="false">IF(A112="","",F112-G112)</f>
        <v/>
      </c>
      <c r="I112" s="11" t="str">
        <f aca="false">IF(A112="","",SUMIFS(DonHang!$P$2:$P$500,DonHang!$C$2:$C$500,A112,DonHang!$R$2:$R$500,"&gt;0"))</f>
        <v/>
      </c>
      <c r="J112" s="8"/>
    </row>
    <row r="113" customFormat="false" ht="15" hidden="false" customHeight="false" outlineLevel="0" collapsed="false">
      <c r="A113" s="8"/>
      <c r="B113" s="8"/>
      <c r="C113" s="8"/>
      <c r="D113" s="8"/>
      <c r="E113" s="10" t="str">
        <f aca="false">IF(A113="","",COUNTIFS(DonHang!$C$2:$C$500,A113))</f>
        <v/>
      </c>
      <c r="F113" s="11" t="str">
        <f aca="false">IF(A113="","",SUMIFS(DonHang!$N$2:$N$500,DonHang!$C$2:$C$500,A113))</f>
        <v/>
      </c>
      <c r="G113" s="11" t="str">
        <f aca="false">IF(A113="","",SUMIFS(DonHang!$O$2:$O$500,DonHang!$C$2:$C$500,A113))</f>
        <v/>
      </c>
      <c r="H113" s="11" t="str">
        <f aca="false">IF(A113="","",F113-G113)</f>
        <v/>
      </c>
      <c r="I113" s="11" t="str">
        <f aca="false">IF(A113="","",SUMIFS(DonHang!$P$2:$P$500,DonHang!$C$2:$C$500,A113,DonHang!$R$2:$R$500,"&gt;0"))</f>
        <v/>
      </c>
      <c r="J113" s="8"/>
    </row>
    <row r="114" customFormat="false" ht="15" hidden="false" customHeight="false" outlineLevel="0" collapsed="false">
      <c r="A114" s="8"/>
      <c r="B114" s="8"/>
      <c r="C114" s="8"/>
      <c r="D114" s="8"/>
      <c r="E114" s="10" t="str">
        <f aca="false">IF(A114="","",COUNTIFS(DonHang!$C$2:$C$500,A114))</f>
        <v/>
      </c>
      <c r="F114" s="11" t="str">
        <f aca="false">IF(A114="","",SUMIFS(DonHang!$N$2:$N$500,DonHang!$C$2:$C$500,A114))</f>
        <v/>
      </c>
      <c r="G114" s="11" t="str">
        <f aca="false">IF(A114="","",SUMIFS(DonHang!$O$2:$O$500,DonHang!$C$2:$C$500,A114))</f>
        <v/>
      </c>
      <c r="H114" s="11" t="str">
        <f aca="false">IF(A114="","",F114-G114)</f>
        <v/>
      </c>
      <c r="I114" s="11" t="str">
        <f aca="false">IF(A114="","",SUMIFS(DonHang!$P$2:$P$500,DonHang!$C$2:$C$500,A114,DonHang!$R$2:$R$500,"&gt;0"))</f>
        <v/>
      </c>
      <c r="J114" s="8"/>
    </row>
    <row r="115" customFormat="false" ht="15" hidden="false" customHeight="false" outlineLevel="0" collapsed="false">
      <c r="A115" s="8"/>
      <c r="B115" s="8"/>
      <c r="C115" s="8"/>
      <c r="D115" s="8"/>
      <c r="E115" s="10" t="str">
        <f aca="false">IF(A115="","",COUNTIFS(DonHang!$C$2:$C$500,A115))</f>
        <v/>
      </c>
      <c r="F115" s="11" t="str">
        <f aca="false">IF(A115="","",SUMIFS(DonHang!$N$2:$N$500,DonHang!$C$2:$C$500,A115))</f>
        <v/>
      </c>
      <c r="G115" s="11" t="str">
        <f aca="false">IF(A115="","",SUMIFS(DonHang!$O$2:$O$500,DonHang!$C$2:$C$500,A115))</f>
        <v/>
      </c>
      <c r="H115" s="11" t="str">
        <f aca="false">IF(A115="","",F115-G115)</f>
        <v/>
      </c>
      <c r="I115" s="11" t="str">
        <f aca="false">IF(A115="","",SUMIFS(DonHang!$P$2:$P$500,DonHang!$C$2:$C$500,A115,DonHang!$R$2:$R$500,"&gt;0"))</f>
        <v/>
      </c>
      <c r="J115" s="8"/>
    </row>
    <row r="116" customFormat="false" ht="15" hidden="false" customHeight="false" outlineLevel="0" collapsed="false">
      <c r="A116" s="8"/>
      <c r="B116" s="8"/>
      <c r="C116" s="8"/>
      <c r="D116" s="8"/>
      <c r="E116" s="10" t="str">
        <f aca="false">IF(A116="","",COUNTIFS(DonHang!$C$2:$C$500,A116))</f>
        <v/>
      </c>
      <c r="F116" s="11" t="str">
        <f aca="false">IF(A116="","",SUMIFS(DonHang!$N$2:$N$500,DonHang!$C$2:$C$500,A116))</f>
        <v/>
      </c>
      <c r="G116" s="11" t="str">
        <f aca="false">IF(A116="","",SUMIFS(DonHang!$O$2:$O$500,DonHang!$C$2:$C$500,A116))</f>
        <v/>
      </c>
      <c r="H116" s="11" t="str">
        <f aca="false">IF(A116="","",F116-G116)</f>
        <v/>
      </c>
      <c r="I116" s="11" t="str">
        <f aca="false">IF(A116="","",SUMIFS(DonHang!$P$2:$P$500,DonHang!$C$2:$C$500,A116,DonHang!$R$2:$R$500,"&gt;0"))</f>
        <v/>
      </c>
      <c r="J116" s="8"/>
    </row>
    <row r="117" customFormat="false" ht="15" hidden="false" customHeight="false" outlineLevel="0" collapsed="false">
      <c r="A117" s="8"/>
      <c r="B117" s="8"/>
      <c r="C117" s="8"/>
      <c r="D117" s="8"/>
      <c r="E117" s="10" t="str">
        <f aca="false">IF(A117="","",COUNTIFS(DonHang!$C$2:$C$500,A117))</f>
        <v/>
      </c>
      <c r="F117" s="11" t="str">
        <f aca="false">IF(A117="","",SUMIFS(DonHang!$N$2:$N$500,DonHang!$C$2:$C$500,A117))</f>
        <v/>
      </c>
      <c r="G117" s="11" t="str">
        <f aca="false">IF(A117="","",SUMIFS(DonHang!$O$2:$O$500,DonHang!$C$2:$C$500,A117))</f>
        <v/>
      </c>
      <c r="H117" s="11" t="str">
        <f aca="false">IF(A117="","",F117-G117)</f>
        <v/>
      </c>
      <c r="I117" s="11" t="str">
        <f aca="false">IF(A117="","",SUMIFS(DonHang!$P$2:$P$500,DonHang!$C$2:$C$500,A117,DonHang!$R$2:$R$500,"&gt;0"))</f>
        <v/>
      </c>
      <c r="J117" s="8"/>
    </row>
    <row r="118" customFormat="false" ht="15" hidden="false" customHeight="false" outlineLevel="0" collapsed="false">
      <c r="A118" s="8"/>
      <c r="B118" s="8"/>
      <c r="C118" s="8"/>
      <c r="D118" s="8"/>
      <c r="E118" s="10" t="str">
        <f aca="false">IF(A118="","",COUNTIFS(DonHang!$C$2:$C$500,A118))</f>
        <v/>
      </c>
      <c r="F118" s="11" t="str">
        <f aca="false">IF(A118="","",SUMIFS(DonHang!$N$2:$N$500,DonHang!$C$2:$C$500,A118))</f>
        <v/>
      </c>
      <c r="G118" s="11" t="str">
        <f aca="false">IF(A118="","",SUMIFS(DonHang!$O$2:$O$500,DonHang!$C$2:$C$500,A118))</f>
        <v/>
      </c>
      <c r="H118" s="11" t="str">
        <f aca="false">IF(A118="","",F118-G118)</f>
        <v/>
      </c>
      <c r="I118" s="11" t="str">
        <f aca="false">IF(A118="","",SUMIFS(DonHang!$P$2:$P$500,DonHang!$C$2:$C$500,A118,DonHang!$R$2:$R$500,"&gt;0"))</f>
        <v/>
      </c>
      <c r="J118" s="8"/>
    </row>
    <row r="119" customFormat="false" ht="15" hidden="false" customHeight="false" outlineLevel="0" collapsed="false">
      <c r="A119" s="8"/>
      <c r="B119" s="8"/>
      <c r="C119" s="8"/>
      <c r="D119" s="8"/>
      <c r="E119" s="10" t="str">
        <f aca="false">IF(A119="","",COUNTIFS(DonHang!$C$2:$C$500,A119))</f>
        <v/>
      </c>
      <c r="F119" s="11" t="str">
        <f aca="false">IF(A119="","",SUMIFS(DonHang!$N$2:$N$500,DonHang!$C$2:$C$500,A119))</f>
        <v/>
      </c>
      <c r="G119" s="11" t="str">
        <f aca="false">IF(A119="","",SUMIFS(DonHang!$O$2:$O$500,DonHang!$C$2:$C$500,A119))</f>
        <v/>
      </c>
      <c r="H119" s="11" t="str">
        <f aca="false">IF(A119="","",F119-G119)</f>
        <v/>
      </c>
      <c r="I119" s="11" t="str">
        <f aca="false">IF(A119="","",SUMIFS(DonHang!$P$2:$P$500,DonHang!$C$2:$C$500,A119,DonHang!$R$2:$R$500,"&gt;0"))</f>
        <v/>
      </c>
      <c r="J119" s="8"/>
    </row>
    <row r="120" customFormat="false" ht="15" hidden="false" customHeight="false" outlineLevel="0" collapsed="false">
      <c r="A120" s="8"/>
      <c r="B120" s="8"/>
      <c r="C120" s="8"/>
      <c r="D120" s="8"/>
      <c r="E120" s="10" t="str">
        <f aca="false">IF(A120="","",COUNTIFS(DonHang!$C$2:$C$500,A120))</f>
        <v/>
      </c>
      <c r="F120" s="11" t="str">
        <f aca="false">IF(A120="","",SUMIFS(DonHang!$N$2:$N$500,DonHang!$C$2:$C$500,A120))</f>
        <v/>
      </c>
      <c r="G120" s="11" t="str">
        <f aca="false">IF(A120="","",SUMIFS(DonHang!$O$2:$O$500,DonHang!$C$2:$C$500,A120))</f>
        <v/>
      </c>
      <c r="H120" s="11" t="str">
        <f aca="false">IF(A120="","",F120-G120)</f>
        <v/>
      </c>
      <c r="I120" s="11" t="str">
        <f aca="false">IF(A120="","",SUMIFS(DonHang!$P$2:$P$500,DonHang!$C$2:$C$500,A120,DonHang!$R$2:$R$500,"&gt;0"))</f>
        <v/>
      </c>
      <c r="J120" s="8"/>
    </row>
    <row r="121" customFormat="false" ht="15" hidden="false" customHeight="false" outlineLevel="0" collapsed="false">
      <c r="A121" s="8"/>
      <c r="B121" s="8"/>
      <c r="C121" s="8"/>
      <c r="D121" s="8"/>
      <c r="E121" s="10" t="str">
        <f aca="false">IF(A121="","",COUNTIFS(DonHang!$C$2:$C$500,A121))</f>
        <v/>
      </c>
      <c r="F121" s="11" t="str">
        <f aca="false">IF(A121="","",SUMIFS(DonHang!$N$2:$N$500,DonHang!$C$2:$C$500,A121))</f>
        <v/>
      </c>
      <c r="G121" s="11" t="str">
        <f aca="false">IF(A121="","",SUMIFS(DonHang!$O$2:$O$500,DonHang!$C$2:$C$500,A121))</f>
        <v/>
      </c>
      <c r="H121" s="11" t="str">
        <f aca="false">IF(A121="","",F121-G121)</f>
        <v/>
      </c>
      <c r="I121" s="11" t="str">
        <f aca="false">IF(A121="","",SUMIFS(DonHang!$P$2:$P$500,DonHang!$C$2:$C$500,A121,DonHang!$R$2:$R$500,"&gt;0"))</f>
        <v/>
      </c>
      <c r="J121" s="8"/>
    </row>
    <row r="122" customFormat="false" ht="15" hidden="false" customHeight="false" outlineLevel="0" collapsed="false">
      <c r="A122" s="8"/>
      <c r="B122" s="8"/>
      <c r="C122" s="8"/>
      <c r="D122" s="8"/>
      <c r="E122" s="10" t="str">
        <f aca="false">IF(A122="","",COUNTIFS(DonHang!$C$2:$C$500,A122))</f>
        <v/>
      </c>
      <c r="F122" s="11" t="str">
        <f aca="false">IF(A122="","",SUMIFS(DonHang!$N$2:$N$500,DonHang!$C$2:$C$500,A122))</f>
        <v/>
      </c>
      <c r="G122" s="11" t="str">
        <f aca="false">IF(A122="","",SUMIFS(DonHang!$O$2:$O$500,DonHang!$C$2:$C$500,A122))</f>
        <v/>
      </c>
      <c r="H122" s="11" t="str">
        <f aca="false">IF(A122="","",F122-G122)</f>
        <v/>
      </c>
      <c r="I122" s="11" t="str">
        <f aca="false">IF(A122="","",SUMIFS(DonHang!$P$2:$P$500,DonHang!$C$2:$C$500,A122,DonHang!$R$2:$R$500,"&gt;0"))</f>
        <v/>
      </c>
      <c r="J122" s="8"/>
    </row>
    <row r="123" customFormat="false" ht="15" hidden="false" customHeight="false" outlineLevel="0" collapsed="false">
      <c r="A123" s="8"/>
      <c r="B123" s="8"/>
      <c r="C123" s="8"/>
      <c r="D123" s="8"/>
      <c r="E123" s="10" t="str">
        <f aca="false">IF(A123="","",COUNTIFS(DonHang!$C$2:$C$500,A123))</f>
        <v/>
      </c>
      <c r="F123" s="11" t="str">
        <f aca="false">IF(A123="","",SUMIFS(DonHang!$N$2:$N$500,DonHang!$C$2:$C$500,A123))</f>
        <v/>
      </c>
      <c r="G123" s="11" t="str">
        <f aca="false">IF(A123="","",SUMIFS(DonHang!$O$2:$O$500,DonHang!$C$2:$C$500,A123))</f>
        <v/>
      </c>
      <c r="H123" s="11" t="str">
        <f aca="false">IF(A123="","",F123-G123)</f>
        <v/>
      </c>
      <c r="I123" s="11" t="str">
        <f aca="false">IF(A123="","",SUMIFS(DonHang!$P$2:$P$500,DonHang!$C$2:$C$500,A123,DonHang!$R$2:$R$500,"&gt;0"))</f>
        <v/>
      </c>
      <c r="J123" s="8"/>
    </row>
    <row r="124" customFormat="false" ht="15" hidden="false" customHeight="false" outlineLevel="0" collapsed="false">
      <c r="A124" s="8"/>
      <c r="B124" s="8"/>
      <c r="C124" s="8"/>
      <c r="D124" s="8"/>
      <c r="E124" s="10" t="str">
        <f aca="false">IF(A124="","",COUNTIFS(DonHang!$C$2:$C$500,A124))</f>
        <v/>
      </c>
      <c r="F124" s="11" t="str">
        <f aca="false">IF(A124="","",SUMIFS(DonHang!$N$2:$N$500,DonHang!$C$2:$C$500,A124))</f>
        <v/>
      </c>
      <c r="G124" s="11" t="str">
        <f aca="false">IF(A124="","",SUMIFS(DonHang!$O$2:$O$500,DonHang!$C$2:$C$500,A124))</f>
        <v/>
      </c>
      <c r="H124" s="11" t="str">
        <f aca="false">IF(A124="","",F124-G124)</f>
        <v/>
      </c>
      <c r="I124" s="11" t="str">
        <f aca="false">IF(A124="","",SUMIFS(DonHang!$P$2:$P$500,DonHang!$C$2:$C$500,A124,DonHang!$R$2:$R$500,"&gt;0"))</f>
        <v/>
      </c>
      <c r="J124" s="8"/>
    </row>
    <row r="125" customFormat="false" ht="15" hidden="false" customHeight="false" outlineLevel="0" collapsed="false">
      <c r="A125" s="8"/>
      <c r="B125" s="8"/>
      <c r="C125" s="8"/>
      <c r="D125" s="8"/>
      <c r="E125" s="10" t="str">
        <f aca="false">IF(A125="","",COUNTIFS(DonHang!$C$2:$C$500,A125))</f>
        <v/>
      </c>
      <c r="F125" s="11" t="str">
        <f aca="false">IF(A125="","",SUMIFS(DonHang!$N$2:$N$500,DonHang!$C$2:$C$500,A125))</f>
        <v/>
      </c>
      <c r="G125" s="11" t="str">
        <f aca="false">IF(A125="","",SUMIFS(DonHang!$O$2:$O$500,DonHang!$C$2:$C$500,A125))</f>
        <v/>
      </c>
      <c r="H125" s="11" t="str">
        <f aca="false">IF(A125="","",F125-G125)</f>
        <v/>
      </c>
      <c r="I125" s="11" t="str">
        <f aca="false">IF(A125="","",SUMIFS(DonHang!$P$2:$P$500,DonHang!$C$2:$C$500,A125,DonHang!$R$2:$R$500,"&gt;0"))</f>
        <v/>
      </c>
      <c r="J125" s="8"/>
    </row>
    <row r="126" customFormat="false" ht="15" hidden="false" customHeight="false" outlineLevel="0" collapsed="false">
      <c r="A126" s="8"/>
      <c r="B126" s="8"/>
      <c r="C126" s="8"/>
      <c r="D126" s="8"/>
      <c r="E126" s="10" t="str">
        <f aca="false">IF(A126="","",COUNTIFS(DonHang!$C$2:$C$500,A126))</f>
        <v/>
      </c>
      <c r="F126" s="11" t="str">
        <f aca="false">IF(A126="","",SUMIFS(DonHang!$N$2:$N$500,DonHang!$C$2:$C$500,A126))</f>
        <v/>
      </c>
      <c r="G126" s="11" t="str">
        <f aca="false">IF(A126="","",SUMIFS(DonHang!$O$2:$O$500,DonHang!$C$2:$C$500,A126))</f>
        <v/>
      </c>
      <c r="H126" s="11" t="str">
        <f aca="false">IF(A126="","",F126-G126)</f>
        <v/>
      </c>
      <c r="I126" s="11" t="str">
        <f aca="false">IF(A126="","",SUMIFS(DonHang!$P$2:$P$500,DonHang!$C$2:$C$500,A126,DonHang!$R$2:$R$500,"&gt;0"))</f>
        <v/>
      </c>
      <c r="J126" s="8"/>
    </row>
    <row r="127" customFormat="false" ht="15" hidden="false" customHeight="false" outlineLevel="0" collapsed="false">
      <c r="A127" s="8"/>
      <c r="B127" s="8"/>
      <c r="C127" s="8"/>
      <c r="D127" s="8"/>
      <c r="E127" s="10" t="str">
        <f aca="false">IF(A127="","",COUNTIFS(DonHang!$C$2:$C$500,A127))</f>
        <v/>
      </c>
      <c r="F127" s="11" t="str">
        <f aca="false">IF(A127="","",SUMIFS(DonHang!$N$2:$N$500,DonHang!$C$2:$C$500,A127))</f>
        <v/>
      </c>
      <c r="G127" s="11" t="str">
        <f aca="false">IF(A127="","",SUMIFS(DonHang!$O$2:$O$500,DonHang!$C$2:$C$500,A127))</f>
        <v/>
      </c>
      <c r="H127" s="11" t="str">
        <f aca="false">IF(A127="","",F127-G127)</f>
        <v/>
      </c>
      <c r="I127" s="11" t="str">
        <f aca="false">IF(A127="","",SUMIFS(DonHang!$P$2:$P$500,DonHang!$C$2:$C$500,A127,DonHang!$R$2:$R$500,"&gt;0"))</f>
        <v/>
      </c>
      <c r="J127" s="8"/>
    </row>
    <row r="128" customFormat="false" ht="15" hidden="false" customHeight="false" outlineLevel="0" collapsed="false">
      <c r="A128" s="8"/>
      <c r="B128" s="8"/>
      <c r="C128" s="8"/>
      <c r="D128" s="8"/>
      <c r="E128" s="10" t="str">
        <f aca="false">IF(A128="","",COUNTIFS(DonHang!$C$2:$C$500,A128))</f>
        <v/>
      </c>
      <c r="F128" s="11" t="str">
        <f aca="false">IF(A128="","",SUMIFS(DonHang!$N$2:$N$500,DonHang!$C$2:$C$500,A128))</f>
        <v/>
      </c>
      <c r="G128" s="11" t="str">
        <f aca="false">IF(A128="","",SUMIFS(DonHang!$O$2:$O$500,DonHang!$C$2:$C$500,A128))</f>
        <v/>
      </c>
      <c r="H128" s="11" t="str">
        <f aca="false">IF(A128="","",F128-G128)</f>
        <v/>
      </c>
      <c r="I128" s="11" t="str">
        <f aca="false">IF(A128="","",SUMIFS(DonHang!$P$2:$P$500,DonHang!$C$2:$C$500,A128,DonHang!$R$2:$R$500,"&gt;0"))</f>
        <v/>
      </c>
      <c r="J128" s="8"/>
    </row>
    <row r="129" customFormat="false" ht="15" hidden="false" customHeight="false" outlineLevel="0" collapsed="false">
      <c r="A129" s="8"/>
      <c r="B129" s="8"/>
      <c r="C129" s="8"/>
      <c r="D129" s="8"/>
      <c r="E129" s="10" t="str">
        <f aca="false">IF(A129="","",COUNTIFS(DonHang!$C$2:$C$500,A129))</f>
        <v/>
      </c>
      <c r="F129" s="11" t="str">
        <f aca="false">IF(A129="","",SUMIFS(DonHang!$N$2:$N$500,DonHang!$C$2:$C$500,A129))</f>
        <v/>
      </c>
      <c r="G129" s="11" t="str">
        <f aca="false">IF(A129="","",SUMIFS(DonHang!$O$2:$O$500,DonHang!$C$2:$C$500,A129))</f>
        <v/>
      </c>
      <c r="H129" s="11" t="str">
        <f aca="false">IF(A129="","",F129-G129)</f>
        <v/>
      </c>
      <c r="I129" s="11" t="str">
        <f aca="false">IF(A129="","",SUMIFS(DonHang!$P$2:$P$500,DonHang!$C$2:$C$500,A129,DonHang!$R$2:$R$500,"&gt;0"))</f>
        <v/>
      </c>
      <c r="J129" s="8"/>
    </row>
    <row r="130" customFormat="false" ht="15" hidden="false" customHeight="false" outlineLevel="0" collapsed="false">
      <c r="A130" s="8"/>
      <c r="B130" s="8"/>
      <c r="C130" s="8"/>
      <c r="D130" s="8"/>
      <c r="E130" s="10" t="str">
        <f aca="false">IF(A130="","",COUNTIFS(DonHang!$C$2:$C$500,A130))</f>
        <v/>
      </c>
      <c r="F130" s="11" t="str">
        <f aca="false">IF(A130="","",SUMIFS(DonHang!$N$2:$N$500,DonHang!$C$2:$C$500,A130))</f>
        <v/>
      </c>
      <c r="G130" s="11" t="str">
        <f aca="false">IF(A130="","",SUMIFS(DonHang!$O$2:$O$500,DonHang!$C$2:$C$500,A130))</f>
        <v/>
      </c>
      <c r="H130" s="11" t="str">
        <f aca="false">IF(A130="","",F130-G130)</f>
        <v/>
      </c>
      <c r="I130" s="11" t="str">
        <f aca="false">IF(A130="","",SUMIFS(DonHang!$P$2:$P$500,DonHang!$C$2:$C$500,A130,DonHang!$R$2:$R$500,"&gt;0"))</f>
        <v/>
      </c>
      <c r="J130" s="8"/>
    </row>
    <row r="131" customFormat="false" ht="15" hidden="false" customHeight="false" outlineLevel="0" collapsed="false">
      <c r="A131" s="8"/>
      <c r="B131" s="8"/>
      <c r="C131" s="8"/>
      <c r="D131" s="8"/>
      <c r="E131" s="10" t="str">
        <f aca="false">IF(A131="","",COUNTIFS(DonHang!$C$2:$C$500,A131))</f>
        <v/>
      </c>
      <c r="F131" s="11" t="str">
        <f aca="false">IF(A131="","",SUMIFS(DonHang!$N$2:$N$500,DonHang!$C$2:$C$500,A131))</f>
        <v/>
      </c>
      <c r="G131" s="11" t="str">
        <f aca="false">IF(A131="","",SUMIFS(DonHang!$O$2:$O$500,DonHang!$C$2:$C$500,A131))</f>
        <v/>
      </c>
      <c r="H131" s="11" t="str">
        <f aca="false">IF(A131="","",F131-G131)</f>
        <v/>
      </c>
      <c r="I131" s="11" t="str">
        <f aca="false">IF(A131="","",SUMIFS(DonHang!$P$2:$P$500,DonHang!$C$2:$C$500,A131,DonHang!$R$2:$R$500,"&gt;0"))</f>
        <v/>
      </c>
      <c r="J131" s="8"/>
    </row>
    <row r="132" customFormat="false" ht="15" hidden="false" customHeight="false" outlineLevel="0" collapsed="false">
      <c r="A132" s="8"/>
      <c r="B132" s="8"/>
      <c r="C132" s="8"/>
      <c r="D132" s="8"/>
      <c r="E132" s="10" t="str">
        <f aca="false">IF(A132="","",COUNTIFS(DonHang!$C$2:$C$500,A132))</f>
        <v/>
      </c>
      <c r="F132" s="11" t="str">
        <f aca="false">IF(A132="","",SUMIFS(DonHang!$N$2:$N$500,DonHang!$C$2:$C$500,A132))</f>
        <v/>
      </c>
      <c r="G132" s="11" t="str">
        <f aca="false">IF(A132="","",SUMIFS(DonHang!$O$2:$O$500,DonHang!$C$2:$C$500,A132))</f>
        <v/>
      </c>
      <c r="H132" s="11" t="str">
        <f aca="false">IF(A132="","",F132-G132)</f>
        <v/>
      </c>
      <c r="I132" s="11" t="str">
        <f aca="false">IF(A132="","",SUMIFS(DonHang!$P$2:$P$500,DonHang!$C$2:$C$500,A132,DonHang!$R$2:$R$500,"&gt;0"))</f>
        <v/>
      </c>
      <c r="J132" s="8"/>
    </row>
    <row r="133" customFormat="false" ht="15" hidden="false" customHeight="false" outlineLevel="0" collapsed="false">
      <c r="A133" s="8"/>
      <c r="B133" s="8"/>
      <c r="C133" s="8"/>
      <c r="D133" s="8"/>
      <c r="E133" s="10" t="str">
        <f aca="false">IF(A133="","",COUNTIFS(DonHang!$C$2:$C$500,A133))</f>
        <v/>
      </c>
      <c r="F133" s="11" t="str">
        <f aca="false">IF(A133="","",SUMIFS(DonHang!$N$2:$N$500,DonHang!$C$2:$C$500,A133))</f>
        <v/>
      </c>
      <c r="G133" s="11" t="str">
        <f aca="false">IF(A133="","",SUMIFS(DonHang!$O$2:$O$500,DonHang!$C$2:$C$500,A133))</f>
        <v/>
      </c>
      <c r="H133" s="11" t="str">
        <f aca="false">IF(A133="","",F133-G133)</f>
        <v/>
      </c>
      <c r="I133" s="11" t="str">
        <f aca="false">IF(A133="","",SUMIFS(DonHang!$P$2:$P$500,DonHang!$C$2:$C$500,A133,DonHang!$R$2:$R$500,"&gt;0"))</f>
        <v/>
      </c>
      <c r="J133" s="8"/>
    </row>
    <row r="134" customFormat="false" ht="15" hidden="false" customHeight="false" outlineLevel="0" collapsed="false">
      <c r="A134" s="8"/>
      <c r="B134" s="8"/>
      <c r="C134" s="8"/>
      <c r="D134" s="8"/>
      <c r="E134" s="10" t="str">
        <f aca="false">IF(A134="","",COUNTIFS(DonHang!$C$2:$C$500,A134))</f>
        <v/>
      </c>
      <c r="F134" s="11" t="str">
        <f aca="false">IF(A134="","",SUMIFS(DonHang!$N$2:$N$500,DonHang!$C$2:$C$500,A134))</f>
        <v/>
      </c>
      <c r="G134" s="11" t="str">
        <f aca="false">IF(A134="","",SUMIFS(DonHang!$O$2:$O$500,DonHang!$C$2:$C$500,A134))</f>
        <v/>
      </c>
      <c r="H134" s="11" t="str">
        <f aca="false">IF(A134="","",F134-G134)</f>
        <v/>
      </c>
      <c r="I134" s="11" t="str">
        <f aca="false">IF(A134="","",SUMIFS(DonHang!$P$2:$P$500,DonHang!$C$2:$C$500,A134,DonHang!$R$2:$R$500,"&gt;0"))</f>
        <v/>
      </c>
      <c r="J134" s="8"/>
    </row>
    <row r="135" customFormat="false" ht="15" hidden="false" customHeight="false" outlineLevel="0" collapsed="false">
      <c r="A135" s="8"/>
      <c r="B135" s="8"/>
      <c r="C135" s="8"/>
      <c r="D135" s="8"/>
      <c r="E135" s="10" t="str">
        <f aca="false">IF(A135="","",COUNTIFS(DonHang!$C$2:$C$500,A135))</f>
        <v/>
      </c>
      <c r="F135" s="11" t="str">
        <f aca="false">IF(A135="","",SUMIFS(DonHang!$N$2:$N$500,DonHang!$C$2:$C$500,A135))</f>
        <v/>
      </c>
      <c r="G135" s="11" t="str">
        <f aca="false">IF(A135="","",SUMIFS(DonHang!$O$2:$O$500,DonHang!$C$2:$C$500,A135))</f>
        <v/>
      </c>
      <c r="H135" s="11" t="str">
        <f aca="false">IF(A135="","",F135-G135)</f>
        <v/>
      </c>
      <c r="I135" s="11" t="str">
        <f aca="false">IF(A135="","",SUMIFS(DonHang!$P$2:$P$500,DonHang!$C$2:$C$500,A135,DonHang!$R$2:$R$500,"&gt;0"))</f>
        <v/>
      </c>
      <c r="J135" s="8"/>
    </row>
    <row r="136" customFormat="false" ht="15" hidden="false" customHeight="false" outlineLevel="0" collapsed="false">
      <c r="A136" s="8"/>
      <c r="B136" s="8"/>
      <c r="C136" s="8"/>
      <c r="D136" s="8"/>
      <c r="E136" s="10" t="str">
        <f aca="false">IF(A136="","",COUNTIFS(DonHang!$C$2:$C$500,A136))</f>
        <v/>
      </c>
      <c r="F136" s="11" t="str">
        <f aca="false">IF(A136="","",SUMIFS(DonHang!$N$2:$N$500,DonHang!$C$2:$C$500,A136))</f>
        <v/>
      </c>
      <c r="G136" s="11" t="str">
        <f aca="false">IF(A136="","",SUMIFS(DonHang!$O$2:$O$500,DonHang!$C$2:$C$500,A136))</f>
        <v/>
      </c>
      <c r="H136" s="11" t="str">
        <f aca="false">IF(A136="","",F136-G136)</f>
        <v/>
      </c>
      <c r="I136" s="11" t="str">
        <f aca="false">IF(A136="","",SUMIFS(DonHang!$P$2:$P$500,DonHang!$C$2:$C$500,A136,DonHang!$R$2:$R$500,"&gt;0"))</f>
        <v/>
      </c>
      <c r="J136" s="8"/>
    </row>
    <row r="137" customFormat="false" ht="15" hidden="false" customHeight="false" outlineLevel="0" collapsed="false">
      <c r="A137" s="8"/>
      <c r="B137" s="8"/>
      <c r="C137" s="8"/>
      <c r="D137" s="8"/>
      <c r="E137" s="10" t="str">
        <f aca="false">IF(A137="","",COUNTIFS(DonHang!$C$2:$C$500,A137))</f>
        <v/>
      </c>
      <c r="F137" s="11" t="str">
        <f aca="false">IF(A137="","",SUMIFS(DonHang!$N$2:$N$500,DonHang!$C$2:$C$500,A137))</f>
        <v/>
      </c>
      <c r="G137" s="11" t="str">
        <f aca="false">IF(A137="","",SUMIFS(DonHang!$O$2:$O$500,DonHang!$C$2:$C$500,A137))</f>
        <v/>
      </c>
      <c r="H137" s="11" t="str">
        <f aca="false">IF(A137="","",F137-G137)</f>
        <v/>
      </c>
      <c r="I137" s="11" t="str">
        <f aca="false">IF(A137="","",SUMIFS(DonHang!$P$2:$P$500,DonHang!$C$2:$C$500,A137,DonHang!$R$2:$R$500,"&gt;0"))</f>
        <v/>
      </c>
      <c r="J137" s="8"/>
    </row>
    <row r="138" customFormat="false" ht="15" hidden="false" customHeight="false" outlineLevel="0" collapsed="false">
      <c r="A138" s="8"/>
      <c r="B138" s="8"/>
      <c r="C138" s="8"/>
      <c r="D138" s="8"/>
      <c r="E138" s="10" t="str">
        <f aca="false">IF(A138="","",COUNTIFS(DonHang!$C$2:$C$500,A138))</f>
        <v/>
      </c>
      <c r="F138" s="11" t="str">
        <f aca="false">IF(A138="","",SUMIFS(DonHang!$N$2:$N$500,DonHang!$C$2:$C$500,A138))</f>
        <v/>
      </c>
      <c r="G138" s="11" t="str">
        <f aca="false">IF(A138="","",SUMIFS(DonHang!$O$2:$O$500,DonHang!$C$2:$C$500,A138))</f>
        <v/>
      </c>
      <c r="H138" s="11" t="str">
        <f aca="false">IF(A138="","",F138-G138)</f>
        <v/>
      </c>
      <c r="I138" s="11" t="str">
        <f aca="false">IF(A138="","",SUMIFS(DonHang!$P$2:$P$500,DonHang!$C$2:$C$500,A138,DonHang!$R$2:$R$500,"&gt;0"))</f>
        <v/>
      </c>
      <c r="J138" s="8"/>
    </row>
    <row r="139" customFormat="false" ht="15" hidden="false" customHeight="false" outlineLevel="0" collapsed="false">
      <c r="A139" s="8"/>
      <c r="B139" s="8"/>
      <c r="C139" s="8"/>
      <c r="D139" s="8"/>
      <c r="E139" s="10" t="str">
        <f aca="false">IF(A139="","",COUNTIFS(DonHang!$C$2:$C$500,A139))</f>
        <v/>
      </c>
      <c r="F139" s="11" t="str">
        <f aca="false">IF(A139="","",SUMIFS(DonHang!$N$2:$N$500,DonHang!$C$2:$C$500,A139))</f>
        <v/>
      </c>
      <c r="G139" s="11" t="str">
        <f aca="false">IF(A139="","",SUMIFS(DonHang!$O$2:$O$500,DonHang!$C$2:$C$500,A139))</f>
        <v/>
      </c>
      <c r="H139" s="11" t="str">
        <f aca="false">IF(A139="","",F139-G139)</f>
        <v/>
      </c>
      <c r="I139" s="11" t="str">
        <f aca="false">IF(A139="","",SUMIFS(DonHang!$P$2:$P$500,DonHang!$C$2:$C$500,A139,DonHang!$R$2:$R$500,"&gt;0"))</f>
        <v/>
      </c>
      <c r="J139" s="8"/>
    </row>
    <row r="140" customFormat="false" ht="15" hidden="false" customHeight="false" outlineLevel="0" collapsed="false">
      <c r="A140" s="8"/>
      <c r="B140" s="8"/>
      <c r="C140" s="8"/>
      <c r="D140" s="8"/>
      <c r="E140" s="10" t="str">
        <f aca="false">IF(A140="","",COUNTIFS(DonHang!$C$2:$C$500,A140))</f>
        <v/>
      </c>
      <c r="F140" s="11" t="str">
        <f aca="false">IF(A140="","",SUMIFS(DonHang!$N$2:$N$500,DonHang!$C$2:$C$500,A140))</f>
        <v/>
      </c>
      <c r="G140" s="11" t="str">
        <f aca="false">IF(A140="","",SUMIFS(DonHang!$O$2:$O$500,DonHang!$C$2:$C$500,A140))</f>
        <v/>
      </c>
      <c r="H140" s="11" t="str">
        <f aca="false">IF(A140="","",F140-G140)</f>
        <v/>
      </c>
      <c r="I140" s="11" t="str">
        <f aca="false">IF(A140="","",SUMIFS(DonHang!$P$2:$P$500,DonHang!$C$2:$C$500,A140,DonHang!$R$2:$R$500,"&gt;0"))</f>
        <v/>
      </c>
      <c r="J140" s="8"/>
    </row>
    <row r="141" customFormat="false" ht="15" hidden="false" customHeight="false" outlineLevel="0" collapsed="false">
      <c r="A141" s="8"/>
      <c r="B141" s="8"/>
      <c r="C141" s="8"/>
      <c r="D141" s="8"/>
      <c r="E141" s="10" t="str">
        <f aca="false">IF(A141="","",COUNTIFS(DonHang!$C$2:$C$500,A141))</f>
        <v/>
      </c>
      <c r="F141" s="11" t="str">
        <f aca="false">IF(A141="","",SUMIFS(DonHang!$N$2:$N$500,DonHang!$C$2:$C$500,A141))</f>
        <v/>
      </c>
      <c r="G141" s="11" t="str">
        <f aca="false">IF(A141="","",SUMIFS(DonHang!$O$2:$O$500,DonHang!$C$2:$C$500,A141))</f>
        <v/>
      </c>
      <c r="H141" s="11" t="str">
        <f aca="false">IF(A141="","",F141-G141)</f>
        <v/>
      </c>
      <c r="I141" s="11" t="str">
        <f aca="false">IF(A141="","",SUMIFS(DonHang!$P$2:$P$500,DonHang!$C$2:$C$500,A141,DonHang!$R$2:$R$500,"&gt;0"))</f>
        <v/>
      </c>
      <c r="J141" s="8"/>
    </row>
    <row r="142" customFormat="false" ht="15" hidden="false" customHeight="false" outlineLevel="0" collapsed="false">
      <c r="A142" s="8"/>
      <c r="B142" s="8"/>
      <c r="C142" s="8"/>
      <c r="D142" s="8"/>
      <c r="E142" s="10" t="str">
        <f aca="false">IF(A142="","",COUNTIFS(DonHang!$C$2:$C$500,A142))</f>
        <v/>
      </c>
      <c r="F142" s="11" t="str">
        <f aca="false">IF(A142="","",SUMIFS(DonHang!$N$2:$N$500,DonHang!$C$2:$C$500,A142))</f>
        <v/>
      </c>
      <c r="G142" s="11" t="str">
        <f aca="false">IF(A142="","",SUMIFS(DonHang!$O$2:$O$500,DonHang!$C$2:$C$500,A142))</f>
        <v/>
      </c>
      <c r="H142" s="11" t="str">
        <f aca="false">IF(A142="","",F142-G142)</f>
        <v/>
      </c>
      <c r="I142" s="11" t="str">
        <f aca="false">IF(A142="","",SUMIFS(DonHang!$P$2:$P$500,DonHang!$C$2:$C$500,A142,DonHang!$R$2:$R$500,"&gt;0"))</f>
        <v/>
      </c>
      <c r="J142" s="8"/>
    </row>
    <row r="143" customFormat="false" ht="15" hidden="false" customHeight="false" outlineLevel="0" collapsed="false">
      <c r="A143" s="8"/>
      <c r="B143" s="8"/>
      <c r="C143" s="8"/>
      <c r="D143" s="8"/>
      <c r="E143" s="10" t="str">
        <f aca="false">IF(A143="","",COUNTIFS(DonHang!$C$2:$C$500,A143))</f>
        <v/>
      </c>
      <c r="F143" s="11" t="str">
        <f aca="false">IF(A143="","",SUMIFS(DonHang!$N$2:$N$500,DonHang!$C$2:$C$500,A143))</f>
        <v/>
      </c>
      <c r="G143" s="11" t="str">
        <f aca="false">IF(A143="","",SUMIFS(DonHang!$O$2:$O$500,DonHang!$C$2:$C$500,A143))</f>
        <v/>
      </c>
      <c r="H143" s="11" t="str">
        <f aca="false">IF(A143="","",F143-G143)</f>
        <v/>
      </c>
      <c r="I143" s="11" t="str">
        <f aca="false">IF(A143="","",SUMIFS(DonHang!$P$2:$P$500,DonHang!$C$2:$C$500,A143,DonHang!$R$2:$R$500,"&gt;0"))</f>
        <v/>
      </c>
      <c r="J143" s="8"/>
    </row>
    <row r="144" customFormat="false" ht="15" hidden="false" customHeight="false" outlineLevel="0" collapsed="false">
      <c r="A144" s="8"/>
      <c r="B144" s="8"/>
      <c r="C144" s="8"/>
      <c r="D144" s="8"/>
      <c r="E144" s="10" t="str">
        <f aca="false">IF(A144="","",COUNTIFS(DonHang!$C$2:$C$500,A144))</f>
        <v/>
      </c>
      <c r="F144" s="11" t="str">
        <f aca="false">IF(A144="","",SUMIFS(DonHang!$N$2:$N$500,DonHang!$C$2:$C$500,A144))</f>
        <v/>
      </c>
      <c r="G144" s="11" t="str">
        <f aca="false">IF(A144="","",SUMIFS(DonHang!$O$2:$O$500,DonHang!$C$2:$C$500,A144))</f>
        <v/>
      </c>
      <c r="H144" s="11" t="str">
        <f aca="false">IF(A144="","",F144-G144)</f>
        <v/>
      </c>
      <c r="I144" s="11" t="str">
        <f aca="false">IF(A144="","",SUMIFS(DonHang!$P$2:$P$500,DonHang!$C$2:$C$500,A144,DonHang!$R$2:$R$500,"&gt;0"))</f>
        <v/>
      </c>
      <c r="J144" s="8"/>
    </row>
    <row r="145" customFormat="false" ht="15" hidden="false" customHeight="false" outlineLevel="0" collapsed="false">
      <c r="A145" s="8"/>
      <c r="B145" s="8"/>
      <c r="C145" s="8"/>
      <c r="D145" s="8"/>
      <c r="E145" s="10" t="str">
        <f aca="false">IF(A145="","",COUNTIFS(DonHang!$C$2:$C$500,A145))</f>
        <v/>
      </c>
      <c r="F145" s="11" t="str">
        <f aca="false">IF(A145="","",SUMIFS(DonHang!$N$2:$N$500,DonHang!$C$2:$C$500,A145))</f>
        <v/>
      </c>
      <c r="G145" s="11" t="str">
        <f aca="false">IF(A145="","",SUMIFS(DonHang!$O$2:$O$500,DonHang!$C$2:$C$500,A145))</f>
        <v/>
      </c>
      <c r="H145" s="11" t="str">
        <f aca="false">IF(A145="","",F145-G145)</f>
        <v/>
      </c>
      <c r="I145" s="11" t="str">
        <f aca="false">IF(A145="","",SUMIFS(DonHang!$P$2:$P$500,DonHang!$C$2:$C$500,A145,DonHang!$R$2:$R$500,"&gt;0"))</f>
        <v/>
      </c>
      <c r="J145" s="8"/>
    </row>
    <row r="146" customFormat="false" ht="15" hidden="false" customHeight="false" outlineLevel="0" collapsed="false">
      <c r="A146" s="8"/>
      <c r="B146" s="8"/>
      <c r="C146" s="8"/>
      <c r="D146" s="8"/>
      <c r="E146" s="10" t="str">
        <f aca="false">IF(A146="","",COUNTIFS(DonHang!$C$2:$C$500,A146))</f>
        <v/>
      </c>
      <c r="F146" s="11" t="str">
        <f aca="false">IF(A146="","",SUMIFS(DonHang!$N$2:$N$500,DonHang!$C$2:$C$500,A146))</f>
        <v/>
      </c>
      <c r="G146" s="11" t="str">
        <f aca="false">IF(A146="","",SUMIFS(DonHang!$O$2:$O$500,DonHang!$C$2:$C$500,A146))</f>
        <v/>
      </c>
      <c r="H146" s="11" t="str">
        <f aca="false">IF(A146="","",F146-G146)</f>
        <v/>
      </c>
      <c r="I146" s="11" t="str">
        <f aca="false">IF(A146="","",SUMIFS(DonHang!$P$2:$P$500,DonHang!$C$2:$C$500,A146,DonHang!$R$2:$R$500,"&gt;0"))</f>
        <v/>
      </c>
      <c r="J146" s="8"/>
    </row>
    <row r="147" customFormat="false" ht="15" hidden="false" customHeight="false" outlineLevel="0" collapsed="false">
      <c r="A147" s="8"/>
      <c r="B147" s="8"/>
      <c r="C147" s="8"/>
      <c r="D147" s="8"/>
      <c r="E147" s="10" t="str">
        <f aca="false">IF(A147="","",COUNTIFS(DonHang!$C$2:$C$500,A147))</f>
        <v/>
      </c>
      <c r="F147" s="11" t="str">
        <f aca="false">IF(A147="","",SUMIFS(DonHang!$N$2:$N$500,DonHang!$C$2:$C$500,A147))</f>
        <v/>
      </c>
      <c r="G147" s="11" t="str">
        <f aca="false">IF(A147="","",SUMIFS(DonHang!$O$2:$O$500,DonHang!$C$2:$C$500,A147))</f>
        <v/>
      </c>
      <c r="H147" s="11" t="str">
        <f aca="false">IF(A147="","",F147-G147)</f>
        <v/>
      </c>
      <c r="I147" s="11" t="str">
        <f aca="false">IF(A147="","",SUMIFS(DonHang!$P$2:$P$500,DonHang!$C$2:$C$500,A147,DonHang!$R$2:$R$500,"&gt;0"))</f>
        <v/>
      </c>
      <c r="J147" s="8"/>
    </row>
    <row r="148" customFormat="false" ht="15" hidden="false" customHeight="false" outlineLevel="0" collapsed="false">
      <c r="A148" s="8"/>
      <c r="B148" s="8"/>
      <c r="C148" s="8"/>
      <c r="D148" s="8"/>
      <c r="E148" s="10" t="str">
        <f aca="false">IF(A148="","",COUNTIFS(DonHang!$C$2:$C$500,A148))</f>
        <v/>
      </c>
      <c r="F148" s="11" t="str">
        <f aca="false">IF(A148="","",SUMIFS(DonHang!$N$2:$N$500,DonHang!$C$2:$C$500,A148))</f>
        <v/>
      </c>
      <c r="G148" s="11" t="str">
        <f aca="false">IF(A148="","",SUMIFS(DonHang!$O$2:$O$500,DonHang!$C$2:$C$500,A148))</f>
        <v/>
      </c>
      <c r="H148" s="11" t="str">
        <f aca="false">IF(A148="","",F148-G148)</f>
        <v/>
      </c>
      <c r="I148" s="11" t="str">
        <f aca="false">IF(A148="","",SUMIFS(DonHang!$P$2:$P$500,DonHang!$C$2:$C$500,A148,DonHang!$R$2:$R$500,"&gt;0"))</f>
        <v/>
      </c>
      <c r="J148" s="8"/>
    </row>
    <row r="149" customFormat="false" ht="15" hidden="false" customHeight="false" outlineLevel="0" collapsed="false">
      <c r="A149" s="8"/>
      <c r="B149" s="8"/>
      <c r="C149" s="8"/>
      <c r="D149" s="8"/>
      <c r="E149" s="10" t="str">
        <f aca="false">IF(A149="","",COUNTIFS(DonHang!$C$2:$C$500,A149))</f>
        <v/>
      </c>
      <c r="F149" s="11" t="str">
        <f aca="false">IF(A149="","",SUMIFS(DonHang!$N$2:$N$500,DonHang!$C$2:$C$500,A149))</f>
        <v/>
      </c>
      <c r="G149" s="11" t="str">
        <f aca="false">IF(A149="","",SUMIFS(DonHang!$O$2:$O$500,DonHang!$C$2:$C$500,A149))</f>
        <v/>
      </c>
      <c r="H149" s="11" t="str">
        <f aca="false">IF(A149="","",F149-G149)</f>
        <v/>
      </c>
      <c r="I149" s="11" t="str">
        <f aca="false">IF(A149="","",SUMIFS(DonHang!$P$2:$P$500,DonHang!$C$2:$C$500,A149,DonHang!$R$2:$R$500,"&gt;0"))</f>
        <v/>
      </c>
      <c r="J149" s="8"/>
    </row>
    <row r="150" customFormat="false" ht="15" hidden="false" customHeight="false" outlineLevel="0" collapsed="false">
      <c r="A150" s="8"/>
      <c r="B150" s="8"/>
      <c r="C150" s="8"/>
      <c r="D150" s="8"/>
      <c r="E150" s="10" t="str">
        <f aca="false">IF(A150="","",COUNTIFS(DonHang!$C$2:$C$500,A150))</f>
        <v/>
      </c>
      <c r="F150" s="11" t="str">
        <f aca="false">IF(A150="","",SUMIFS(DonHang!$N$2:$N$500,DonHang!$C$2:$C$500,A150))</f>
        <v/>
      </c>
      <c r="G150" s="11" t="str">
        <f aca="false">IF(A150="","",SUMIFS(DonHang!$O$2:$O$500,DonHang!$C$2:$C$500,A150))</f>
        <v/>
      </c>
      <c r="H150" s="11" t="str">
        <f aca="false">IF(A150="","",F150-G150)</f>
        <v/>
      </c>
      <c r="I150" s="11" t="str">
        <f aca="false">IF(A150="","",SUMIFS(DonHang!$P$2:$P$500,DonHang!$C$2:$C$500,A150,DonHang!$R$2:$R$500,"&gt;0"))</f>
        <v/>
      </c>
      <c r="J150" s="8"/>
    </row>
    <row r="151" customFormat="false" ht="15" hidden="false" customHeight="false" outlineLevel="0" collapsed="false">
      <c r="A151" s="8"/>
      <c r="B151" s="8"/>
      <c r="C151" s="8"/>
      <c r="D151" s="8"/>
      <c r="E151" s="10" t="str">
        <f aca="false">IF(A151="","",COUNTIFS(DonHang!$C$2:$C$500,A151))</f>
        <v/>
      </c>
      <c r="F151" s="11" t="str">
        <f aca="false">IF(A151="","",SUMIFS(DonHang!$N$2:$N$500,DonHang!$C$2:$C$500,A151))</f>
        <v/>
      </c>
      <c r="G151" s="11" t="str">
        <f aca="false">IF(A151="","",SUMIFS(DonHang!$O$2:$O$500,DonHang!$C$2:$C$500,A151))</f>
        <v/>
      </c>
      <c r="H151" s="11" t="str">
        <f aca="false">IF(A151="","",F151-G151)</f>
        <v/>
      </c>
      <c r="I151" s="11" t="str">
        <f aca="false">IF(A151="","",SUMIFS(DonHang!$P$2:$P$500,DonHang!$C$2:$C$500,A151,DonHang!$R$2:$R$500,"&gt;0"))</f>
        <v/>
      </c>
      <c r="J151" s="8"/>
    </row>
    <row r="152" customFormat="false" ht="15" hidden="false" customHeight="false" outlineLevel="0" collapsed="false">
      <c r="A152" s="8"/>
      <c r="B152" s="8"/>
      <c r="C152" s="8"/>
      <c r="D152" s="8"/>
      <c r="E152" s="10" t="str">
        <f aca="false">IF(A152="","",COUNTIFS(DonHang!$C$2:$C$500,A152))</f>
        <v/>
      </c>
      <c r="F152" s="11" t="str">
        <f aca="false">IF(A152="","",SUMIFS(DonHang!$N$2:$N$500,DonHang!$C$2:$C$500,A152))</f>
        <v/>
      </c>
      <c r="G152" s="11" t="str">
        <f aca="false">IF(A152="","",SUMIFS(DonHang!$O$2:$O$500,DonHang!$C$2:$C$500,A152))</f>
        <v/>
      </c>
      <c r="H152" s="11" t="str">
        <f aca="false">IF(A152="","",F152-G152)</f>
        <v/>
      </c>
      <c r="I152" s="11" t="str">
        <f aca="false">IF(A152="","",SUMIFS(DonHang!$P$2:$P$500,DonHang!$C$2:$C$500,A152,DonHang!$R$2:$R$500,"&gt;0"))</f>
        <v/>
      </c>
      <c r="J152" s="8"/>
    </row>
    <row r="153" customFormat="false" ht="15" hidden="false" customHeight="false" outlineLevel="0" collapsed="false">
      <c r="A153" s="8"/>
      <c r="B153" s="8"/>
      <c r="C153" s="8"/>
      <c r="D153" s="8"/>
      <c r="E153" s="10" t="str">
        <f aca="false">IF(A153="","",COUNTIFS(DonHang!$C$2:$C$500,A153))</f>
        <v/>
      </c>
      <c r="F153" s="11" t="str">
        <f aca="false">IF(A153="","",SUMIFS(DonHang!$N$2:$N$500,DonHang!$C$2:$C$500,A153))</f>
        <v/>
      </c>
      <c r="G153" s="11" t="str">
        <f aca="false">IF(A153="","",SUMIFS(DonHang!$O$2:$O$500,DonHang!$C$2:$C$500,A153))</f>
        <v/>
      </c>
      <c r="H153" s="11" t="str">
        <f aca="false">IF(A153="","",F153-G153)</f>
        <v/>
      </c>
      <c r="I153" s="11" t="str">
        <f aca="false">IF(A153="","",SUMIFS(DonHang!$P$2:$P$500,DonHang!$C$2:$C$500,A153,DonHang!$R$2:$R$500,"&gt;0"))</f>
        <v/>
      </c>
      <c r="J153" s="8"/>
    </row>
    <row r="154" customFormat="false" ht="15" hidden="false" customHeight="false" outlineLevel="0" collapsed="false">
      <c r="A154" s="8"/>
      <c r="B154" s="8"/>
      <c r="C154" s="8"/>
      <c r="D154" s="8"/>
      <c r="E154" s="10" t="str">
        <f aca="false">IF(A154="","",COUNTIFS(DonHang!$C$2:$C$500,A154))</f>
        <v/>
      </c>
      <c r="F154" s="11" t="str">
        <f aca="false">IF(A154="","",SUMIFS(DonHang!$N$2:$N$500,DonHang!$C$2:$C$500,A154))</f>
        <v/>
      </c>
      <c r="G154" s="11" t="str">
        <f aca="false">IF(A154="","",SUMIFS(DonHang!$O$2:$O$500,DonHang!$C$2:$C$500,A154))</f>
        <v/>
      </c>
      <c r="H154" s="11" t="str">
        <f aca="false">IF(A154="","",F154-G154)</f>
        <v/>
      </c>
      <c r="I154" s="11" t="str">
        <f aca="false">IF(A154="","",SUMIFS(DonHang!$P$2:$P$500,DonHang!$C$2:$C$500,A154,DonHang!$R$2:$R$500,"&gt;0"))</f>
        <v/>
      </c>
      <c r="J154" s="8"/>
    </row>
    <row r="155" customFormat="false" ht="15" hidden="false" customHeight="false" outlineLevel="0" collapsed="false">
      <c r="A155" s="8"/>
      <c r="B155" s="8"/>
      <c r="C155" s="8"/>
      <c r="D155" s="8"/>
      <c r="E155" s="10" t="str">
        <f aca="false">IF(A155="","",COUNTIFS(DonHang!$C$2:$C$500,A155))</f>
        <v/>
      </c>
      <c r="F155" s="11" t="str">
        <f aca="false">IF(A155="","",SUMIFS(DonHang!$N$2:$N$500,DonHang!$C$2:$C$500,A155))</f>
        <v/>
      </c>
      <c r="G155" s="11" t="str">
        <f aca="false">IF(A155="","",SUMIFS(DonHang!$O$2:$O$500,DonHang!$C$2:$C$500,A155))</f>
        <v/>
      </c>
      <c r="H155" s="11" t="str">
        <f aca="false">IF(A155="","",F155-G155)</f>
        <v/>
      </c>
      <c r="I155" s="11" t="str">
        <f aca="false">IF(A155="","",SUMIFS(DonHang!$P$2:$P$500,DonHang!$C$2:$C$500,A155,DonHang!$R$2:$R$500,"&gt;0"))</f>
        <v/>
      </c>
      <c r="J155" s="8"/>
    </row>
    <row r="156" customFormat="false" ht="15" hidden="false" customHeight="false" outlineLevel="0" collapsed="false">
      <c r="A156" s="8"/>
      <c r="B156" s="8"/>
      <c r="C156" s="8"/>
      <c r="D156" s="8"/>
      <c r="E156" s="10" t="str">
        <f aca="false">IF(A156="","",COUNTIFS(DonHang!$C$2:$C$500,A156))</f>
        <v/>
      </c>
      <c r="F156" s="11" t="str">
        <f aca="false">IF(A156="","",SUMIFS(DonHang!$N$2:$N$500,DonHang!$C$2:$C$500,A156))</f>
        <v/>
      </c>
      <c r="G156" s="11" t="str">
        <f aca="false">IF(A156="","",SUMIFS(DonHang!$O$2:$O$500,DonHang!$C$2:$C$500,A156))</f>
        <v/>
      </c>
      <c r="H156" s="11" t="str">
        <f aca="false">IF(A156="","",F156-G156)</f>
        <v/>
      </c>
      <c r="I156" s="11" t="str">
        <f aca="false">IF(A156="","",SUMIFS(DonHang!$P$2:$P$500,DonHang!$C$2:$C$500,A156,DonHang!$R$2:$R$500,"&gt;0"))</f>
        <v/>
      </c>
      <c r="J156" s="8"/>
    </row>
    <row r="157" customFormat="false" ht="15" hidden="false" customHeight="false" outlineLevel="0" collapsed="false">
      <c r="A157" s="8"/>
      <c r="B157" s="8"/>
      <c r="C157" s="8"/>
      <c r="D157" s="8"/>
      <c r="E157" s="10" t="str">
        <f aca="false">IF(A157="","",COUNTIFS(DonHang!$C$2:$C$500,A157))</f>
        <v/>
      </c>
      <c r="F157" s="11" t="str">
        <f aca="false">IF(A157="","",SUMIFS(DonHang!$N$2:$N$500,DonHang!$C$2:$C$500,A157))</f>
        <v/>
      </c>
      <c r="G157" s="11" t="str">
        <f aca="false">IF(A157="","",SUMIFS(DonHang!$O$2:$O$500,DonHang!$C$2:$C$500,A157))</f>
        <v/>
      </c>
      <c r="H157" s="11" t="str">
        <f aca="false">IF(A157="","",F157-G157)</f>
        <v/>
      </c>
      <c r="I157" s="11" t="str">
        <f aca="false">IF(A157="","",SUMIFS(DonHang!$P$2:$P$500,DonHang!$C$2:$C$500,A157,DonHang!$R$2:$R$500,"&gt;0"))</f>
        <v/>
      </c>
      <c r="J157" s="8"/>
    </row>
    <row r="158" customFormat="false" ht="15" hidden="false" customHeight="false" outlineLevel="0" collapsed="false">
      <c r="A158" s="8"/>
      <c r="B158" s="8"/>
      <c r="C158" s="8"/>
      <c r="D158" s="8"/>
      <c r="E158" s="10" t="str">
        <f aca="false">IF(A158="","",COUNTIFS(DonHang!$C$2:$C$500,A158))</f>
        <v/>
      </c>
      <c r="F158" s="11" t="str">
        <f aca="false">IF(A158="","",SUMIFS(DonHang!$N$2:$N$500,DonHang!$C$2:$C$500,A158))</f>
        <v/>
      </c>
      <c r="G158" s="11" t="str">
        <f aca="false">IF(A158="","",SUMIFS(DonHang!$O$2:$O$500,DonHang!$C$2:$C$500,A158))</f>
        <v/>
      </c>
      <c r="H158" s="11" t="str">
        <f aca="false">IF(A158="","",F158-G158)</f>
        <v/>
      </c>
      <c r="I158" s="11" t="str">
        <f aca="false">IF(A158="","",SUMIFS(DonHang!$P$2:$P$500,DonHang!$C$2:$C$500,A158,DonHang!$R$2:$R$500,"&gt;0"))</f>
        <v/>
      </c>
      <c r="J158" s="8"/>
    </row>
    <row r="159" customFormat="false" ht="15" hidden="false" customHeight="false" outlineLevel="0" collapsed="false">
      <c r="A159" s="8"/>
      <c r="B159" s="8"/>
      <c r="C159" s="8"/>
      <c r="D159" s="8"/>
      <c r="E159" s="10" t="str">
        <f aca="false">IF(A159="","",COUNTIFS(DonHang!$C$2:$C$500,A159))</f>
        <v/>
      </c>
      <c r="F159" s="11" t="str">
        <f aca="false">IF(A159="","",SUMIFS(DonHang!$N$2:$N$500,DonHang!$C$2:$C$500,A159))</f>
        <v/>
      </c>
      <c r="G159" s="11" t="str">
        <f aca="false">IF(A159="","",SUMIFS(DonHang!$O$2:$O$500,DonHang!$C$2:$C$500,A159))</f>
        <v/>
      </c>
      <c r="H159" s="11" t="str">
        <f aca="false">IF(A159="","",F159-G159)</f>
        <v/>
      </c>
      <c r="I159" s="11" t="str">
        <f aca="false">IF(A159="","",SUMIFS(DonHang!$P$2:$P$500,DonHang!$C$2:$C$500,A159,DonHang!$R$2:$R$500,"&gt;0"))</f>
        <v/>
      </c>
      <c r="J159" s="8"/>
    </row>
    <row r="160" customFormat="false" ht="15" hidden="false" customHeight="false" outlineLevel="0" collapsed="false">
      <c r="A160" s="8"/>
      <c r="B160" s="8"/>
      <c r="C160" s="8"/>
      <c r="D160" s="8"/>
      <c r="E160" s="10" t="str">
        <f aca="false">IF(A160="","",COUNTIFS(DonHang!$C$2:$C$500,A160))</f>
        <v/>
      </c>
      <c r="F160" s="11" t="str">
        <f aca="false">IF(A160="","",SUMIFS(DonHang!$N$2:$N$500,DonHang!$C$2:$C$500,A160))</f>
        <v/>
      </c>
      <c r="G160" s="11" t="str">
        <f aca="false">IF(A160="","",SUMIFS(DonHang!$O$2:$O$500,DonHang!$C$2:$C$500,A160))</f>
        <v/>
      </c>
      <c r="H160" s="11" t="str">
        <f aca="false">IF(A160="","",F160-G160)</f>
        <v/>
      </c>
      <c r="I160" s="11" t="str">
        <f aca="false">IF(A160="","",SUMIFS(DonHang!$P$2:$P$500,DonHang!$C$2:$C$500,A160,DonHang!$R$2:$R$500,"&gt;0"))</f>
        <v/>
      </c>
      <c r="J160" s="8"/>
    </row>
    <row r="161" customFormat="false" ht="15" hidden="false" customHeight="false" outlineLevel="0" collapsed="false">
      <c r="A161" s="8"/>
      <c r="B161" s="8"/>
      <c r="C161" s="8"/>
      <c r="D161" s="8"/>
      <c r="E161" s="10" t="str">
        <f aca="false">IF(A161="","",COUNTIFS(DonHang!$C$2:$C$500,A161))</f>
        <v/>
      </c>
      <c r="F161" s="11" t="str">
        <f aca="false">IF(A161="","",SUMIFS(DonHang!$N$2:$N$500,DonHang!$C$2:$C$500,A161))</f>
        <v/>
      </c>
      <c r="G161" s="11" t="str">
        <f aca="false">IF(A161="","",SUMIFS(DonHang!$O$2:$O$500,DonHang!$C$2:$C$500,A161))</f>
        <v/>
      </c>
      <c r="H161" s="11" t="str">
        <f aca="false">IF(A161="","",F161-G161)</f>
        <v/>
      </c>
      <c r="I161" s="11" t="str">
        <f aca="false">IF(A161="","",SUMIFS(DonHang!$P$2:$P$500,DonHang!$C$2:$C$500,A161,DonHang!$R$2:$R$500,"&gt;0"))</f>
        <v/>
      </c>
      <c r="J161" s="8"/>
    </row>
    <row r="162" customFormat="false" ht="15" hidden="false" customHeight="false" outlineLevel="0" collapsed="false">
      <c r="A162" s="8"/>
      <c r="B162" s="8"/>
      <c r="C162" s="8"/>
      <c r="D162" s="8"/>
      <c r="E162" s="10" t="str">
        <f aca="false">IF(A162="","",COUNTIFS(DonHang!$C$2:$C$500,A162))</f>
        <v/>
      </c>
      <c r="F162" s="11" t="str">
        <f aca="false">IF(A162="","",SUMIFS(DonHang!$N$2:$N$500,DonHang!$C$2:$C$500,A162))</f>
        <v/>
      </c>
      <c r="G162" s="11" t="str">
        <f aca="false">IF(A162="","",SUMIFS(DonHang!$O$2:$O$500,DonHang!$C$2:$C$500,A162))</f>
        <v/>
      </c>
      <c r="H162" s="11" t="str">
        <f aca="false">IF(A162="","",F162-G162)</f>
        <v/>
      </c>
      <c r="I162" s="11" t="str">
        <f aca="false">IF(A162="","",SUMIFS(DonHang!$P$2:$P$500,DonHang!$C$2:$C$500,A162,DonHang!$R$2:$R$500,"&gt;0"))</f>
        <v/>
      </c>
      <c r="J162" s="8"/>
    </row>
    <row r="163" customFormat="false" ht="15" hidden="false" customHeight="false" outlineLevel="0" collapsed="false">
      <c r="A163" s="8"/>
      <c r="B163" s="8"/>
      <c r="C163" s="8"/>
      <c r="D163" s="8"/>
      <c r="E163" s="10" t="str">
        <f aca="false">IF(A163="","",COUNTIFS(DonHang!$C$2:$C$500,A163))</f>
        <v/>
      </c>
      <c r="F163" s="11" t="str">
        <f aca="false">IF(A163="","",SUMIFS(DonHang!$N$2:$N$500,DonHang!$C$2:$C$500,A163))</f>
        <v/>
      </c>
      <c r="G163" s="11" t="str">
        <f aca="false">IF(A163="","",SUMIFS(DonHang!$O$2:$O$500,DonHang!$C$2:$C$500,A163))</f>
        <v/>
      </c>
      <c r="H163" s="11" t="str">
        <f aca="false">IF(A163="","",F163-G163)</f>
        <v/>
      </c>
      <c r="I163" s="11" t="str">
        <f aca="false">IF(A163="","",SUMIFS(DonHang!$P$2:$P$500,DonHang!$C$2:$C$500,A163,DonHang!$R$2:$R$500,"&gt;0"))</f>
        <v/>
      </c>
      <c r="J163" s="8"/>
    </row>
    <row r="164" customFormat="false" ht="15" hidden="false" customHeight="false" outlineLevel="0" collapsed="false">
      <c r="A164" s="8"/>
      <c r="B164" s="8"/>
      <c r="C164" s="8"/>
      <c r="D164" s="8"/>
      <c r="E164" s="10" t="str">
        <f aca="false">IF(A164="","",COUNTIFS(DonHang!$C$2:$C$500,A164))</f>
        <v/>
      </c>
      <c r="F164" s="11" t="str">
        <f aca="false">IF(A164="","",SUMIFS(DonHang!$N$2:$N$500,DonHang!$C$2:$C$500,A164))</f>
        <v/>
      </c>
      <c r="G164" s="11" t="str">
        <f aca="false">IF(A164="","",SUMIFS(DonHang!$O$2:$O$500,DonHang!$C$2:$C$500,A164))</f>
        <v/>
      </c>
      <c r="H164" s="11" t="str">
        <f aca="false">IF(A164="","",F164-G164)</f>
        <v/>
      </c>
      <c r="I164" s="11" t="str">
        <f aca="false">IF(A164="","",SUMIFS(DonHang!$P$2:$P$500,DonHang!$C$2:$C$500,A164,DonHang!$R$2:$R$500,"&gt;0"))</f>
        <v/>
      </c>
      <c r="J164" s="8"/>
    </row>
    <row r="165" customFormat="false" ht="15" hidden="false" customHeight="false" outlineLevel="0" collapsed="false">
      <c r="A165" s="8"/>
      <c r="B165" s="8"/>
      <c r="C165" s="8"/>
      <c r="D165" s="8"/>
      <c r="E165" s="10" t="str">
        <f aca="false">IF(A165="","",COUNTIFS(DonHang!$C$2:$C$500,A165))</f>
        <v/>
      </c>
      <c r="F165" s="11" t="str">
        <f aca="false">IF(A165="","",SUMIFS(DonHang!$N$2:$N$500,DonHang!$C$2:$C$500,A165))</f>
        <v/>
      </c>
      <c r="G165" s="11" t="str">
        <f aca="false">IF(A165="","",SUMIFS(DonHang!$O$2:$O$500,DonHang!$C$2:$C$500,A165))</f>
        <v/>
      </c>
      <c r="H165" s="11" t="str">
        <f aca="false">IF(A165="","",F165-G165)</f>
        <v/>
      </c>
      <c r="I165" s="11" t="str">
        <f aca="false">IF(A165="","",SUMIFS(DonHang!$P$2:$P$500,DonHang!$C$2:$C$500,A165,DonHang!$R$2:$R$500,"&gt;0"))</f>
        <v/>
      </c>
      <c r="J165" s="8"/>
    </row>
    <row r="166" customFormat="false" ht="15" hidden="false" customHeight="false" outlineLevel="0" collapsed="false">
      <c r="A166" s="8"/>
      <c r="B166" s="8"/>
      <c r="C166" s="8"/>
      <c r="D166" s="8"/>
      <c r="E166" s="10" t="str">
        <f aca="false">IF(A166="","",COUNTIFS(DonHang!$C$2:$C$500,A166))</f>
        <v/>
      </c>
      <c r="F166" s="11" t="str">
        <f aca="false">IF(A166="","",SUMIFS(DonHang!$N$2:$N$500,DonHang!$C$2:$C$500,A166))</f>
        <v/>
      </c>
      <c r="G166" s="11" t="str">
        <f aca="false">IF(A166="","",SUMIFS(DonHang!$O$2:$O$500,DonHang!$C$2:$C$500,A166))</f>
        <v/>
      </c>
      <c r="H166" s="11" t="str">
        <f aca="false">IF(A166="","",F166-G166)</f>
        <v/>
      </c>
      <c r="I166" s="11" t="str">
        <f aca="false">IF(A166="","",SUMIFS(DonHang!$P$2:$P$500,DonHang!$C$2:$C$500,A166,DonHang!$R$2:$R$500,"&gt;0"))</f>
        <v/>
      </c>
      <c r="J166" s="8"/>
    </row>
    <row r="167" customFormat="false" ht="15" hidden="false" customHeight="false" outlineLevel="0" collapsed="false">
      <c r="A167" s="8"/>
      <c r="B167" s="8"/>
      <c r="C167" s="8"/>
      <c r="D167" s="8"/>
      <c r="E167" s="10" t="str">
        <f aca="false">IF(A167="","",COUNTIFS(DonHang!$C$2:$C$500,A167))</f>
        <v/>
      </c>
      <c r="F167" s="11" t="str">
        <f aca="false">IF(A167="","",SUMIFS(DonHang!$N$2:$N$500,DonHang!$C$2:$C$500,A167))</f>
        <v/>
      </c>
      <c r="G167" s="11" t="str">
        <f aca="false">IF(A167="","",SUMIFS(DonHang!$O$2:$O$500,DonHang!$C$2:$C$500,A167))</f>
        <v/>
      </c>
      <c r="H167" s="11" t="str">
        <f aca="false">IF(A167="","",F167-G167)</f>
        <v/>
      </c>
      <c r="I167" s="11" t="str">
        <f aca="false">IF(A167="","",SUMIFS(DonHang!$P$2:$P$500,DonHang!$C$2:$C$500,A167,DonHang!$R$2:$R$500,"&gt;0"))</f>
        <v/>
      </c>
      <c r="J167" s="8"/>
    </row>
    <row r="168" customFormat="false" ht="15" hidden="false" customHeight="false" outlineLevel="0" collapsed="false">
      <c r="A168" s="8"/>
      <c r="B168" s="8"/>
      <c r="C168" s="8"/>
      <c r="D168" s="8"/>
      <c r="E168" s="10" t="str">
        <f aca="false">IF(A168="","",COUNTIFS(DonHang!$C$2:$C$500,A168))</f>
        <v/>
      </c>
      <c r="F168" s="11" t="str">
        <f aca="false">IF(A168="","",SUMIFS(DonHang!$N$2:$N$500,DonHang!$C$2:$C$500,A168))</f>
        <v/>
      </c>
      <c r="G168" s="11" t="str">
        <f aca="false">IF(A168="","",SUMIFS(DonHang!$O$2:$O$500,DonHang!$C$2:$C$500,A168))</f>
        <v/>
      </c>
      <c r="H168" s="11" t="str">
        <f aca="false">IF(A168="","",F168-G168)</f>
        <v/>
      </c>
      <c r="I168" s="11" t="str">
        <f aca="false">IF(A168="","",SUMIFS(DonHang!$P$2:$P$500,DonHang!$C$2:$C$500,A168,DonHang!$R$2:$R$500,"&gt;0"))</f>
        <v/>
      </c>
      <c r="J168" s="8"/>
    </row>
    <row r="169" customFormat="false" ht="15" hidden="false" customHeight="false" outlineLevel="0" collapsed="false">
      <c r="A169" s="8"/>
      <c r="B169" s="8"/>
      <c r="C169" s="8"/>
      <c r="D169" s="8"/>
      <c r="E169" s="10" t="str">
        <f aca="false">IF(A169="","",COUNTIFS(DonHang!$C$2:$C$500,A169))</f>
        <v/>
      </c>
      <c r="F169" s="11" t="str">
        <f aca="false">IF(A169="","",SUMIFS(DonHang!$N$2:$N$500,DonHang!$C$2:$C$500,A169))</f>
        <v/>
      </c>
      <c r="G169" s="11" t="str">
        <f aca="false">IF(A169="","",SUMIFS(DonHang!$O$2:$O$500,DonHang!$C$2:$C$500,A169))</f>
        <v/>
      </c>
      <c r="H169" s="11" t="str">
        <f aca="false">IF(A169="","",F169-G169)</f>
        <v/>
      </c>
      <c r="I169" s="11" t="str">
        <f aca="false">IF(A169="","",SUMIFS(DonHang!$P$2:$P$500,DonHang!$C$2:$C$500,A169,DonHang!$R$2:$R$500,"&gt;0"))</f>
        <v/>
      </c>
      <c r="J169" s="8"/>
    </row>
    <row r="170" customFormat="false" ht="15" hidden="false" customHeight="false" outlineLevel="0" collapsed="false">
      <c r="A170" s="8"/>
      <c r="B170" s="8"/>
      <c r="C170" s="8"/>
      <c r="D170" s="8"/>
      <c r="E170" s="10" t="str">
        <f aca="false">IF(A170="","",COUNTIFS(DonHang!$C$2:$C$500,A170))</f>
        <v/>
      </c>
      <c r="F170" s="11" t="str">
        <f aca="false">IF(A170="","",SUMIFS(DonHang!$N$2:$N$500,DonHang!$C$2:$C$500,A170))</f>
        <v/>
      </c>
      <c r="G170" s="11" t="str">
        <f aca="false">IF(A170="","",SUMIFS(DonHang!$O$2:$O$500,DonHang!$C$2:$C$500,A170))</f>
        <v/>
      </c>
      <c r="H170" s="11" t="str">
        <f aca="false">IF(A170="","",F170-G170)</f>
        <v/>
      </c>
      <c r="I170" s="11" t="str">
        <f aca="false">IF(A170="","",SUMIFS(DonHang!$P$2:$P$500,DonHang!$C$2:$C$500,A170,DonHang!$R$2:$R$500,"&gt;0"))</f>
        <v/>
      </c>
      <c r="J170" s="8"/>
    </row>
    <row r="171" customFormat="false" ht="15" hidden="false" customHeight="false" outlineLevel="0" collapsed="false">
      <c r="A171" s="8"/>
      <c r="B171" s="8"/>
      <c r="C171" s="8"/>
      <c r="D171" s="8"/>
      <c r="E171" s="10" t="str">
        <f aca="false">IF(A171="","",COUNTIFS(DonHang!$C$2:$C$500,A171))</f>
        <v/>
      </c>
      <c r="F171" s="11" t="str">
        <f aca="false">IF(A171="","",SUMIFS(DonHang!$N$2:$N$500,DonHang!$C$2:$C$500,A171))</f>
        <v/>
      </c>
      <c r="G171" s="11" t="str">
        <f aca="false">IF(A171="","",SUMIFS(DonHang!$O$2:$O$500,DonHang!$C$2:$C$500,A171))</f>
        <v/>
      </c>
      <c r="H171" s="11" t="str">
        <f aca="false">IF(A171="","",F171-G171)</f>
        <v/>
      </c>
      <c r="I171" s="11" t="str">
        <f aca="false">IF(A171="","",SUMIFS(DonHang!$P$2:$P$500,DonHang!$C$2:$C$500,A171,DonHang!$R$2:$R$500,"&gt;0"))</f>
        <v/>
      </c>
      <c r="J171" s="8"/>
    </row>
    <row r="172" customFormat="false" ht="15" hidden="false" customHeight="false" outlineLevel="0" collapsed="false">
      <c r="A172" s="8"/>
      <c r="B172" s="8"/>
      <c r="C172" s="8"/>
      <c r="D172" s="8"/>
      <c r="E172" s="10" t="str">
        <f aca="false">IF(A172="","",COUNTIFS(DonHang!$C$2:$C$500,A172))</f>
        <v/>
      </c>
      <c r="F172" s="11" t="str">
        <f aca="false">IF(A172="","",SUMIFS(DonHang!$N$2:$N$500,DonHang!$C$2:$C$500,A172))</f>
        <v/>
      </c>
      <c r="G172" s="11" t="str">
        <f aca="false">IF(A172="","",SUMIFS(DonHang!$O$2:$O$500,DonHang!$C$2:$C$500,A172))</f>
        <v/>
      </c>
      <c r="H172" s="11" t="str">
        <f aca="false">IF(A172="","",F172-G172)</f>
        <v/>
      </c>
      <c r="I172" s="11" t="str">
        <f aca="false">IF(A172="","",SUMIFS(DonHang!$P$2:$P$500,DonHang!$C$2:$C$500,A172,DonHang!$R$2:$R$500,"&gt;0"))</f>
        <v/>
      </c>
      <c r="J172" s="8"/>
    </row>
    <row r="173" customFormat="false" ht="15" hidden="false" customHeight="false" outlineLevel="0" collapsed="false">
      <c r="A173" s="8"/>
      <c r="B173" s="8"/>
      <c r="C173" s="8"/>
      <c r="D173" s="8"/>
      <c r="E173" s="10" t="str">
        <f aca="false">IF(A173="","",COUNTIFS(DonHang!$C$2:$C$500,A173))</f>
        <v/>
      </c>
      <c r="F173" s="11" t="str">
        <f aca="false">IF(A173="","",SUMIFS(DonHang!$N$2:$N$500,DonHang!$C$2:$C$500,A173))</f>
        <v/>
      </c>
      <c r="G173" s="11" t="str">
        <f aca="false">IF(A173="","",SUMIFS(DonHang!$O$2:$O$500,DonHang!$C$2:$C$500,A173))</f>
        <v/>
      </c>
      <c r="H173" s="11" t="str">
        <f aca="false">IF(A173="","",F173-G173)</f>
        <v/>
      </c>
      <c r="I173" s="11" t="str">
        <f aca="false">IF(A173="","",SUMIFS(DonHang!$P$2:$P$500,DonHang!$C$2:$C$500,A173,DonHang!$R$2:$R$500,"&gt;0"))</f>
        <v/>
      </c>
      <c r="J173" s="8"/>
    </row>
    <row r="174" customFormat="false" ht="15" hidden="false" customHeight="false" outlineLevel="0" collapsed="false">
      <c r="A174" s="8"/>
      <c r="B174" s="8"/>
      <c r="C174" s="8"/>
      <c r="D174" s="8"/>
      <c r="E174" s="10" t="str">
        <f aca="false">IF(A174="","",COUNTIFS(DonHang!$C$2:$C$500,A174))</f>
        <v/>
      </c>
      <c r="F174" s="11" t="str">
        <f aca="false">IF(A174="","",SUMIFS(DonHang!$N$2:$N$500,DonHang!$C$2:$C$500,A174))</f>
        <v/>
      </c>
      <c r="G174" s="11" t="str">
        <f aca="false">IF(A174="","",SUMIFS(DonHang!$O$2:$O$500,DonHang!$C$2:$C$500,A174))</f>
        <v/>
      </c>
      <c r="H174" s="11" t="str">
        <f aca="false">IF(A174="","",F174-G174)</f>
        <v/>
      </c>
      <c r="I174" s="11" t="str">
        <f aca="false">IF(A174="","",SUMIFS(DonHang!$P$2:$P$500,DonHang!$C$2:$C$500,A174,DonHang!$R$2:$R$500,"&gt;0"))</f>
        <v/>
      </c>
      <c r="J174" s="8"/>
    </row>
    <row r="175" customFormat="false" ht="15" hidden="false" customHeight="false" outlineLevel="0" collapsed="false">
      <c r="A175" s="8"/>
      <c r="B175" s="8"/>
      <c r="C175" s="8"/>
      <c r="D175" s="8"/>
      <c r="E175" s="10" t="str">
        <f aca="false">IF(A175="","",COUNTIFS(DonHang!$C$2:$C$500,A175))</f>
        <v/>
      </c>
      <c r="F175" s="11" t="str">
        <f aca="false">IF(A175="","",SUMIFS(DonHang!$N$2:$N$500,DonHang!$C$2:$C$500,A175))</f>
        <v/>
      </c>
      <c r="G175" s="11" t="str">
        <f aca="false">IF(A175="","",SUMIFS(DonHang!$O$2:$O$500,DonHang!$C$2:$C$500,A175))</f>
        <v/>
      </c>
      <c r="H175" s="11" t="str">
        <f aca="false">IF(A175="","",F175-G175)</f>
        <v/>
      </c>
      <c r="I175" s="11" t="str">
        <f aca="false">IF(A175="","",SUMIFS(DonHang!$P$2:$P$500,DonHang!$C$2:$C$500,A175,DonHang!$R$2:$R$500,"&gt;0"))</f>
        <v/>
      </c>
      <c r="J175" s="8"/>
    </row>
    <row r="176" customFormat="false" ht="15" hidden="false" customHeight="false" outlineLevel="0" collapsed="false">
      <c r="A176" s="8"/>
      <c r="B176" s="8"/>
      <c r="C176" s="8"/>
      <c r="D176" s="8"/>
      <c r="E176" s="10" t="str">
        <f aca="false">IF(A176="","",COUNTIFS(DonHang!$C$2:$C$500,A176))</f>
        <v/>
      </c>
      <c r="F176" s="11" t="str">
        <f aca="false">IF(A176="","",SUMIFS(DonHang!$N$2:$N$500,DonHang!$C$2:$C$500,A176))</f>
        <v/>
      </c>
      <c r="G176" s="11" t="str">
        <f aca="false">IF(A176="","",SUMIFS(DonHang!$O$2:$O$500,DonHang!$C$2:$C$500,A176))</f>
        <v/>
      </c>
      <c r="H176" s="11" t="str">
        <f aca="false">IF(A176="","",F176-G176)</f>
        <v/>
      </c>
      <c r="I176" s="11" t="str">
        <f aca="false">IF(A176="","",SUMIFS(DonHang!$P$2:$P$500,DonHang!$C$2:$C$500,A176,DonHang!$R$2:$R$500,"&gt;0"))</f>
        <v/>
      </c>
      <c r="J176" s="8"/>
    </row>
    <row r="177" customFormat="false" ht="15" hidden="false" customHeight="false" outlineLevel="0" collapsed="false">
      <c r="A177" s="8"/>
      <c r="B177" s="8"/>
      <c r="C177" s="8"/>
      <c r="D177" s="8"/>
      <c r="E177" s="10" t="str">
        <f aca="false">IF(A177="","",COUNTIFS(DonHang!$C$2:$C$500,A177))</f>
        <v/>
      </c>
      <c r="F177" s="11" t="str">
        <f aca="false">IF(A177="","",SUMIFS(DonHang!$N$2:$N$500,DonHang!$C$2:$C$500,A177))</f>
        <v/>
      </c>
      <c r="G177" s="11" t="str">
        <f aca="false">IF(A177="","",SUMIFS(DonHang!$O$2:$O$500,DonHang!$C$2:$C$500,A177))</f>
        <v/>
      </c>
      <c r="H177" s="11" t="str">
        <f aca="false">IF(A177="","",F177-G177)</f>
        <v/>
      </c>
      <c r="I177" s="11" t="str">
        <f aca="false">IF(A177="","",SUMIFS(DonHang!$P$2:$P$500,DonHang!$C$2:$C$500,A177,DonHang!$R$2:$R$500,"&gt;0"))</f>
        <v/>
      </c>
      <c r="J177" s="8"/>
    </row>
    <row r="178" customFormat="false" ht="15" hidden="false" customHeight="false" outlineLevel="0" collapsed="false">
      <c r="A178" s="8"/>
      <c r="B178" s="8"/>
      <c r="C178" s="8"/>
      <c r="D178" s="8"/>
      <c r="E178" s="10" t="str">
        <f aca="false">IF(A178="","",COUNTIFS(DonHang!$C$2:$C$500,A178))</f>
        <v/>
      </c>
      <c r="F178" s="11" t="str">
        <f aca="false">IF(A178="","",SUMIFS(DonHang!$N$2:$N$500,DonHang!$C$2:$C$500,A178))</f>
        <v/>
      </c>
      <c r="G178" s="11" t="str">
        <f aca="false">IF(A178="","",SUMIFS(DonHang!$O$2:$O$500,DonHang!$C$2:$C$500,A178))</f>
        <v/>
      </c>
      <c r="H178" s="11" t="str">
        <f aca="false">IF(A178="","",F178-G178)</f>
        <v/>
      </c>
      <c r="I178" s="11" t="str">
        <f aca="false">IF(A178="","",SUMIFS(DonHang!$P$2:$P$500,DonHang!$C$2:$C$500,A178,DonHang!$R$2:$R$500,"&gt;0"))</f>
        <v/>
      </c>
      <c r="J178" s="8"/>
    </row>
    <row r="179" customFormat="false" ht="15" hidden="false" customHeight="false" outlineLevel="0" collapsed="false">
      <c r="A179" s="8"/>
      <c r="B179" s="8"/>
      <c r="C179" s="8"/>
      <c r="D179" s="8"/>
      <c r="E179" s="10" t="str">
        <f aca="false">IF(A179="","",COUNTIFS(DonHang!$C$2:$C$500,A179))</f>
        <v/>
      </c>
      <c r="F179" s="11" t="str">
        <f aca="false">IF(A179="","",SUMIFS(DonHang!$N$2:$N$500,DonHang!$C$2:$C$500,A179))</f>
        <v/>
      </c>
      <c r="G179" s="11" t="str">
        <f aca="false">IF(A179="","",SUMIFS(DonHang!$O$2:$O$500,DonHang!$C$2:$C$500,A179))</f>
        <v/>
      </c>
      <c r="H179" s="11" t="str">
        <f aca="false">IF(A179="","",F179-G179)</f>
        <v/>
      </c>
      <c r="I179" s="11" t="str">
        <f aca="false">IF(A179="","",SUMIFS(DonHang!$P$2:$P$500,DonHang!$C$2:$C$500,A179,DonHang!$R$2:$R$500,"&gt;0"))</f>
        <v/>
      </c>
      <c r="J179" s="8"/>
    </row>
    <row r="180" customFormat="false" ht="15" hidden="false" customHeight="false" outlineLevel="0" collapsed="false">
      <c r="A180" s="8"/>
      <c r="B180" s="8"/>
      <c r="C180" s="8"/>
      <c r="D180" s="8"/>
      <c r="E180" s="10" t="str">
        <f aca="false">IF(A180="","",COUNTIFS(DonHang!$C$2:$C$500,A180))</f>
        <v/>
      </c>
      <c r="F180" s="11" t="str">
        <f aca="false">IF(A180="","",SUMIFS(DonHang!$N$2:$N$500,DonHang!$C$2:$C$500,A180))</f>
        <v/>
      </c>
      <c r="G180" s="11" t="str">
        <f aca="false">IF(A180="","",SUMIFS(DonHang!$O$2:$O$500,DonHang!$C$2:$C$500,A180))</f>
        <v/>
      </c>
      <c r="H180" s="11" t="str">
        <f aca="false">IF(A180="","",F180-G180)</f>
        <v/>
      </c>
      <c r="I180" s="11" t="str">
        <f aca="false">IF(A180="","",SUMIFS(DonHang!$P$2:$P$500,DonHang!$C$2:$C$500,A180,DonHang!$R$2:$R$500,"&gt;0"))</f>
        <v/>
      </c>
      <c r="J180" s="8"/>
    </row>
    <row r="181" customFormat="false" ht="15" hidden="false" customHeight="false" outlineLevel="0" collapsed="false">
      <c r="A181" s="8"/>
      <c r="B181" s="8"/>
      <c r="C181" s="8"/>
      <c r="D181" s="8"/>
      <c r="E181" s="10" t="str">
        <f aca="false">IF(A181="","",COUNTIFS(DonHang!$C$2:$C$500,A181))</f>
        <v/>
      </c>
      <c r="F181" s="11" t="str">
        <f aca="false">IF(A181="","",SUMIFS(DonHang!$N$2:$N$500,DonHang!$C$2:$C$500,A181))</f>
        <v/>
      </c>
      <c r="G181" s="11" t="str">
        <f aca="false">IF(A181="","",SUMIFS(DonHang!$O$2:$O$500,DonHang!$C$2:$C$500,A181))</f>
        <v/>
      </c>
      <c r="H181" s="11" t="str">
        <f aca="false">IF(A181="","",F181-G181)</f>
        <v/>
      </c>
      <c r="I181" s="11" t="str">
        <f aca="false">IF(A181="","",SUMIFS(DonHang!$P$2:$P$500,DonHang!$C$2:$C$500,A181,DonHang!$R$2:$R$500,"&gt;0"))</f>
        <v/>
      </c>
      <c r="J181" s="8"/>
    </row>
    <row r="182" customFormat="false" ht="15" hidden="false" customHeight="false" outlineLevel="0" collapsed="false">
      <c r="A182" s="8"/>
      <c r="B182" s="8"/>
      <c r="C182" s="8"/>
      <c r="D182" s="8"/>
      <c r="E182" s="10" t="str">
        <f aca="false">IF(A182="","",COUNTIFS(DonHang!$C$2:$C$500,A182))</f>
        <v/>
      </c>
      <c r="F182" s="11" t="str">
        <f aca="false">IF(A182="","",SUMIFS(DonHang!$N$2:$N$500,DonHang!$C$2:$C$500,A182))</f>
        <v/>
      </c>
      <c r="G182" s="11" t="str">
        <f aca="false">IF(A182="","",SUMIFS(DonHang!$O$2:$O$500,DonHang!$C$2:$C$500,A182))</f>
        <v/>
      </c>
      <c r="H182" s="11" t="str">
        <f aca="false">IF(A182="","",F182-G182)</f>
        <v/>
      </c>
      <c r="I182" s="11" t="str">
        <f aca="false">IF(A182="","",SUMIFS(DonHang!$P$2:$P$500,DonHang!$C$2:$C$500,A182,DonHang!$R$2:$R$500,"&gt;0"))</f>
        <v/>
      </c>
      <c r="J182" s="8"/>
    </row>
    <row r="183" customFormat="false" ht="15" hidden="false" customHeight="false" outlineLevel="0" collapsed="false">
      <c r="A183" s="8"/>
      <c r="B183" s="8"/>
      <c r="C183" s="8"/>
      <c r="D183" s="8"/>
      <c r="E183" s="10" t="str">
        <f aca="false">IF(A183="","",COUNTIFS(DonHang!$C$2:$C$500,A183))</f>
        <v/>
      </c>
      <c r="F183" s="11" t="str">
        <f aca="false">IF(A183="","",SUMIFS(DonHang!$N$2:$N$500,DonHang!$C$2:$C$500,A183))</f>
        <v/>
      </c>
      <c r="G183" s="11" t="str">
        <f aca="false">IF(A183="","",SUMIFS(DonHang!$O$2:$O$500,DonHang!$C$2:$C$500,A183))</f>
        <v/>
      </c>
      <c r="H183" s="11" t="str">
        <f aca="false">IF(A183="","",F183-G183)</f>
        <v/>
      </c>
      <c r="I183" s="11" t="str">
        <f aca="false">IF(A183="","",SUMIFS(DonHang!$P$2:$P$500,DonHang!$C$2:$C$500,A183,DonHang!$R$2:$R$500,"&gt;0"))</f>
        <v/>
      </c>
      <c r="J183" s="8"/>
    </row>
    <row r="184" customFormat="false" ht="15" hidden="false" customHeight="false" outlineLevel="0" collapsed="false">
      <c r="A184" s="8"/>
      <c r="B184" s="8"/>
      <c r="C184" s="8"/>
      <c r="D184" s="8"/>
      <c r="E184" s="10" t="str">
        <f aca="false">IF(A184="","",COUNTIFS(DonHang!$C$2:$C$500,A184))</f>
        <v/>
      </c>
      <c r="F184" s="11" t="str">
        <f aca="false">IF(A184="","",SUMIFS(DonHang!$N$2:$N$500,DonHang!$C$2:$C$500,A184))</f>
        <v/>
      </c>
      <c r="G184" s="11" t="str">
        <f aca="false">IF(A184="","",SUMIFS(DonHang!$O$2:$O$500,DonHang!$C$2:$C$500,A184))</f>
        <v/>
      </c>
      <c r="H184" s="11" t="str">
        <f aca="false">IF(A184="","",F184-G184)</f>
        <v/>
      </c>
      <c r="I184" s="11" t="str">
        <f aca="false">IF(A184="","",SUMIFS(DonHang!$P$2:$P$500,DonHang!$C$2:$C$500,A184,DonHang!$R$2:$R$500,"&gt;0"))</f>
        <v/>
      </c>
      <c r="J184" s="8"/>
    </row>
    <row r="185" customFormat="false" ht="15" hidden="false" customHeight="false" outlineLevel="0" collapsed="false">
      <c r="A185" s="8"/>
      <c r="B185" s="8"/>
      <c r="C185" s="8"/>
      <c r="D185" s="8"/>
      <c r="E185" s="10" t="str">
        <f aca="false">IF(A185="","",COUNTIFS(DonHang!$C$2:$C$500,A185))</f>
        <v/>
      </c>
      <c r="F185" s="11" t="str">
        <f aca="false">IF(A185="","",SUMIFS(DonHang!$N$2:$N$500,DonHang!$C$2:$C$500,A185))</f>
        <v/>
      </c>
      <c r="G185" s="11" t="str">
        <f aca="false">IF(A185="","",SUMIFS(DonHang!$O$2:$O$500,DonHang!$C$2:$C$500,A185))</f>
        <v/>
      </c>
      <c r="H185" s="11" t="str">
        <f aca="false">IF(A185="","",F185-G185)</f>
        <v/>
      </c>
      <c r="I185" s="11" t="str">
        <f aca="false">IF(A185="","",SUMIFS(DonHang!$P$2:$P$500,DonHang!$C$2:$C$500,A185,DonHang!$R$2:$R$500,"&gt;0"))</f>
        <v/>
      </c>
      <c r="J185" s="8"/>
    </row>
    <row r="186" customFormat="false" ht="15" hidden="false" customHeight="false" outlineLevel="0" collapsed="false">
      <c r="A186" s="8"/>
      <c r="B186" s="8"/>
      <c r="C186" s="8"/>
      <c r="D186" s="8"/>
      <c r="E186" s="10" t="str">
        <f aca="false">IF(A186="","",COUNTIFS(DonHang!$C$2:$C$500,A186))</f>
        <v/>
      </c>
      <c r="F186" s="11" t="str">
        <f aca="false">IF(A186="","",SUMIFS(DonHang!$N$2:$N$500,DonHang!$C$2:$C$500,A186))</f>
        <v/>
      </c>
      <c r="G186" s="11" t="str">
        <f aca="false">IF(A186="","",SUMIFS(DonHang!$O$2:$O$500,DonHang!$C$2:$C$500,A186))</f>
        <v/>
      </c>
      <c r="H186" s="11" t="str">
        <f aca="false">IF(A186="","",F186-G186)</f>
        <v/>
      </c>
      <c r="I186" s="11" t="str">
        <f aca="false">IF(A186="","",SUMIFS(DonHang!$P$2:$P$500,DonHang!$C$2:$C$500,A186,DonHang!$R$2:$R$500,"&gt;0"))</f>
        <v/>
      </c>
      <c r="J186" s="8"/>
    </row>
    <row r="187" customFormat="false" ht="15" hidden="false" customHeight="false" outlineLevel="0" collapsed="false">
      <c r="A187" s="8"/>
      <c r="B187" s="8"/>
      <c r="C187" s="8"/>
      <c r="D187" s="8"/>
      <c r="E187" s="10" t="str">
        <f aca="false">IF(A187="","",COUNTIFS(DonHang!$C$2:$C$500,A187))</f>
        <v/>
      </c>
      <c r="F187" s="11" t="str">
        <f aca="false">IF(A187="","",SUMIFS(DonHang!$N$2:$N$500,DonHang!$C$2:$C$500,A187))</f>
        <v/>
      </c>
      <c r="G187" s="11" t="str">
        <f aca="false">IF(A187="","",SUMIFS(DonHang!$O$2:$O$500,DonHang!$C$2:$C$500,A187))</f>
        <v/>
      </c>
      <c r="H187" s="11" t="str">
        <f aca="false">IF(A187="","",F187-G187)</f>
        <v/>
      </c>
      <c r="I187" s="11" t="str">
        <f aca="false">IF(A187="","",SUMIFS(DonHang!$P$2:$P$500,DonHang!$C$2:$C$500,A187,DonHang!$R$2:$R$500,"&gt;0"))</f>
        <v/>
      </c>
      <c r="J187" s="8"/>
    </row>
    <row r="188" customFormat="false" ht="15" hidden="false" customHeight="false" outlineLevel="0" collapsed="false">
      <c r="A188" s="8"/>
      <c r="B188" s="8"/>
      <c r="C188" s="8"/>
      <c r="D188" s="8"/>
      <c r="E188" s="10" t="str">
        <f aca="false">IF(A188="","",COUNTIFS(DonHang!$C$2:$C$500,A188))</f>
        <v/>
      </c>
      <c r="F188" s="11" t="str">
        <f aca="false">IF(A188="","",SUMIFS(DonHang!$N$2:$N$500,DonHang!$C$2:$C$500,A188))</f>
        <v/>
      </c>
      <c r="G188" s="11" t="str">
        <f aca="false">IF(A188="","",SUMIFS(DonHang!$O$2:$O$500,DonHang!$C$2:$C$500,A188))</f>
        <v/>
      </c>
      <c r="H188" s="11" t="str">
        <f aca="false">IF(A188="","",F188-G188)</f>
        <v/>
      </c>
      <c r="I188" s="11" t="str">
        <f aca="false">IF(A188="","",SUMIFS(DonHang!$P$2:$P$500,DonHang!$C$2:$C$500,A188,DonHang!$R$2:$R$500,"&gt;0"))</f>
        <v/>
      </c>
      <c r="J188" s="8"/>
    </row>
    <row r="189" customFormat="false" ht="15" hidden="false" customHeight="false" outlineLevel="0" collapsed="false">
      <c r="A189" s="8"/>
      <c r="B189" s="8"/>
      <c r="C189" s="8"/>
      <c r="D189" s="8"/>
      <c r="E189" s="10" t="str">
        <f aca="false">IF(A189="","",COUNTIFS(DonHang!$C$2:$C$500,A189))</f>
        <v/>
      </c>
      <c r="F189" s="11" t="str">
        <f aca="false">IF(A189="","",SUMIFS(DonHang!$N$2:$N$500,DonHang!$C$2:$C$500,A189))</f>
        <v/>
      </c>
      <c r="G189" s="11" t="str">
        <f aca="false">IF(A189="","",SUMIFS(DonHang!$O$2:$O$500,DonHang!$C$2:$C$500,A189))</f>
        <v/>
      </c>
      <c r="H189" s="11" t="str">
        <f aca="false">IF(A189="","",F189-G189)</f>
        <v/>
      </c>
      <c r="I189" s="11" t="str">
        <f aca="false">IF(A189="","",SUMIFS(DonHang!$P$2:$P$500,DonHang!$C$2:$C$500,A189,DonHang!$R$2:$R$500,"&gt;0"))</f>
        <v/>
      </c>
      <c r="J189" s="8"/>
    </row>
    <row r="190" customFormat="false" ht="15" hidden="false" customHeight="false" outlineLevel="0" collapsed="false">
      <c r="A190" s="8"/>
      <c r="B190" s="8"/>
      <c r="C190" s="8"/>
      <c r="D190" s="8"/>
      <c r="E190" s="10" t="str">
        <f aca="false">IF(A190="","",COUNTIFS(DonHang!$C$2:$C$500,A190))</f>
        <v/>
      </c>
      <c r="F190" s="11" t="str">
        <f aca="false">IF(A190="","",SUMIFS(DonHang!$N$2:$N$500,DonHang!$C$2:$C$500,A190))</f>
        <v/>
      </c>
      <c r="G190" s="11" t="str">
        <f aca="false">IF(A190="","",SUMIFS(DonHang!$O$2:$O$500,DonHang!$C$2:$C$500,A190))</f>
        <v/>
      </c>
      <c r="H190" s="11" t="str">
        <f aca="false">IF(A190="","",F190-G190)</f>
        <v/>
      </c>
      <c r="I190" s="11" t="str">
        <f aca="false">IF(A190="","",SUMIFS(DonHang!$P$2:$P$500,DonHang!$C$2:$C$500,A190,DonHang!$R$2:$R$500,"&gt;0"))</f>
        <v/>
      </c>
      <c r="J190" s="8"/>
    </row>
    <row r="191" customFormat="false" ht="15" hidden="false" customHeight="false" outlineLevel="0" collapsed="false">
      <c r="A191" s="8"/>
      <c r="B191" s="8"/>
      <c r="C191" s="8"/>
      <c r="D191" s="8"/>
      <c r="E191" s="10" t="str">
        <f aca="false">IF(A191="","",COUNTIFS(DonHang!$C$2:$C$500,A191))</f>
        <v/>
      </c>
      <c r="F191" s="11" t="str">
        <f aca="false">IF(A191="","",SUMIFS(DonHang!$N$2:$N$500,DonHang!$C$2:$C$500,A191))</f>
        <v/>
      </c>
      <c r="G191" s="11" t="str">
        <f aca="false">IF(A191="","",SUMIFS(DonHang!$O$2:$O$500,DonHang!$C$2:$C$500,A191))</f>
        <v/>
      </c>
      <c r="H191" s="11" t="str">
        <f aca="false">IF(A191="","",F191-G191)</f>
        <v/>
      </c>
      <c r="I191" s="11" t="str">
        <f aca="false">IF(A191="","",SUMIFS(DonHang!$P$2:$P$500,DonHang!$C$2:$C$500,A191,DonHang!$R$2:$R$500,"&gt;0"))</f>
        <v/>
      </c>
      <c r="J191" s="8"/>
    </row>
    <row r="192" customFormat="false" ht="15" hidden="false" customHeight="false" outlineLevel="0" collapsed="false">
      <c r="A192" s="8"/>
      <c r="B192" s="8"/>
      <c r="C192" s="8"/>
      <c r="D192" s="8"/>
      <c r="E192" s="10" t="str">
        <f aca="false">IF(A192="","",COUNTIFS(DonHang!$C$2:$C$500,A192))</f>
        <v/>
      </c>
      <c r="F192" s="11" t="str">
        <f aca="false">IF(A192="","",SUMIFS(DonHang!$N$2:$N$500,DonHang!$C$2:$C$500,A192))</f>
        <v/>
      </c>
      <c r="G192" s="11" t="str">
        <f aca="false">IF(A192="","",SUMIFS(DonHang!$O$2:$O$500,DonHang!$C$2:$C$500,A192))</f>
        <v/>
      </c>
      <c r="H192" s="11" t="str">
        <f aca="false">IF(A192="","",F192-G192)</f>
        <v/>
      </c>
      <c r="I192" s="11" t="str">
        <f aca="false">IF(A192="","",SUMIFS(DonHang!$P$2:$P$500,DonHang!$C$2:$C$500,A192,DonHang!$R$2:$R$500,"&gt;0"))</f>
        <v/>
      </c>
      <c r="J192" s="8"/>
    </row>
    <row r="193" customFormat="false" ht="15" hidden="false" customHeight="false" outlineLevel="0" collapsed="false">
      <c r="A193" s="8"/>
      <c r="B193" s="8"/>
      <c r="C193" s="8"/>
      <c r="D193" s="8"/>
      <c r="E193" s="10" t="str">
        <f aca="false">IF(A193="","",COUNTIFS(DonHang!$C$2:$C$500,A193))</f>
        <v/>
      </c>
      <c r="F193" s="11" t="str">
        <f aca="false">IF(A193="","",SUMIFS(DonHang!$N$2:$N$500,DonHang!$C$2:$C$500,A193))</f>
        <v/>
      </c>
      <c r="G193" s="11" t="str">
        <f aca="false">IF(A193="","",SUMIFS(DonHang!$O$2:$O$500,DonHang!$C$2:$C$500,A193))</f>
        <v/>
      </c>
      <c r="H193" s="11" t="str">
        <f aca="false">IF(A193="","",F193-G193)</f>
        <v/>
      </c>
      <c r="I193" s="11" t="str">
        <f aca="false">IF(A193="","",SUMIFS(DonHang!$P$2:$P$500,DonHang!$C$2:$C$500,A193,DonHang!$R$2:$R$500,"&gt;0"))</f>
        <v/>
      </c>
      <c r="J193" s="8"/>
    </row>
    <row r="194" customFormat="false" ht="15" hidden="false" customHeight="false" outlineLevel="0" collapsed="false">
      <c r="A194" s="8"/>
      <c r="B194" s="8"/>
      <c r="C194" s="8"/>
      <c r="D194" s="8"/>
      <c r="E194" s="10" t="str">
        <f aca="false">IF(A194="","",COUNTIFS(DonHang!$C$2:$C$500,A194))</f>
        <v/>
      </c>
      <c r="F194" s="11" t="str">
        <f aca="false">IF(A194="","",SUMIFS(DonHang!$N$2:$N$500,DonHang!$C$2:$C$500,A194))</f>
        <v/>
      </c>
      <c r="G194" s="11" t="str">
        <f aca="false">IF(A194="","",SUMIFS(DonHang!$O$2:$O$500,DonHang!$C$2:$C$500,A194))</f>
        <v/>
      </c>
      <c r="H194" s="11" t="str">
        <f aca="false">IF(A194="","",F194-G194)</f>
        <v/>
      </c>
      <c r="I194" s="11" t="str">
        <f aca="false">IF(A194="","",SUMIFS(DonHang!$P$2:$P$500,DonHang!$C$2:$C$500,A194,DonHang!$R$2:$R$500,"&gt;0"))</f>
        <v/>
      </c>
      <c r="J194" s="8"/>
    </row>
    <row r="195" customFormat="false" ht="15" hidden="false" customHeight="false" outlineLevel="0" collapsed="false">
      <c r="A195" s="8"/>
      <c r="B195" s="8"/>
      <c r="C195" s="8"/>
      <c r="D195" s="8"/>
      <c r="E195" s="10" t="str">
        <f aca="false">IF(A195="","",COUNTIFS(DonHang!$C$2:$C$500,A195))</f>
        <v/>
      </c>
      <c r="F195" s="11" t="str">
        <f aca="false">IF(A195="","",SUMIFS(DonHang!$N$2:$N$500,DonHang!$C$2:$C$500,A195))</f>
        <v/>
      </c>
      <c r="G195" s="11" t="str">
        <f aca="false">IF(A195="","",SUMIFS(DonHang!$O$2:$O$500,DonHang!$C$2:$C$500,A195))</f>
        <v/>
      </c>
      <c r="H195" s="11" t="str">
        <f aca="false">IF(A195="","",F195-G195)</f>
        <v/>
      </c>
      <c r="I195" s="11" t="str">
        <f aca="false">IF(A195="","",SUMIFS(DonHang!$P$2:$P$500,DonHang!$C$2:$C$500,A195,DonHang!$R$2:$R$500,"&gt;0"))</f>
        <v/>
      </c>
      <c r="J195" s="8"/>
    </row>
    <row r="196" customFormat="false" ht="15" hidden="false" customHeight="false" outlineLevel="0" collapsed="false">
      <c r="A196" s="8"/>
      <c r="B196" s="8"/>
      <c r="C196" s="8"/>
      <c r="D196" s="8"/>
      <c r="E196" s="10" t="str">
        <f aca="false">IF(A196="","",COUNTIFS(DonHang!$C$2:$C$500,A196))</f>
        <v/>
      </c>
      <c r="F196" s="11" t="str">
        <f aca="false">IF(A196="","",SUMIFS(DonHang!$N$2:$N$500,DonHang!$C$2:$C$500,A196))</f>
        <v/>
      </c>
      <c r="G196" s="11" t="str">
        <f aca="false">IF(A196="","",SUMIFS(DonHang!$O$2:$O$500,DonHang!$C$2:$C$500,A196))</f>
        <v/>
      </c>
      <c r="H196" s="11" t="str">
        <f aca="false">IF(A196="","",F196-G196)</f>
        <v/>
      </c>
      <c r="I196" s="11" t="str">
        <f aca="false">IF(A196="","",SUMIFS(DonHang!$P$2:$P$500,DonHang!$C$2:$C$500,A196,DonHang!$R$2:$R$500,"&gt;0"))</f>
        <v/>
      </c>
      <c r="J196" s="8"/>
    </row>
    <row r="197" customFormat="false" ht="15" hidden="false" customHeight="false" outlineLevel="0" collapsed="false">
      <c r="A197" s="8"/>
      <c r="B197" s="8"/>
      <c r="C197" s="8"/>
      <c r="D197" s="8"/>
      <c r="E197" s="10" t="str">
        <f aca="false">IF(A197="","",COUNTIFS(DonHang!$C$2:$C$500,A197))</f>
        <v/>
      </c>
      <c r="F197" s="11" t="str">
        <f aca="false">IF(A197="","",SUMIFS(DonHang!$N$2:$N$500,DonHang!$C$2:$C$500,A197))</f>
        <v/>
      </c>
      <c r="G197" s="11" t="str">
        <f aca="false">IF(A197="","",SUMIFS(DonHang!$O$2:$O$500,DonHang!$C$2:$C$500,A197))</f>
        <v/>
      </c>
      <c r="H197" s="11" t="str">
        <f aca="false">IF(A197="","",F197-G197)</f>
        <v/>
      </c>
      <c r="I197" s="11" t="str">
        <f aca="false">IF(A197="","",SUMIFS(DonHang!$P$2:$P$500,DonHang!$C$2:$C$500,A197,DonHang!$R$2:$R$500,"&gt;0"))</f>
        <v/>
      </c>
      <c r="J197" s="8"/>
    </row>
    <row r="198" customFormat="false" ht="15" hidden="false" customHeight="false" outlineLevel="0" collapsed="false">
      <c r="A198" s="8"/>
      <c r="B198" s="8"/>
      <c r="C198" s="8"/>
      <c r="D198" s="8"/>
      <c r="E198" s="10" t="str">
        <f aca="false">IF(A198="","",COUNTIFS(DonHang!$C$2:$C$500,A198))</f>
        <v/>
      </c>
      <c r="F198" s="11" t="str">
        <f aca="false">IF(A198="","",SUMIFS(DonHang!$N$2:$N$500,DonHang!$C$2:$C$500,A198))</f>
        <v/>
      </c>
      <c r="G198" s="11" t="str">
        <f aca="false">IF(A198="","",SUMIFS(DonHang!$O$2:$O$500,DonHang!$C$2:$C$500,A198))</f>
        <v/>
      </c>
      <c r="H198" s="11" t="str">
        <f aca="false">IF(A198="","",F198-G198)</f>
        <v/>
      </c>
      <c r="I198" s="11" t="str">
        <f aca="false">IF(A198="","",SUMIFS(DonHang!$P$2:$P$500,DonHang!$C$2:$C$500,A198,DonHang!$R$2:$R$500,"&gt;0"))</f>
        <v/>
      </c>
      <c r="J198" s="8"/>
    </row>
    <row r="199" customFormat="false" ht="15" hidden="false" customHeight="false" outlineLevel="0" collapsed="false">
      <c r="A199" s="8"/>
      <c r="B199" s="8"/>
      <c r="C199" s="8"/>
      <c r="D199" s="8"/>
      <c r="E199" s="10" t="str">
        <f aca="false">IF(A199="","",COUNTIFS(DonHang!$C$2:$C$500,A199))</f>
        <v/>
      </c>
      <c r="F199" s="11" t="str">
        <f aca="false">IF(A199="","",SUMIFS(DonHang!$N$2:$N$500,DonHang!$C$2:$C$500,A199))</f>
        <v/>
      </c>
      <c r="G199" s="11" t="str">
        <f aca="false">IF(A199="","",SUMIFS(DonHang!$O$2:$O$500,DonHang!$C$2:$C$500,A199))</f>
        <v/>
      </c>
      <c r="H199" s="11" t="str">
        <f aca="false">IF(A199="","",F199-G199)</f>
        <v/>
      </c>
      <c r="I199" s="11" t="str">
        <f aca="false">IF(A199="","",SUMIFS(DonHang!$P$2:$P$500,DonHang!$C$2:$C$500,A199,DonHang!$R$2:$R$500,"&gt;0"))</f>
        <v/>
      </c>
      <c r="J199" s="8"/>
    </row>
    <row r="200" customFormat="false" ht="15" hidden="false" customHeight="false" outlineLevel="0" collapsed="false">
      <c r="A200" s="8"/>
      <c r="B200" s="8"/>
      <c r="C200" s="8"/>
      <c r="D200" s="8"/>
      <c r="E200" s="10" t="str">
        <f aca="false">IF(A200="","",COUNTIFS(DonHang!$C$2:$C$500,A200))</f>
        <v/>
      </c>
      <c r="F200" s="11" t="str">
        <f aca="false">IF(A200="","",SUMIFS(DonHang!$N$2:$N$500,DonHang!$C$2:$C$500,A200))</f>
        <v/>
      </c>
      <c r="G200" s="11" t="str">
        <f aca="false">IF(A200="","",SUMIFS(DonHang!$O$2:$O$500,DonHang!$C$2:$C$500,A200))</f>
        <v/>
      </c>
      <c r="H200" s="11" t="str">
        <f aca="false">IF(A200="","",F200-G200)</f>
        <v/>
      </c>
      <c r="I200" s="11" t="str">
        <f aca="false">IF(A200="","",SUMIFS(DonHang!$P$2:$P$500,DonHang!$C$2:$C$500,A200,DonHang!$R$2:$R$500,"&gt;0"))</f>
        <v/>
      </c>
      <c r="J200" s="8"/>
    </row>
  </sheetData>
  <autoFilter ref="A1:J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5" t="s">
        <v>89</v>
      </c>
    </row>
    <row r="2" customFormat="false" ht="15" hidden="false" customHeight="false" outlineLevel="0" collapsed="false">
      <c r="A2" s="16" t="s">
        <v>90</v>
      </c>
    </row>
    <row r="3" customFormat="false" ht="15" hidden="false" customHeight="false" outlineLevel="0" collapsed="false">
      <c r="A3" s="16" t="s">
        <v>91</v>
      </c>
    </row>
    <row r="4" customFormat="false" ht="15" hidden="false" customHeight="false" outlineLevel="0" collapsed="false">
      <c r="A4" s="16" t="s">
        <v>92</v>
      </c>
    </row>
    <row r="5" customFormat="false" ht="15" hidden="false" customHeight="false" outlineLevel="0" collapsed="false">
      <c r="A5" s="16" t="s">
        <v>93</v>
      </c>
    </row>
    <row r="6" customFormat="false" ht="15" hidden="false" customHeight="false" outlineLevel="0" collapsed="false">
      <c r="A6" s="16" t="s">
        <v>94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6" t="s">
        <v>95</v>
      </c>
    </row>
    <row r="9" customFormat="false" ht="15" hidden="false" customHeight="false" outlineLevel="0" collapsed="false">
      <c r="A9" s="16" t="s">
        <v>96</v>
      </c>
    </row>
    <row r="10" customFormat="false" ht="15" hidden="false" customHeight="false" outlineLevel="0" collapsed="false">
      <c r="A10" s="16" t="s">
        <v>97</v>
      </c>
    </row>
    <row r="11" customFormat="false" ht="15" hidden="false" customHeight="false" outlineLevel="0" collapsed="false">
      <c r="A11" s="16" t="s">
        <v>98</v>
      </c>
    </row>
    <row r="12" customFormat="false" ht="15" hidden="false" customHeight="false" outlineLevel="0" collapsed="false">
      <c r="A12" s="16" t="s">
        <v>99</v>
      </c>
    </row>
    <row r="13" customFormat="false" ht="15" hidden="false" customHeight="false" outlineLevel="0" collapsed="false">
      <c r="A13" s="16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2026-10-29T08:05:34Z</dcterms:created>
  <dc:creator>openpyxl</dc:creator>
  <dc:description/>
  <dc:language>en-US</dc:language>
  <cp:lastModifiedBy/>
  <dcterms:modified xsi:type="dcterms:W3CDTF">2026-10-29T08:05:38Z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